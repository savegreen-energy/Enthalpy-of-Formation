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A:\Steven Anderson Documents\Chemistry Technology\Enthalpy_formation-with-kj-Mol-1500-commonunds-from-multiple-sources-with-Energy-Calculated\"/>
    </mc:Choice>
  </mc:AlternateContent>
  <xr:revisionPtr revIDLastSave="0" documentId="13_ncr:1_{E6E7500A-1D0C-4580-8A41-F15472D46B59}" xr6:coauthVersionLast="46" xr6:coauthVersionMax="46" xr10:uidLastSave="{00000000-0000-0000-0000-000000000000}"/>
  <bookViews>
    <workbookView xWindow="3645" yWindow="3270" windowWidth="34785" windowHeight="15405" xr2:uid="{00000000-000D-0000-FFFF-FFFF00000000}"/>
  </bookViews>
  <sheets>
    <sheet name="enthalpy_formation-findAndMove2" sheetId="5" r:id="rId1"/>
    <sheet name="Sheet1" sheetId="10" r:id="rId2"/>
    <sheet name="Sheet4" sheetId="9" r:id="rId3"/>
    <sheet name="Sheet3" sheetId="8" r:id="rId4"/>
    <sheet name="Sheet2" sheetId="6" r:id="rId5"/>
    <sheet name="Sheet1bak" sheetId="7" r:id="rId6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V3" i="5" l="1"/>
  <c r="CV4" i="5"/>
  <c r="CV5" i="5"/>
  <c r="CV6" i="5"/>
  <c r="CV7" i="5"/>
  <c r="CV8" i="5"/>
  <c r="CV9" i="5"/>
  <c r="CV10" i="5"/>
  <c r="CV11" i="5"/>
  <c r="CV12" i="5"/>
  <c r="CV13" i="5"/>
  <c r="CV14" i="5"/>
  <c r="CV15" i="5"/>
  <c r="CV16" i="5"/>
  <c r="CV17" i="5"/>
  <c r="CV18" i="5"/>
  <c r="CV19" i="5"/>
  <c r="CV20" i="5"/>
  <c r="CV21" i="5"/>
  <c r="CV22" i="5"/>
  <c r="CV23" i="5"/>
  <c r="CV24" i="5"/>
  <c r="CV25" i="5"/>
  <c r="CV26" i="5"/>
  <c r="CV27" i="5"/>
  <c r="CV28" i="5"/>
  <c r="CV29" i="5"/>
  <c r="CV30" i="5"/>
  <c r="CV31" i="5"/>
  <c r="CV32" i="5"/>
  <c r="CV33" i="5"/>
  <c r="CV34" i="5"/>
  <c r="CV35" i="5"/>
  <c r="CV36" i="5"/>
  <c r="CV37" i="5"/>
  <c r="CV38" i="5"/>
  <c r="CV39" i="5"/>
  <c r="CV40" i="5"/>
  <c r="CV41" i="5"/>
  <c r="CV42" i="5"/>
  <c r="CV43" i="5"/>
  <c r="CV44" i="5"/>
  <c r="CV45" i="5"/>
  <c r="CV46" i="5"/>
  <c r="CV47" i="5"/>
  <c r="CV48" i="5"/>
  <c r="CV49" i="5"/>
  <c r="CV50" i="5"/>
  <c r="CV51" i="5"/>
  <c r="CV52" i="5"/>
  <c r="CV53" i="5"/>
  <c r="CV54" i="5"/>
  <c r="CV55" i="5"/>
  <c r="CV56" i="5"/>
  <c r="CV57" i="5"/>
  <c r="CV58" i="5"/>
  <c r="CV59" i="5"/>
  <c r="CV60" i="5"/>
  <c r="CV61" i="5"/>
  <c r="CV62" i="5"/>
  <c r="CV63" i="5"/>
  <c r="CV64" i="5"/>
  <c r="CV65" i="5"/>
  <c r="CV66" i="5"/>
  <c r="CV67" i="5"/>
  <c r="CV68" i="5"/>
  <c r="CV69" i="5"/>
  <c r="CV70" i="5"/>
  <c r="CV71" i="5"/>
  <c r="CV72" i="5"/>
  <c r="CV73" i="5"/>
  <c r="CV74" i="5"/>
  <c r="CV75" i="5"/>
  <c r="CV76" i="5"/>
  <c r="CV77" i="5"/>
  <c r="CV78" i="5"/>
  <c r="CV79" i="5"/>
  <c r="CV80" i="5"/>
  <c r="CV81" i="5"/>
  <c r="CV82" i="5"/>
  <c r="CV83" i="5"/>
  <c r="CV84" i="5"/>
  <c r="CV85" i="5"/>
  <c r="CV86" i="5"/>
  <c r="CV87" i="5"/>
  <c r="CV88" i="5"/>
  <c r="CV89" i="5"/>
  <c r="CV90" i="5"/>
  <c r="CV91" i="5"/>
  <c r="CV92" i="5"/>
  <c r="CV93" i="5"/>
  <c r="CV94" i="5"/>
  <c r="CV95" i="5"/>
  <c r="CV96" i="5"/>
  <c r="CV97" i="5"/>
  <c r="CV98" i="5"/>
  <c r="CV99" i="5"/>
  <c r="CV100" i="5"/>
  <c r="CV101" i="5"/>
  <c r="CV102" i="5"/>
  <c r="CV103" i="5"/>
  <c r="CV104" i="5"/>
  <c r="CV105" i="5"/>
  <c r="CV106" i="5"/>
  <c r="CV107" i="5"/>
  <c r="CV108" i="5"/>
  <c r="CV109" i="5"/>
  <c r="CV110" i="5"/>
  <c r="CV111" i="5"/>
  <c r="CV112" i="5"/>
  <c r="CV113" i="5"/>
  <c r="CV114" i="5"/>
  <c r="CV115" i="5"/>
  <c r="CV116" i="5"/>
  <c r="CV117" i="5"/>
  <c r="CV118" i="5"/>
  <c r="CV119" i="5"/>
  <c r="CV120" i="5"/>
  <c r="CV121" i="5"/>
  <c r="CV122" i="5"/>
  <c r="CV123" i="5"/>
  <c r="CV124" i="5"/>
  <c r="CV125" i="5"/>
  <c r="CV126" i="5"/>
  <c r="CV127" i="5"/>
  <c r="CV128" i="5"/>
  <c r="CV129" i="5"/>
  <c r="CV130" i="5"/>
  <c r="CV131" i="5"/>
  <c r="CV132" i="5"/>
  <c r="CV133" i="5"/>
  <c r="CV134" i="5"/>
  <c r="CV135" i="5"/>
  <c r="CV136" i="5"/>
  <c r="CV137" i="5"/>
  <c r="CV138" i="5"/>
  <c r="CV139" i="5"/>
  <c r="CV140" i="5"/>
  <c r="CV141" i="5"/>
  <c r="CV142" i="5"/>
  <c r="CV143" i="5"/>
  <c r="CV144" i="5"/>
  <c r="CV145" i="5"/>
  <c r="CV146" i="5"/>
  <c r="CV147" i="5"/>
  <c r="CV148" i="5"/>
  <c r="CV149" i="5"/>
  <c r="CV150" i="5"/>
  <c r="CV151" i="5"/>
  <c r="CV152" i="5"/>
  <c r="CV153" i="5"/>
  <c r="CV154" i="5"/>
  <c r="CV155" i="5"/>
  <c r="CV156" i="5"/>
  <c r="CV157" i="5"/>
  <c r="CV158" i="5"/>
  <c r="CV159" i="5"/>
  <c r="CV160" i="5"/>
  <c r="CV161" i="5"/>
  <c r="CV162" i="5"/>
  <c r="CV163" i="5"/>
  <c r="CV164" i="5"/>
  <c r="CV165" i="5"/>
  <c r="CV166" i="5"/>
  <c r="CV167" i="5"/>
  <c r="CV168" i="5"/>
  <c r="CV169" i="5"/>
  <c r="CV170" i="5"/>
  <c r="CV171" i="5"/>
  <c r="CV172" i="5"/>
  <c r="CV173" i="5"/>
  <c r="CV174" i="5"/>
  <c r="CV175" i="5"/>
  <c r="CV176" i="5"/>
  <c r="CV177" i="5"/>
  <c r="CV178" i="5"/>
  <c r="CV179" i="5"/>
  <c r="CV180" i="5"/>
  <c r="CV181" i="5"/>
  <c r="CV182" i="5"/>
  <c r="CV183" i="5"/>
  <c r="CV184" i="5"/>
  <c r="CV185" i="5"/>
  <c r="CV186" i="5"/>
  <c r="CV187" i="5"/>
  <c r="CV188" i="5"/>
  <c r="CV189" i="5"/>
  <c r="CV190" i="5"/>
  <c r="CV191" i="5"/>
  <c r="CV192" i="5"/>
  <c r="CV193" i="5"/>
  <c r="CV194" i="5"/>
  <c r="CV195" i="5"/>
  <c r="CV196" i="5"/>
  <c r="CV197" i="5"/>
  <c r="CV198" i="5"/>
  <c r="CV199" i="5"/>
  <c r="CV200" i="5"/>
  <c r="CV201" i="5"/>
  <c r="CV202" i="5"/>
  <c r="CV203" i="5"/>
  <c r="CV204" i="5"/>
  <c r="CV205" i="5"/>
  <c r="CV206" i="5"/>
  <c r="CV207" i="5"/>
  <c r="CV208" i="5"/>
  <c r="CV209" i="5"/>
  <c r="CV210" i="5"/>
  <c r="CV211" i="5"/>
  <c r="CV212" i="5"/>
  <c r="CV213" i="5"/>
  <c r="CV214" i="5"/>
  <c r="CV215" i="5"/>
  <c r="CV216" i="5"/>
  <c r="CV217" i="5"/>
  <c r="CV218" i="5"/>
  <c r="CV219" i="5"/>
  <c r="CV220" i="5"/>
  <c r="CV221" i="5"/>
  <c r="CV222" i="5"/>
  <c r="CV223" i="5"/>
  <c r="CV224" i="5"/>
  <c r="CV225" i="5"/>
  <c r="CV226" i="5"/>
  <c r="CV227" i="5"/>
  <c r="CV228" i="5"/>
  <c r="CV229" i="5"/>
  <c r="CV230" i="5"/>
  <c r="CV231" i="5"/>
  <c r="CV232" i="5"/>
  <c r="CV233" i="5"/>
  <c r="CV234" i="5"/>
  <c r="CV235" i="5"/>
  <c r="CV236" i="5"/>
  <c r="CV237" i="5"/>
  <c r="CV238" i="5"/>
  <c r="CV239" i="5"/>
  <c r="CV240" i="5"/>
  <c r="CV241" i="5"/>
  <c r="CV242" i="5"/>
  <c r="CV243" i="5"/>
  <c r="CV244" i="5"/>
  <c r="CV245" i="5"/>
  <c r="CV246" i="5"/>
  <c r="CV247" i="5"/>
  <c r="CV248" i="5"/>
  <c r="CV249" i="5"/>
  <c r="CV250" i="5"/>
  <c r="CV251" i="5"/>
  <c r="CV252" i="5"/>
  <c r="CV253" i="5"/>
  <c r="CV254" i="5"/>
  <c r="CV255" i="5"/>
  <c r="CV256" i="5"/>
  <c r="CV257" i="5"/>
  <c r="CV258" i="5"/>
  <c r="CV259" i="5"/>
  <c r="CV260" i="5"/>
  <c r="CV261" i="5"/>
  <c r="CV262" i="5"/>
  <c r="CV263" i="5"/>
  <c r="CV264" i="5"/>
  <c r="CV265" i="5"/>
  <c r="CV266" i="5"/>
  <c r="CV267" i="5"/>
  <c r="CV268" i="5"/>
  <c r="CV269" i="5"/>
  <c r="CV270" i="5"/>
  <c r="CV271" i="5"/>
  <c r="CV272" i="5"/>
  <c r="CV273" i="5"/>
  <c r="CV274" i="5"/>
  <c r="CV275" i="5"/>
  <c r="CV276" i="5"/>
  <c r="CV277" i="5"/>
  <c r="CV278" i="5"/>
  <c r="CV279" i="5"/>
  <c r="CV280" i="5"/>
  <c r="CV281" i="5"/>
  <c r="CV282" i="5"/>
  <c r="CV283" i="5"/>
  <c r="CV284" i="5"/>
  <c r="CV285" i="5"/>
  <c r="CV286" i="5"/>
  <c r="CV287" i="5"/>
  <c r="CV288" i="5"/>
  <c r="CV289" i="5"/>
  <c r="CV290" i="5"/>
  <c r="CV291" i="5"/>
  <c r="CV292" i="5"/>
  <c r="CV293" i="5"/>
  <c r="CV294" i="5"/>
  <c r="CV295" i="5"/>
  <c r="CV296" i="5"/>
  <c r="CV297" i="5"/>
  <c r="CV298" i="5"/>
  <c r="CV299" i="5"/>
  <c r="CV300" i="5"/>
  <c r="CV301" i="5"/>
  <c r="CV302" i="5"/>
  <c r="CV303" i="5"/>
  <c r="CV304" i="5"/>
  <c r="CV305" i="5"/>
  <c r="CV306" i="5"/>
  <c r="CV307" i="5"/>
  <c r="CV308" i="5"/>
  <c r="CV309" i="5"/>
  <c r="CV310" i="5"/>
  <c r="CV311" i="5"/>
  <c r="CV312" i="5"/>
  <c r="CV313" i="5"/>
  <c r="CV314" i="5"/>
  <c r="CV315" i="5"/>
  <c r="CV316" i="5"/>
  <c r="CV317" i="5"/>
  <c r="CV318" i="5"/>
  <c r="CV319" i="5"/>
  <c r="CV320" i="5"/>
  <c r="CV321" i="5"/>
  <c r="CV322" i="5"/>
  <c r="CV323" i="5"/>
  <c r="CV324" i="5"/>
  <c r="CV325" i="5"/>
  <c r="CV326" i="5"/>
  <c r="CV327" i="5"/>
  <c r="CV328" i="5"/>
  <c r="CV329" i="5"/>
  <c r="CV330" i="5"/>
  <c r="CV331" i="5"/>
  <c r="CV332" i="5"/>
  <c r="CV333" i="5"/>
  <c r="CV334" i="5"/>
  <c r="CV335" i="5"/>
  <c r="CV336" i="5"/>
  <c r="CV337" i="5"/>
  <c r="CV338" i="5"/>
  <c r="CV339" i="5"/>
  <c r="CV340" i="5"/>
  <c r="CV341" i="5"/>
  <c r="CV342" i="5"/>
  <c r="CV343" i="5"/>
  <c r="CV344" i="5"/>
  <c r="CV345" i="5"/>
  <c r="CV346" i="5"/>
  <c r="CV347" i="5"/>
  <c r="CV348" i="5"/>
  <c r="CV349" i="5"/>
  <c r="CV350" i="5"/>
  <c r="CV351" i="5"/>
  <c r="CV352" i="5"/>
  <c r="CV353" i="5"/>
  <c r="CV354" i="5"/>
  <c r="CV355" i="5"/>
  <c r="CV356" i="5"/>
  <c r="CV357" i="5"/>
  <c r="CV358" i="5"/>
  <c r="CV359" i="5"/>
  <c r="CV360" i="5"/>
  <c r="CV361" i="5"/>
  <c r="CV362" i="5"/>
  <c r="CV363" i="5"/>
  <c r="CV364" i="5"/>
  <c r="CV365" i="5"/>
  <c r="CV366" i="5"/>
  <c r="CV367" i="5"/>
  <c r="CV368" i="5"/>
  <c r="CV369" i="5"/>
  <c r="CV370" i="5"/>
  <c r="CV371" i="5"/>
  <c r="CV372" i="5"/>
  <c r="CV373" i="5"/>
  <c r="CV374" i="5"/>
  <c r="CV375" i="5"/>
  <c r="CV376" i="5"/>
  <c r="CV377" i="5"/>
  <c r="CV378" i="5"/>
  <c r="CV379" i="5"/>
  <c r="CV380" i="5"/>
  <c r="CV381" i="5"/>
  <c r="CV382" i="5"/>
  <c r="CV383" i="5"/>
  <c r="CV384" i="5"/>
  <c r="CV385" i="5"/>
  <c r="CV386" i="5"/>
  <c r="CV387" i="5"/>
  <c r="CV388" i="5"/>
  <c r="CV389" i="5"/>
  <c r="CV390" i="5"/>
  <c r="CV391" i="5"/>
  <c r="CV392" i="5"/>
  <c r="CV393" i="5"/>
  <c r="CV394" i="5"/>
  <c r="CV395" i="5"/>
  <c r="CV396" i="5"/>
  <c r="CV397" i="5"/>
  <c r="CV398" i="5"/>
  <c r="CV399" i="5"/>
  <c r="CV400" i="5"/>
  <c r="CV401" i="5"/>
  <c r="CV402" i="5"/>
  <c r="CV403" i="5"/>
  <c r="CV404" i="5"/>
  <c r="CV405" i="5"/>
  <c r="CV406" i="5"/>
  <c r="CV407" i="5"/>
  <c r="CV408" i="5"/>
  <c r="CV409" i="5"/>
  <c r="CV410" i="5"/>
  <c r="CV411" i="5"/>
  <c r="CV412" i="5"/>
  <c r="CV413" i="5"/>
  <c r="CV414" i="5"/>
  <c r="CV415" i="5"/>
  <c r="CV416" i="5"/>
  <c r="CV417" i="5"/>
  <c r="CV418" i="5"/>
  <c r="CV419" i="5"/>
  <c r="CV420" i="5"/>
  <c r="CV421" i="5"/>
  <c r="CV422" i="5"/>
  <c r="CV423" i="5"/>
  <c r="CV424" i="5"/>
  <c r="CV425" i="5"/>
  <c r="CV426" i="5"/>
  <c r="CV427" i="5"/>
  <c r="CV428" i="5"/>
  <c r="CV429" i="5"/>
  <c r="CV430" i="5"/>
  <c r="CV431" i="5"/>
  <c r="CV432" i="5"/>
  <c r="CV433" i="5"/>
  <c r="CV434" i="5"/>
  <c r="CV435" i="5"/>
  <c r="CV436" i="5"/>
  <c r="CV437" i="5"/>
  <c r="CV438" i="5"/>
  <c r="CV439" i="5"/>
  <c r="CV440" i="5"/>
  <c r="CV441" i="5"/>
  <c r="CV442" i="5"/>
  <c r="CV443" i="5"/>
  <c r="CV444" i="5"/>
  <c r="CV445" i="5"/>
  <c r="CV446" i="5"/>
  <c r="CV447" i="5"/>
  <c r="CV448" i="5"/>
  <c r="CV449" i="5"/>
  <c r="CV450" i="5"/>
  <c r="CV451" i="5"/>
  <c r="CV452" i="5"/>
  <c r="CV453" i="5"/>
  <c r="CV454" i="5"/>
  <c r="CV455" i="5"/>
  <c r="CV456" i="5"/>
  <c r="CV457" i="5"/>
  <c r="CV458" i="5"/>
  <c r="CV459" i="5"/>
  <c r="CV460" i="5"/>
  <c r="CV461" i="5"/>
  <c r="CV462" i="5"/>
  <c r="CV463" i="5"/>
  <c r="CV464" i="5"/>
  <c r="CV465" i="5"/>
  <c r="CV466" i="5"/>
  <c r="CV467" i="5"/>
  <c r="CV468" i="5"/>
  <c r="CV469" i="5"/>
  <c r="CV470" i="5"/>
  <c r="CV471" i="5"/>
  <c r="CV472" i="5"/>
  <c r="CV473" i="5"/>
  <c r="CV474" i="5"/>
  <c r="CV475" i="5"/>
  <c r="CV476" i="5"/>
  <c r="CV477" i="5"/>
  <c r="CV478" i="5"/>
  <c r="CV479" i="5"/>
  <c r="CV480" i="5"/>
  <c r="CV481" i="5"/>
  <c r="CV482" i="5"/>
  <c r="CV483" i="5"/>
  <c r="CV484" i="5"/>
  <c r="CV485" i="5"/>
  <c r="CV486" i="5"/>
  <c r="CV487" i="5"/>
  <c r="CV488" i="5"/>
  <c r="CV489" i="5"/>
  <c r="CV490" i="5"/>
  <c r="CV491" i="5"/>
  <c r="CV492" i="5"/>
  <c r="CV493" i="5"/>
  <c r="CV494" i="5"/>
  <c r="CV495" i="5"/>
  <c r="CV496" i="5"/>
  <c r="CV497" i="5"/>
  <c r="CV498" i="5"/>
  <c r="CV499" i="5"/>
  <c r="CV500" i="5"/>
  <c r="CV501" i="5"/>
  <c r="CV502" i="5"/>
  <c r="CV503" i="5"/>
  <c r="CV504" i="5"/>
  <c r="CV505" i="5"/>
  <c r="CV506" i="5"/>
  <c r="CV507" i="5"/>
  <c r="CV508" i="5"/>
  <c r="CV509" i="5"/>
  <c r="CV510" i="5"/>
  <c r="CV511" i="5"/>
  <c r="CV512" i="5"/>
  <c r="CV513" i="5"/>
  <c r="CV514" i="5"/>
  <c r="CV515" i="5"/>
  <c r="CV516" i="5"/>
  <c r="CV517" i="5"/>
  <c r="CV518" i="5"/>
  <c r="CV519" i="5"/>
  <c r="CV520" i="5"/>
  <c r="CV521" i="5"/>
  <c r="CV522" i="5"/>
  <c r="CV523" i="5"/>
  <c r="CV524" i="5"/>
  <c r="CV525" i="5"/>
  <c r="CV526" i="5"/>
  <c r="CV527" i="5"/>
  <c r="CV528" i="5"/>
  <c r="CV529" i="5"/>
  <c r="CV530" i="5"/>
  <c r="CV531" i="5"/>
  <c r="CV532" i="5"/>
  <c r="CV533" i="5"/>
  <c r="CV534" i="5"/>
  <c r="CV535" i="5"/>
  <c r="CV536" i="5"/>
  <c r="CV537" i="5"/>
  <c r="CV538" i="5"/>
  <c r="CV539" i="5"/>
  <c r="CV540" i="5"/>
  <c r="CV541" i="5"/>
  <c r="CV542" i="5"/>
  <c r="CV543" i="5"/>
  <c r="CV544" i="5"/>
  <c r="CV545" i="5"/>
  <c r="CV546" i="5"/>
  <c r="CV547" i="5"/>
  <c r="CV548" i="5"/>
  <c r="CV549" i="5"/>
  <c r="CV550" i="5"/>
  <c r="CV551" i="5"/>
  <c r="CV552" i="5"/>
  <c r="CV553" i="5"/>
  <c r="CV554" i="5"/>
  <c r="CV555" i="5"/>
  <c r="CV556" i="5"/>
  <c r="CV557" i="5"/>
  <c r="CV558" i="5"/>
  <c r="CV559" i="5"/>
  <c r="CV560" i="5"/>
  <c r="CV561" i="5"/>
  <c r="CV562" i="5"/>
  <c r="CV563" i="5"/>
  <c r="CV564" i="5"/>
  <c r="CV565" i="5"/>
  <c r="CV566" i="5"/>
  <c r="CV567" i="5"/>
  <c r="CV568" i="5"/>
  <c r="CV569" i="5"/>
  <c r="CV570" i="5"/>
  <c r="CV571" i="5"/>
  <c r="CV572" i="5"/>
  <c r="CV573" i="5"/>
  <c r="CV574" i="5"/>
  <c r="CV575" i="5"/>
  <c r="CV576" i="5"/>
  <c r="CV577" i="5"/>
  <c r="CV578" i="5"/>
  <c r="CV579" i="5"/>
  <c r="CV580" i="5"/>
  <c r="CV581" i="5"/>
  <c r="CV582" i="5"/>
  <c r="CV583" i="5"/>
  <c r="CV584" i="5"/>
  <c r="CV585" i="5"/>
  <c r="CV586" i="5"/>
  <c r="CV587" i="5"/>
  <c r="CV588" i="5"/>
  <c r="CV589" i="5"/>
  <c r="CV590" i="5"/>
  <c r="CV591" i="5"/>
  <c r="CV592" i="5"/>
  <c r="CV593" i="5"/>
  <c r="CV594" i="5"/>
  <c r="CV595" i="5"/>
  <c r="CV596" i="5"/>
  <c r="CV597" i="5"/>
  <c r="CV598" i="5"/>
  <c r="CV599" i="5"/>
  <c r="CV600" i="5"/>
  <c r="CV601" i="5"/>
  <c r="CV602" i="5"/>
  <c r="CV603" i="5"/>
  <c r="CV604" i="5"/>
  <c r="CV605" i="5"/>
  <c r="CV606" i="5"/>
  <c r="CV607" i="5"/>
  <c r="CV608" i="5"/>
  <c r="CV609" i="5"/>
  <c r="CV610" i="5"/>
  <c r="CV611" i="5"/>
  <c r="CV612" i="5"/>
  <c r="CV613" i="5"/>
  <c r="CV614" i="5"/>
  <c r="CV615" i="5"/>
  <c r="CV616" i="5"/>
  <c r="CV617" i="5"/>
  <c r="CV618" i="5"/>
  <c r="CV619" i="5"/>
  <c r="CV620" i="5"/>
  <c r="CV621" i="5"/>
  <c r="CV622" i="5"/>
  <c r="CV623" i="5"/>
  <c r="CV624" i="5"/>
  <c r="CV625" i="5"/>
  <c r="CV626" i="5"/>
  <c r="CV627" i="5"/>
  <c r="CV628" i="5"/>
  <c r="CV629" i="5"/>
  <c r="CV630" i="5"/>
  <c r="CV631" i="5"/>
  <c r="CV632" i="5"/>
  <c r="CV633" i="5"/>
  <c r="CV634" i="5"/>
  <c r="CV635" i="5"/>
  <c r="CV636" i="5"/>
  <c r="CV637" i="5"/>
  <c r="CV638" i="5"/>
  <c r="CV639" i="5"/>
  <c r="CV640" i="5"/>
  <c r="CV641" i="5"/>
  <c r="CV642" i="5"/>
  <c r="CV643" i="5"/>
  <c r="CV644" i="5"/>
  <c r="CV645" i="5"/>
  <c r="CV646" i="5"/>
  <c r="CV647" i="5"/>
  <c r="CV648" i="5"/>
  <c r="CV649" i="5"/>
  <c r="CV650" i="5"/>
  <c r="CV651" i="5"/>
  <c r="CV652" i="5"/>
  <c r="CV653" i="5"/>
  <c r="CV654" i="5"/>
  <c r="CV655" i="5"/>
  <c r="CV656" i="5"/>
  <c r="CV657" i="5"/>
  <c r="CV658" i="5"/>
  <c r="CV659" i="5"/>
  <c r="CV660" i="5"/>
  <c r="CV661" i="5"/>
  <c r="CV662" i="5"/>
  <c r="CV663" i="5"/>
  <c r="CV664" i="5"/>
  <c r="CV665" i="5"/>
  <c r="CV666" i="5"/>
  <c r="CV667" i="5"/>
  <c r="CV668" i="5"/>
  <c r="CV669" i="5"/>
  <c r="CV670" i="5"/>
  <c r="CV671" i="5"/>
  <c r="CV672" i="5"/>
  <c r="CV673" i="5"/>
  <c r="CV674" i="5"/>
  <c r="CV675" i="5"/>
  <c r="CV676" i="5"/>
  <c r="CV677" i="5"/>
  <c r="CV678" i="5"/>
  <c r="CV679" i="5"/>
  <c r="CV680" i="5"/>
  <c r="CV681" i="5"/>
  <c r="CV682" i="5"/>
  <c r="CV683" i="5"/>
  <c r="CV684" i="5"/>
  <c r="CV685" i="5"/>
  <c r="CV686" i="5"/>
  <c r="CV687" i="5"/>
  <c r="CV688" i="5"/>
  <c r="CV689" i="5"/>
  <c r="CV690" i="5"/>
  <c r="CV691" i="5"/>
  <c r="CV692" i="5"/>
  <c r="CV693" i="5"/>
  <c r="CV694" i="5"/>
  <c r="CV695" i="5"/>
  <c r="CV696" i="5"/>
  <c r="CV697" i="5"/>
  <c r="CV698" i="5"/>
  <c r="CV699" i="5"/>
  <c r="CV700" i="5"/>
  <c r="CV701" i="5"/>
  <c r="CV702" i="5"/>
  <c r="CV703" i="5"/>
  <c r="CV704" i="5"/>
  <c r="CV705" i="5"/>
  <c r="CV706" i="5"/>
  <c r="CV707" i="5"/>
  <c r="CV708" i="5"/>
  <c r="CV709" i="5"/>
  <c r="CV710" i="5"/>
  <c r="CV711" i="5"/>
  <c r="CV712" i="5"/>
  <c r="CV713" i="5"/>
  <c r="CV714" i="5"/>
  <c r="CV715" i="5"/>
  <c r="CV716" i="5"/>
  <c r="CV717" i="5"/>
  <c r="CV718" i="5"/>
  <c r="CV719" i="5"/>
  <c r="CV720" i="5"/>
  <c r="CV721" i="5"/>
  <c r="CV722" i="5"/>
  <c r="CV723" i="5"/>
  <c r="CV724" i="5"/>
  <c r="CV725" i="5"/>
  <c r="CV726" i="5"/>
  <c r="CV727" i="5"/>
  <c r="CV728" i="5"/>
  <c r="CV729" i="5"/>
  <c r="CV730" i="5"/>
  <c r="CV731" i="5"/>
  <c r="CV732" i="5"/>
  <c r="CV733" i="5"/>
  <c r="CV734" i="5"/>
  <c r="CV735" i="5"/>
  <c r="CV736" i="5"/>
  <c r="CV737" i="5"/>
  <c r="CV738" i="5"/>
  <c r="CV739" i="5"/>
  <c r="CV740" i="5"/>
  <c r="CV741" i="5"/>
  <c r="CV742" i="5"/>
  <c r="CV743" i="5"/>
  <c r="CV744" i="5"/>
  <c r="CV745" i="5"/>
  <c r="CV746" i="5"/>
  <c r="CV747" i="5"/>
  <c r="CV748" i="5"/>
  <c r="CV749" i="5"/>
  <c r="CV750" i="5"/>
  <c r="CV751" i="5"/>
  <c r="CV752" i="5"/>
  <c r="CV753" i="5"/>
  <c r="CV754" i="5"/>
  <c r="CV755" i="5"/>
  <c r="CV756" i="5"/>
  <c r="CV757" i="5"/>
  <c r="CV758" i="5"/>
  <c r="CV759" i="5"/>
  <c r="CV760" i="5"/>
  <c r="CV761" i="5"/>
  <c r="CV762" i="5"/>
  <c r="CV763" i="5"/>
  <c r="CV764" i="5"/>
  <c r="CV765" i="5"/>
  <c r="CV766" i="5"/>
  <c r="CV767" i="5"/>
  <c r="CV768" i="5"/>
  <c r="CV769" i="5"/>
  <c r="CV770" i="5"/>
  <c r="CV771" i="5"/>
  <c r="CV772" i="5"/>
  <c r="CV773" i="5"/>
  <c r="CV774" i="5"/>
  <c r="CV775" i="5"/>
  <c r="CV776" i="5"/>
  <c r="CV777" i="5"/>
  <c r="CV778" i="5"/>
  <c r="CV779" i="5"/>
  <c r="CV780" i="5"/>
  <c r="CV781" i="5"/>
  <c r="CV782" i="5"/>
  <c r="CV783" i="5"/>
  <c r="CV784" i="5"/>
  <c r="CV785" i="5"/>
  <c r="CV786" i="5"/>
  <c r="CV787" i="5"/>
  <c r="CV788" i="5"/>
  <c r="CV789" i="5"/>
  <c r="CV790" i="5"/>
  <c r="CV791" i="5"/>
  <c r="CV792" i="5"/>
  <c r="CV793" i="5"/>
  <c r="CV794" i="5"/>
  <c r="CV795" i="5"/>
  <c r="CV796" i="5"/>
  <c r="CV797" i="5"/>
  <c r="CV798" i="5"/>
  <c r="CV799" i="5"/>
  <c r="CV800" i="5"/>
  <c r="CV801" i="5"/>
  <c r="CV802" i="5"/>
  <c r="CV803" i="5"/>
  <c r="CV804" i="5"/>
  <c r="CV805" i="5"/>
  <c r="CV806" i="5"/>
  <c r="CV807" i="5"/>
  <c r="CV808" i="5"/>
  <c r="CV809" i="5"/>
  <c r="CV810" i="5"/>
  <c r="CV811" i="5"/>
  <c r="CV812" i="5"/>
  <c r="CV813" i="5"/>
  <c r="CV814" i="5"/>
  <c r="CV815" i="5"/>
  <c r="CV816" i="5"/>
  <c r="CV817" i="5"/>
  <c r="CV818" i="5"/>
  <c r="CV819" i="5"/>
  <c r="CV820" i="5"/>
  <c r="CV821" i="5"/>
  <c r="CV822" i="5"/>
  <c r="CV823" i="5"/>
  <c r="CV824" i="5"/>
  <c r="CV825" i="5"/>
  <c r="CV826" i="5"/>
  <c r="CV827" i="5"/>
  <c r="CV828" i="5"/>
  <c r="CV829" i="5"/>
  <c r="CV830" i="5"/>
  <c r="CV831" i="5"/>
  <c r="CV832" i="5"/>
  <c r="CV833" i="5"/>
  <c r="CV834" i="5"/>
  <c r="CV835" i="5"/>
  <c r="CV836" i="5"/>
  <c r="CV837" i="5"/>
  <c r="CV838" i="5"/>
  <c r="CV839" i="5"/>
  <c r="CV840" i="5"/>
  <c r="CV841" i="5"/>
  <c r="CV842" i="5"/>
  <c r="CV843" i="5"/>
  <c r="CV844" i="5"/>
  <c r="CV845" i="5"/>
  <c r="CV846" i="5"/>
  <c r="CV847" i="5"/>
  <c r="CV848" i="5"/>
  <c r="CV849" i="5"/>
  <c r="CV850" i="5"/>
  <c r="CV851" i="5"/>
  <c r="CV852" i="5"/>
  <c r="CV853" i="5"/>
  <c r="CV854" i="5"/>
  <c r="CV855" i="5"/>
  <c r="CV856" i="5"/>
  <c r="CV857" i="5"/>
  <c r="CV858" i="5"/>
  <c r="CV859" i="5"/>
  <c r="CV860" i="5"/>
  <c r="CV861" i="5"/>
  <c r="CV862" i="5"/>
  <c r="CV863" i="5"/>
  <c r="CV864" i="5"/>
  <c r="CV865" i="5"/>
  <c r="CV866" i="5"/>
  <c r="CV867" i="5"/>
  <c r="CV868" i="5"/>
  <c r="CV869" i="5"/>
  <c r="CV870" i="5"/>
  <c r="CV871" i="5"/>
  <c r="CV872" i="5"/>
  <c r="CV873" i="5"/>
  <c r="CV874" i="5"/>
  <c r="CV875" i="5"/>
  <c r="CV876" i="5"/>
  <c r="CV877" i="5"/>
  <c r="CV878" i="5"/>
  <c r="CV879" i="5"/>
  <c r="CV880" i="5"/>
  <c r="CV881" i="5"/>
  <c r="CV882" i="5"/>
  <c r="CV883" i="5"/>
  <c r="CV884" i="5"/>
  <c r="CV885" i="5"/>
  <c r="CV886" i="5"/>
  <c r="CV887" i="5"/>
  <c r="CV888" i="5"/>
  <c r="CV889" i="5"/>
  <c r="CV890" i="5"/>
  <c r="CV891" i="5"/>
  <c r="CV892" i="5"/>
  <c r="CV893" i="5"/>
  <c r="CV894" i="5"/>
  <c r="CV895" i="5"/>
  <c r="CV896" i="5"/>
  <c r="CV897" i="5"/>
  <c r="CV898" i="5"/>
  <c r="CV899" i="5"/>
  <c r="CV900" i="5"/>
  <c r="CV901" i="5"/>
  <c r="CV902" i="5"/>
  <c r="CV903" i="5"/>
  <c r="CV904" i="5"/>
  <c r="CV905" i="5"/>
  <c r="CV906" i="5"/>
  <c r="CV907" i="5"/>
  <c r="CV908" i="5"/>
  <c r="CV909" i="5"/>
  <c r="CV910" i="5"/>
  <c r="CV911" i="5"/>
  <c r="CV912" i="5"/>
  <c r="CV913" i="5"/>
  <c r="CV914" i="5"/>
  <c r="CV915" i="5"/>
  <c r="CV916" i="5"/>
  <c r="CV917" i="5"/>
  <c r="CV918" i="5"/>
  <c r="CV919" i="5"/>
  <c r="CV920" i="5"/>
  <c r="CV921" i="5"/>
  <c r="CV922" i="5"/>
  <c r="CV923" i="5"/>
  <c r="CV924" i="5"/>
  <c r="CV925" i="5"/>
  <c r="CV926" i="5"/>
  <c r="CV927" i="5"/>
  <c r="CV928" i="5"/>
  <c r="CV929" i="5"/>
  <c r="CV930" i="5"/>
  <c r="CV931" i="5"/>
  <c r="CV932" i="5"/>
  <c r="CV933" i="5"/>
  <c r="CV934" i="5"/>
  <c r="CV935" i="5"/>
  <c r="CV936" i="5"/>
  <c r="CV937" i="5"/>
  <c r="CV938" i="5"/>
  <c r="CV939" i="5"/>
  <c r="CV940" i="5"/>
  <c r="CV941" i="5"/>
  <c r="CV942" i="5"/>
  <c r="CV943" i="5"/>
  <c r="CV944" i="5"/>
  <c r="CV945" i="5"/>
  <c r="CV946" i="5"/>
  <c r="CV947" i="5"/>
  <c r="CV948" i="5"/>
  <c r="CV949" i="5"/>
  <c r="CV950" i="5"/>
  <c r="CV951" i="5"/>
  <c r="CV952" i="5"/>
  <c r="CV953" i="5"/>
  <c r="CV954" i="5"/>
  <c r="CV955" i="5"/>
  <c r="CV956" i="5"/>
  <c r="CV957" i="5"/>
  <c r="CV958" i="5"/>
  <c r="CV959" i="5"/>
  <c r="CV960" i="5"/>
  <c r="CV961" i="5"/>
  <c r="CV962" i="5"/>
  <c r="CV963" i="5"/>
  <c r="CV964" i="5"/>
  <c r="CV965" i="5"/>
  <c r="CV966" i="5"/>
  <c r="CV967" i="5"/>
  <c r="CV968" i="5"/>
  <c r="CV969" i="5"/>
  <c r="CV970" i="5"/>
  <c r="CV971" i="5"/>
  <c r="CV972" i="5"/>
  <c r="CV973" i="5"/>
  <c r="CV974" i="5"/>
  <c r="CV975" i="5"/>
  <c r="CV976" i="5"/>
  <c r="CV977" i="5"/>
  <c r="CV978" i="5"/>
  <c r="CV979" i="5"/>
  <c r="CV980" i="5"/>
  <c r="CV981" i="5"/>
  <c r="CV982" i="5"/>
  <c r="CV983" i="5"/>
  <c r="CV984" i="5"/>
  <c r="CV985" i="5"/>
  <c r="CV986" i="5"/>
  <c r="CV987" i="5"/>
  <c r="CV988" i="5"/>
  <c r="CV989" i="5"/>
  <c r="CV990" i="5"/>
  <c r="CV991" i="5"/>
  <c r="CV992" i="5"/>
  <c r="CV993" i="5"/>
  <c r="CV994" i="5"/>
  <c r="CV995" i="5"/>
  <c r="CV996" i="5"/>
  <c r="CV997" i="5"/>
  <c r="CV998" i="5"/>
  <c r="CV999" i="5"/>
  <c r="CV1000" i="5"/>
  <c r="CV1001" i="5"/>
  <c r="CV1002" i="5"/>
  <c r="CV1003" i="5"/>
  <c r="CV1004" i="5"/>
  <c r="CV1005" i="5"/>
  <c r="CV1006" i="5"/>
  <c r="CV1007" i="5"/>
  <c r="CV1008" i="5"/>
  <c r="CV1009" i="5"/>
  <c r="CV1010" i="5"/>
  <c r="CV1011" i="5"/>
  <c r="CV1012" i="5"/>
  <c r="CV1013" i="5"/>
  <c r="CV1014" i="5"/>
  <c r="CV1015" i="5"/>
  <c r="CV1016" i="5"/>
  <c r="CV1017" i="5"/>
  <c r="CV1018" i="5"/>
  <c r="CV1019" i="5"/>
  <c r="CV1020" i="5"/>
  <c r="CV1021" i="5"/>
  <c r="CV1022" i="5"/>
  <c r="CV1023" i="5"/>
  <c r="CV1024" i="5"/>
  <c r="CV1025" i="5"/>
  <c r="CV1026" i="5"/>
  <c r="CV1027" i="5"/>
  <c r="CV1028" i="5"/>
  <c r="CV1029" i="5"/>
  <c r="CV1030" i="5"/>
  <c r="CV1031" i="5"/>
  <c r="CV1032" i="5"/>
  <c r="CV1033" i="5"/>
  <c r="CV1034" i="5"/>
  <c r="CV1035" i="5"/>
  <c r="CV1036" i="5"/>
  <c r="CV1037" i="5"/>
  <c r="CV1038" i="5"/>
  <c r="CV1039" i="5"/>
  <c r="CV1040" i="5"/>
  <c r="CV1041" i="5"/>
  <c r="CV1042" i="5"/>
  <c r="CV1043" i="5"/>
  <c r="CV1044" i="5"/>
  <c r="CV1045" i="5"/>
  <c r="CV1046" i="5"/>
  <c r="CV1047" i="5"/>
  <c r="CV1048" i="5"/>
  <c r="CV1049" i="5"/>
  <c r="CV1050" i="5"/>
  <c r="CV1051" i="5"/>
  <c r="CV1052" i="5"/>
  <c r="CV1053" i="5"/>
  <c r="CV1054" i="5"/>
  <c r="CV1055" i="5"/>
  <c r="CV1056" i="5"/>
  <c r="CV1057" i="5"/>
  <c r="CV1058" i="5"/>
  <c r="CV1059" i="5"/>
  <c r="CV1060" i="5"/>
  <c r="CV1061" i="5"/>
  <c r="CV1062" i="5"/>
  <c r="CV1063" i="5"/>
  <c r="CV1064" i="5"/>
  <c r="CV1065" i="5"/>
  <c r="CV1066" i="5"/>
  <c r="CV1067" i="5"/>
  <c r="CV1068" i="5"/>
  <c r="CV1069" i="5"/>
  <c r="CV1070" i="5"/>
  <c r="CV1071" i="5"/>
  <c r="CV1072" i="5"/>
  <c r="CV1073" i="5"/>
  <c r="CV2" i="5"/>
  <c r="CW3" i="5"/>
  <c r="CW4" i="5"/>
  <c r="CW5" i="5"/>
  <c r="CW6" i="5"/>
  <c r="CW7" i="5"/>
  <c r="CW8" i="5"/>
  <c r="CW9" i="5"/>
  <c r="CW10" i="5"/>
  <c r="CW11" i="5"/>
  <c r="CW12" i="5"/>
  <c r="CW13" i="5"/>
  <c r="CW14" i="5"/>
  <c r="CW15" i="5"/>
  <c r="CW16" i="5"/>
  <c r="CW17" i="5"/>
  <c r="CW18" i="5"/>
  <c r="CW19" i="5"/>
  <c r="CW20" i="5"/>
  <c r="CW21" i="5"/>
  <c r="CW22" i="5"/>
  <c r="CW23" i="5"/>
  <c r="CW24" i="5"/>
  <c r="CW25" i="5"/>
  <c r="CW26" i="5"/>
  <c r="CW27" i="5"/>
  <c r="CW28" i="5"/>
  <c r="CW29" i="5"/>
  <c r="CW30" i="5"/>
  <c r="CW31" i="5"/>
  <c r="CW32" i="5"/>
  <c r="CW33" i="5"/>
  <c r="CW34" i="5"/>
  <c r="CW35" i="5"/>
  <c r="CW36" i="5"/>
  <c r="CW37" i="5"/>
  <c r="CW38" i="5"/>
  <c r="CW39" i="5"/>
  <c r="CW40" i="5"/>
  <c r="CW41" i="5"/>
  <c r="CW42" i="5"/>
  <c r="CW43" i="5"/>
  <c r="CW44" i="5"/>
  <c r="CW45" i="5"/>
  <c r="CW46" i="5"/>
  <c r="CW47" i="5"/>
  <c r="CW48" i="5"/>
  <c r="CW49" i="5"/>
  <c r="CW50" i="5"/>
  <c r="CW51" i="5"/>
  <c r="CW52" i="5"/>
  <c r="CW53" i="5"/>
  <c r="CW54" i="5"/>
  <c r="CW55" i="5"/>
  <c r="CW56" i="5"/>
  <c r="CW57" i="5"/>
  <c r="CW58" i="5"/>
  <c r="CW59" i="5"/>
  <c r="CW60" i="5"/>
  <c r="CW61" i="5"/>
  <c r="CW62" i="5"/>
  <c r="CW63" i="5"/>
  <c r="CW64" i="5"/>
  <c r="CW65" i="5"/>
  <c r="CW66" i="5"/>
  <c r="CW67" i="5"/>
  <c r="CW68" i="5"/>
  <c r="CW69" i="5"/>
  <c r="CW70" i="5"/>
  <c r="CW71" i="5"/>
  <c r="CW72" i="5"/>
  <c r="CW73" i="5"/>
  <c r="CW74" i="5"/>
  <c r="CW75" i="5"/>
  <c r="CW76" i="5"/>
  <c r="CW77" i="5"/>
  <c r="CW78" i="5"/>
  <c r="CW79" i="5"/>
  <c r="CW80" i="5"/>
  <c r="CW81" i="5"/>
  <c r="CW82" i="5"/>
  <c r="CW83" i="5"/>
  <c r="CW84" i="5"/>
  <c r="CW85" i="5"/>
  <c r="CW86" i="5"/>
  <c r="CW87" i="5"/>
  <c r="CW88" i="5"/>
  <c r="CW89" i="5"/>
  <c r="CW90" i="5"/>
  <c r="CW91" i="5"/>
  <c r="CW92" i="5"/>
  <c r="CW93" i="5"/>
  <c r="CW94" i="5"/>
  <c r="CW95" i="5"/>
  <c r="CW96" i="5"/>
  <c r="CW97" i="5"/>
  <c r="CW98" i="5"/>
  <c r="CW99" i="5"/>
  <c r="CW100" i="5"/>
  <c r="CW101" i="5"/>
  <c r="CW102" i="5"/>
  <c r="CW103" i="5"/>
  <c r="CW104" i="5"/>
  <c r="CW105" i="5"/>
  <c r="CW106" i="5"/>
  <c r="CW107" i="5"/>
  <c r="CW108" i="5"/>
  <c r="CW109" i="5"/>
  <c r="CW110" i="5"/>
  <c r="CW111" i="5"/>
  <c r="CW112" i="5"/>
  <c r="CW113" i="5"/>
  <c r="CW114" i="5"/>
  <c r="CW115" i="5"/>
  <c r="CW116" i="5"/>
  <c r="CW117" i="5"/>
  <c r="CW118" i="5"/>
  <c r="CW119" i="5"/>
  <c r="CW120" i="5"/>
  <c r="CW121" i="5"/>
  <c r="CW122" i="5"/>
  <c r="CW123" i="5"/>
  <c r="CW124" i="5"/>
  <c r="CW125" i="5"/>
  <c r="CW126" i="5"/>
  <c r="CW127" i="5"/>
  <c r="CW128" i="5"/>
  <c r="CW129" i="5"/>
  <c r="CW130" i="5"/>
  <c r="CW131" i="5"/>
  <c r="CW132" i="5"/>
  <c r="CW133" i="5"/>
  <c r="CW134" i="5"/>
  <c r="CW135" i="5"/>
  <c r="CW136" i="5"/>
  <c r="CW137" i="5"/>
  <c r="CW138" i="5"/>
  <c r="CW139" i="5"/>
  <c r="CW140" i="5"/>
  <c r="CW141" i="5"/>
  <c r="CW142" i="5"/>
  <c r="CW143" i="5"/>
  <c r="CW144" i="5"/>
  <c r="CW145" i="5"/>
  <c r="CW146" i="5"/>
  <c r="CW147" i="5"/>
  <c r="CW148" i="5"/>
  <c r="CW149" i="5"/>
  <c r="CW150" i="5"/>
  <c r="CW151" i="5"/>
  <c r="CW152" i="5"/>
  <c r="CW153" i="5"/>
  <c r="CW154" i="5"/>
  <c r="CW155" i="5"/>
  <c r="CW156" i="5"/>
  <c r="CW157" i="5"/>
  <c r="CW158" i="5"/>
  <c r="CW159" i="5"/>
  <c r="CW160" i="5"/>
  <c r="CW161" i="5"/>
  <c r="CW162" i="5"/>
  <c r="CW163" i="5"/>
  <c r="CW164" i="5"/>
  <c r="CW165" i="5"/>
  <c r="CW166" i="5"/>
  <c r="CW167" i="5"/>
  <c r="CW168" i="5"/>
  <c r="CW169" i="5"/>
  <c r="CW170" i="5"/>
  <c r="CW171" i="5"/>
  <c r="CW172" i="5"/>
  <c r="CW173" i="5"/>
  <c r="CW174" i="5"/>
  <c r="CW175" i="5"/>
  <c r="CW176" i="5"/>
  <c r="CW177" i="5"/>
  <c r="CW178" i="5"/>
  <c r="CW179" i="5"/>
  <c r="CW180" i="5"/>
  <c r="CW181" i="5"/>
  <c r="CW182" i="5"/>
  <c r="CW183" i="5"/>
  <c r="CW184" i="5"/>
  <c r="CW185" i="5"/>
  <c r="CW186" i="5"/>
  <c r="CW187" i="5"/>
  <c r="CW188" i="5"/>
  <c r="CW189" i="5"/>
  <c r="CW190" i="5"/>
  <c r="CW191" i="5"/>
  <c r="CW192" i="5"/>
  <c r="CW193" i="5"/>
  <c r="CW194" i="5"/>
  <c r="CW195" i="5"/>
  <c r="CW196" i="5"/>
  <c r="CW197" i="5"/>
  <c r="CW198" i="5"/>
  <c r="CW199" i="5"/>
  <c r="CW200" i="5"/>
  <c r="CW201" i="5"/>
  <c r="CW202" i="5"/>
  <c r="CW203" i="5"/>
  <c r="CW204" i="5"/>
  <c r="CW205" i="5"/>
  <c r="CW206" i="5"/>
  <c r="CW207" i="5"/>
  <c r="CW208" i="5"/>
  <c r="CW209" i="5"/>
  <c r="CW210" i="5"/>
  <c r="CW211" i="5"/>
  <c r="CW212" i="5"/>
  <c r="CW213" i="5"/>
  <c r="CW214" i="5"/>
  <c r="CW215" i="5"/>
  <c r="CW216" i="5"/>
  <c r="CW217" i="5"/>
  <c r="CW218" i="5"/>
  <c r="CW219" i="5"/>
  <c r="CW220" i="5"/>
  <c r="CW221" i="5"/>
  <c r="CW222" i="5"/>
  <c r="CW223" i="5"/>
  <c r="CW224" i="5"/>
  <c r="CW225" i="5"/>
  <c r="CW226" i="5"/>
  <c r="CW227" i="5"/>
  <c r="CW228" i="5"/>
  <c r="CW229" i="5"/>
  <c r="CW230" i="5"/>
  <c r="CW231" i="5"/>
  <c r="CW232" i="5"/>
  <c r="CW233" i="5"/>
  <c r="CW234" i="5"/>
  <c r="CW235" i="5"/>
  <c r="CW236" i="5"/>
  <c r="CW237" i="5"/>
  <c r="CW238" i="5"/>
  <c r="CW239" i="5"/>
  <c r="CW240" i="5"/>
  <c r="CW241" i="5"/>
  <c r="CW242" i="5"/>
  <c r="CW243" i="5"/>
  <c r="CW244" i="5"/>
  <c r="CW245" i="5"/>
  <c r="CW246" i="5"/>
  <c r="CW247" i="5"/>
  <c r="CW248" i="5"/>
  <c r="CW249" i="5"/>
  <c r="CW250" i="5"/>
  <c r="CW251" i="5"/>
  <c r="CW252" i="5"/>
  <c r="CW253" i="5"/>
  <c r="CW254" i="5"/>
  <c r="CW255" i="5"/>
  <c r="CW256" i="5"/>
  <c r="CW257" i="5"/>
  <c r="CW258" i="5"/>
  <c r="CW259" i="5"/>
  <c r="CW260" i="5"/>
  <c r="CW261" i="5"/>
  <c r="CW262" i="5"/>
  <c r="CW263" i="5"/>
  <c r="CW264" i="5"/>
  <c r="CW265" i="5"/>
  <c r="CW266" i="5"/>
  <c r="CW267" i="5"/>
  <c r="CW268" i="5"/>
  <c r="CW269" i="5"/>
  <c r="CW270" i="5"/>
  <c r="CW271" i="5"/>
  <c r="CW272" i="5"/>
  <c r="CW273" i="5"/>
  <c r="CW274" i="5"/>
  <c r="CW275" i="5"/>
  <c r="CW276" i="5"/>
  <c r="CW277" i="5"/>
  <c r="CW278" i="5"/>
  <c r="CW279" i="5"/>
  <c r="CW280" i="5"/>
  <c r="CW281" i="5"/>
  <c r="CW282" i="5"/>
  <c r="CW283" i="5"/>
  <c r="CW284" i="5"/>
  <c r="CW285" i="5"/>
  <c r="CW286" i="5"/>
  <c r="CW287" i="5"/>
  <c r="CW288" i="5"/>
  <c r="CW289" i="5"/>
  <c r="CW290" i="5"/>
  <c r="CW291" i="5"/>
  <c r="CW292" i="5"/>
  <c r="CW293" i="5"/>
  <c r="CW294" i="5"/>
  <c r="CW295" i="5"/>
  <c r="CW296" i="5"/>
  <c r="CW297" i="5"/>
  <c r="CW298" i="5"/>
  <c r="CW299" i="5"/>
  <c r="CW300" i="5"/>
  <c r="CW301" i="5"/>
  <c r="CW302" i="5"/>
  <c r="CW303" i="5"/>
  <c r="CW304" i="5"/>
  <c r="CW305" i="5"/>
  <c r="CW306" i="5"/>
  <c r="CW307" i="5"/>
  <c r="CW308" i="5"/>
  <c r="CW309" i="5"/>
  <c r="CW310" i="5"/>
  <c r="CW311" i="5"/>
  <c r="CW312" i="5"/>
  <c r="CW313" i="5"/>
  <c r="CW314" i="5"/>
  <c r="CW315" i="5"/>
  <c r="CW316" i="5"/>
  <c r="CW317" i="5"/>
  <c r="CW318" i="5"/>
  <c r="CW319" i="5"/>
  <c r="CW320" i="5"/>
  <c r="CW321" i="5"/>
  <c r="CW322" i="5"/>
  <c r="CW323" i="5"/>
  <c r="CW324" i="5"/>
  <c r="CW325" i="5"/>
  <c r="CW326" i="5"/>
  <c r="CW327" i="5"/>
  <c r="CW328" i="5"/>
  <c r="CW329" i="5"/>
  <c r="CW330" i="5"/>
  <c r="CW331" i="5"/>
  <c r="CW332" i="5"/>
  <c r="CW333" i="5"/>
  <c r="CW334" i="5"/>
  <c r="CW335" i="5"/>
  <c r="CW336" i="5"/>
  <c r="CW337" i="5"/>
  <c r="CW338" i="5"/>
  <c r="CW339" i="5"/>
  <c r="CW340" i="5"/>
  <c r="CW341" i="5"/>
  <c r="CW342" i="5"/>
  <c r="CW343" i="5"/>
  <c r="CW344" i="5"/>
  <c r="CW345" i="5"/>
  <c r="CW346" i="5"/>
  <c r="CW347" i="5"/>
  <c r="CW348" i="5"/>
  <c r="CW349" i="5"/>
  <c r="CW350" i="5"/>
  <c r="CW351" i="5"/>
  <c r="CW352" i="5"/>
  <c r="CW353" i="5"/>
  <c r="CW354" i="5"/>
  <c r="CW355" i="5"/>
  <c r="CW356" i="5"/>
  <c r="CW357" i="5"/>
  <c r="CW358" i="5"/>
  <c r="CW359" i="5"/>
  <c r="CW360" i="5"/>
  <c r="CW361" i="5"/>
  <c r="CW362" i="5"/>
  <c r="CW363" i="5"/>
  <c r="CW364" i="5"/>
  <c r="CW365" i="5"/>
  <c r="CW366" i="5"/>
  <c r="CW367" i="5"/>
  <c r="CW368" i="5"/>
  <c r="CW369" i="5"/>
  <c r="CW370" i="5"/>
  <c r="CW371" i="5"/>
  <c r="CW372" i="5"/>
  <c r="CW373" i="5"/>
  <c r="CW374" i="5"/>
  <c r="CW375" i="5"/>
  <c r="CW376" i="5"/>
  <c r="CW377" i="5"/>
  <c r="CW378" i="5"/>
  <c r="CW379" i="5"/>
  <c r="CW380" i="5"/>
  <c r="CW381" i="5"/>
  <c r="CW382" i="5"/>
  <c r="CW383" i="5"/>
  <c r="CW384" i="5"/>
  <c r="CW385" i="5"/>
  <c r="CW386" i="5"/>
  <c r="CW387" i="5"/>
  <c r="CW388" i="5"/>
  <c r="CW389" i="5"/>
  <c r="CW390" i="5"/>
  <c r="CW391" i="5"/>
  <c r="CW392" i="5"/>
  <c r="CW393" i="5"/>
  <c r="CW394" i="5"/>
  <c r="CW395" i="5"/>
  <c r="CW396" i="5"/>
  <c r="CW397" i="5"/>
  <c r="CW398" i="5"/>
  <c r="CW399" i="5"/>
  <c r="CW400" i="5"/>
  <c r="CW401" i="5"/>
  <c r="CW402" i="5"/>
  <c r="CW403" i="5"/>
  <c r="CW404" i="5"/>
  <c r="CW405" i="5"/>
  <c r="CW406" i="5"/>
  <c r="CW407" i="5"/>
  <c r="CW408" i="5"/>
  <c r="CW409" i="5"/>
  <c r="CW410" i="5"/>
  <c r="CW411" i="5"/>
  <c r="CW412" i="5"/>
  <c r="CW413" i="5"/>
  <c r="CW414" i="5"/>
  <c r="CW415" i="5"/>
  <c r="CW416" i="5"/>
  <c r="CW417" i="5"/>
  <c r="CW418" i="5"/>
  <c r="CW419" i="5"/>
  <c r="CW420" i="5"/>
  <c r="CW421" i="5"/>
  <c r="CW422" i="5"/>
  <c r="CW423" i="5"/>
  <c r="CW424" i="5"/>
  <c r="CW425" i="5"/>
  <c r="CW426" i="5"/>
  <c r="CW427" i="5"/>
  <c r="CW428" i="5"/>
  <c r="CW429" i="5"/>
  <c r="CW430" i="5"/>
  <c r="CW431" i="5"/>
  <c r="CW432" i="5"/>
  <c r="CW433" i="5"/>
  <c r="CW434" i="5"/>
  <c r="CW435" i="5"/>
  <c r="CW436" i="5"/>
  <c r="CW437" i="5"/>
  <c r="CW438" i="5"/>
  <c r="CW439" i="5"/>
  <c r="CW440" i="5"/>
  <c r="CW441" i="5"/>
  <c r="CW442" i="5"/>
  <c r="CW443" i="5"/>
  <c r="CW444" i="5"/>
  <c r="CW445" i="5"/>
  <c r="CW446" i="5"/>
  <c r="CW447" i="5"/>
  <c r="CW448" i="5"/>
  <c r="CW449" i="5"/>
  <c r="CW450" i="5"/>
  <c r="CW451" i="5"/>
  <c r="CW452" i="5"/>
  <c r="CW453" i="5"/>
  <c r="CW454" i="5"/>
  <c r="CW455" i="5"/>
  <c r="CW456" i="5"/>
  <c r="CW457" i="5"/>
  <c r="CW458" i="5"/>
  <c r="CW459" i="5"/>
  <c r="CW460" i="5"/>
  <c r="CW461" i="5"/>
  <c r="CW462" i="5"/>
  <c r="CW463" i="5"/>
  <c r="CW464" i="5"/>
  <c r="CW465" i="5"/>
  <c r="CW466" i="5"/>
  <c r="CW467" i="5"/>
  <c r="CW468" i="5"/>
  <c r="CW469" i="5"/>
  <c r="CW470" i="5"/>
  <c r="CW471" i="5"/>
  <c r="CW472" i="5"/>
  <c r="CW473" i="5"/>
  <c r="CW474" i="5"/>
  <c r="CW475" i="5"/>
  <c r="CW476" i="5"/>
  <c r="CW477" i="5"/>
  <c r="CW478" i="5"/>
  <c r="CW479" i="5"/>
  <c r="CW480" i="5"/>
  <c r="CW481" i="5"/>
  <c r="CW482" i="5"/>
  <c r="CW483" i="5"/>
  <c r="CW484" i="5"/>
  <c r="CW485" i="5"/>
  <c r="CW486" i="5"/>
  <c r="CW487" i="5"/>
  <c r="CW488" i="5"/>
  <c r="CW489" i="5"/>
  <c r="CW490" i="5"/>
  <c r="CW491" i="5"/>
  <c r="CW492" i="5"/>
  <c r="CW493" i="5"/>
  <c r="CW494" i="5"/>
  <c r="CW495" i="5"/>
  <c r="CW496" i="5"/>
  <c r="CW497" i="5"/>
  <c r="CW498" i="5"/>
  <c r="CW499" i="5"/>
  <c r="CW500" i="5"/>
  <c r="CW501" i="5"/>
  <c r="CW502" i="5"/>
  <c r="CW503" i="5"/>
  <c r="CW504" i="5"/>
  <c r="CW505" i="5"/>
  <c r="CW506" i="5"/>
  <c r="CW507" i="5"/>
  <c r="CW508" i="5"/>
  <c r="CW509" i="5"/>
  <c r="CW510" i="5"/>
  <c r="CW511" i="5"/>
  <c r="CW512" i="5"/>
  <c r="CW513" i="5"/>
  <c r="CW514" i="5"/>
  <c r="CW515" i="5"/>
  <c r="CW516" i="5"/>
  <c r="CW517" i="5"/>
  <c r="CW518" i="5"/>
  <c r="CW519" i="5"/>
  <c r="CW520" i="5"/>
  <c r="CW521" i="5"/>
  <c r="CW522" i="5"/>
  <c r="CW523" i="5"/>
  <c r="CW524" i="5"/>
  <c r="CW525" i="5"/>
  <c r="CW526" i="5"/>
  <c r="CW527" i="5"/>
  <c r="CW528" i="5"/>
  <c r="CW529" i="5"/>
  <c r="CW530" i="5"/>
  <c r="CW531" i="5"/>
  <c r="CW532" i="5"/>
  <c r="CW533" i="5"/>
  <c r="CW534" i="5"/>
  <c r="CW535" i="5"/>
  <c r="CW536" i="5"/>
  <c r="CW537" i="5"/>
  <c r="CW538" i="5"/>
  <c r="CW539" i="5"/>
  <c r="CW540" i="5"/>
  <c r="CW541" i="5"/>
  <c r="CW542" i="5"/>
  <c r="CW543" i="5"/>
  <c r="CW544" i="5"/>
  <c r="CW545" i="5"/>
  <c r="CW546" i="5"/>
  <c r="CW547" i="5"/>
  <c r="CW548" i="5"/>
  <c r="CW549" i="5"/>
  <c r="CW550" i="5"/>
  <c r="CW551" i="5"/>
  <c r="CW552" i="5"/>
  <c r="CW553" i="5"/>
  <c r="CW554" i="5"/>
  <c r="CW555" i="5"/>
  <c r="CW556" i="5"/>
  <c r="CW557" i="5"/>
  <c r="CW558" i="5"/>
  <c r="CW559" i="5"/>
  <c r="CW560" i="5"/>
  <c r="CW561" i="5"/>
  <c r="CW562" i="5"/>
  <c r="CW563" i="5"/>
  <c r="CW564" i="5"/>
  <c r="CW565" i="5"/>
  <c r="CW566" i="5"/>
  <c r="CW567" i="5"/>
  <c r="CW568" i="5"/>
  <c r="CW569" i="5"/>
  <c r="CW570" i="5"/>
  <c r="CW571" i="5"/>
  <c r="CW572" i="5"/>
  <c r="CW573" i="5"/>
  <c r="CW574" i="5"/>
  <c r="CW575" i="5"/>
  <c r="CW576" i="5"/>
  <c r="CW577" i="5"/>
  <c r="CW578" i="5"/>
  <c r="CW579" i="5"/>
  <c r="CW580" i="5"/>
  <c r="CW581" i="5"/>
  <c r="CW582" i="5"/>
  <c r="CW583" i="5"/>
  <c r="CW584" i="5"/>
  <c r="CW585" i="5"/>
  <c r="CW586" i="5"/>
  <c r="CW587" i="5"/>
  <c r="CW588" i="5"/>
  <c r="CW589" i="5"/>
  <c r="CW590" i="5"/>
  <c r="CW591" i="5"/>
  <c r="CW592" i="5"/>
  <c r="CW593" i="5"/>
  <c r="CW594" i="5"/>
  <c r="CW595" i="5"/>
  <c r="CW596" i="5"/>
  <c r="CW597" i="5"/>
  <c r="CW598" i="5"/>
  <c r="CW599" i="5"/>
  <c r="CW600" i="5"/>
  <c r="CW601" i="5"/>
  <c r="CW602" i="5"/>
  <c r="CW603" i="5"/>
  <c r="CW604" i="5"/>
  <c r="CW605" i="5"/>
  <c r="CW606" i="5"/>
  <c r="CW607" i="5"/>
  <c r="CW608" i="5"/>
  <c r="CW609" i="5"/>
  <c r="CW610" i="5"/>
  <c r="CW611" i="5"/>
  <c r="CW612" i="5"/>
  <c r="CW613" i="5"/>
  <c r="CW614" i="5"/>
  <c r="CW615" i="5"/>
  <c r="CW616" i="5"/>
  <c r="CW617" i="5"/>
  <c r="CW618" i="5"/>
  <c r="CW619" i="5"/>
  <c r="CW620" i="5"/>
  <c r="CW621" i="5"/>
  <c r="CW622" i="5"/>
  <c r="CW623" i="5"/>
  <c r="CW624" i="5"/>
  <c r="CW625" i="5"/>
  <c r="CW626" i="5"/>
  <c r="CW627" i="5"/>
  <c r="CW628" i="5"/>
  <c r="CW629" i="5"/>
  <c r="CW630" i="5"/>
  <c r="CW631" i="5"/>
  <c r="CW632" i="5"/>
  <c r="CW633" i="5"/>
  <c r="CW634" i="5"/>
  <c r="CW635" i="5"/>
  <c r="CW636" i="5"/>
  <c r="CW637" i="5"/>
  <c r="CW638" i="5"/>
  <c r="CW639" i="5"/>
  <c r="CW640" i="5"/>
  <c r="CW641" i="5"/>
  <c r="CW642" i="5"/>
  <c r="CW643" i="5"/>
  <c r="CW644" i="5"/>
  <c r="CW645" i="5"/>
  <c r="CW646" i="5"/>
  <c r="CW647" i="5"/>
  <c r="CW648" i="5"/>
  <c r="CW649" i="5"/>
  <c r="CW650" i="5"/>
  <c r="CW651" i="5"/>
  <c r="CW652" i="5"/>
  <c r="CW653" i="5"/>
  <c r="CW654" i="5"/>
  <c r="CW655" i="5"/>
  <c r="CW656" i="5"/>
  <c r="CW657" i="5"/>
  <c r="CW658" i="5"/>
  <c r="CW659" i="5"/>
  <c r="CW660" i="5"/>
  <c r="CW661" i="5"/>
  <c r="CW662" i="5"/>
  <c r="CW663" i="5"/>
  <c r="CW664" i="5"/>
  <c r="CW665" i="5"/>
  <c r="CW666" i="5"/>
  <c r="CW667" i="5"/>
  <c r="CW668" i="5"/>
  <c r="CW669" i="5"/>
  <c r="CW670" i="5"/>
  <c r="CW671" i="5"/>
  <c r="CW672" i="5"/>
  <c r="CW673" i="5"/>
  <c r="CW674" i="5"/>
  <c r="CW675" i="5"/>
  <c r="CW676" i="5"/>
  <c r="CW677" i="5"/>
  <c r="CW678" i="5"/>
  <c r="CW679" i="5"/>
  <c r="CW680" i="5"/>
  <c r="CW681" i="5"/>
  <c r="CW682" i="5"/>
  <c r="CW683" i="5"/>
  <c r="CW684" i="5"/>
  <c r="CW685" i="5"/>
  <c r="CW686" i="5"/>
  <c r="CW687" i="5"/>
  <c r="CW688" i="5"/>
  <c r="CW689" i="5"/>
  <c r="CW690" i="5"/>
  <c r="CW691" i="5"/>
  <c r="CW692" i="5"/>
  <c r="CW693" i="5"/>
  <c r="CW694" i="5"/>
  <c r="CW695" i="5"/>
  <c r="CW696" i="5"/>
  <c r="CW697" i="5"/>
  <c r="CW698" i="5"/>
  <c r="CW699" i="5"/>
  <c r="CW700" i="5"/>
  <c r="CW701" i="5"/>
  <c r="CW702" i="5"/>
  <c r="CW703" i="5"/>
  <c r="CW704" i="5"/>
  <c r="CW705" i="5"/>
  <c r="CW706" i="5"/>
  <c r="CW707" i="5"/>
  <c r="CW708" i="5"/>
  <c r="CW709" i="5"/>
  <c r="CW710" i="5"/>
  <c r="CW711" i="5"/>
  <c r="CW712" i="5"/>
  <c r="CW713" i="5"/>
  <c r="CW714" i="5"/>
  <c r="CW715" i="5"/>
  <c r="CW716" i="5"/>
  <c r="CW717" i="5"/>
  <c r="CW718" i="5"/>
  <c r="CW719" i="5"/>
  <c r="CW720" i="5"/>
  <c r="CW721" i="5"/>
  <c r="CW722" i="5"/>
  <c r="CW723" i="5"/>
  <c r="CW724" i="5"/>
  <c r="CW725" i="5"/>
  <c r="CW726" i="5"/>
  <c r="CW727" i="5"/>
  <c r="CW728" i="5"/>
  <c r="CW729" i="5"/>
  <c r="CW730" i="5"/>
  <c r="CW731" i="5"/>
  <c r="CW732" i="5"/>
  <c r="CW733" i="5"/>
  <c r="CW734" i="5"/>
  <c r="CW735" i="5"/>
  <c r="CW736" i="5"/>
  <c r="CW737" i="5"/>
  <c r="CW738" i="5"/>
  <c r="CW739" i="5"/>
  <c r="CW740" i="5"/>
  <c r="CW741" i="5"/>
  <c r="CW742" i="5"/>
  <c r="CW743" i="5"/>
  <c r="CW744" i="5"/>
  <c r="CW745" i="5"/>
  <c r="CW746" i="5"/>
  <c r="CW747" i="5"/>
  <c r="CW748" i="5"/>
  <c r="CW749" i="5"/>
  <c r="CW750" i="5"/>
  <c r="CW751" i="5"/>
  <c r="CW752" i="5"/>
  <c r="CW753" i="5"/>
  <c r="CW754" i="5"/>
  <c r="CW755" i="5"/>
  <c r="CW756" i="5"/>
  <c r="CW757" i="5"/>
  <c r="CW758" i="5"/>
  <c r="CW759" i="5"/>
  <c r="CW760" i="5"/>
  <c r="CW761" i="5"/>
  <c r="CW762" i="5"/>
  <c r="CW763" i="5"/>
  <c r="CW764" i="5"/>
  <c r="CW765" i="5"/>
  <c r="CW766" i="5"/>
  <c r="CW767" i="5"/>
  <c r="CW768" i="5"/>
  <c r="CW769" i="5"/>
  <c r="CW770" i="5"/>
  <c r="CW771" i="5"/>
  <c r="CW772" i="5"/>
  <c r="CW773" i="5"/>
  <c r="CW774" i="5"/>
  <c r="CW775" i="5"/>
  <c r="CW776" i="5"/>
  <c r="CW777" i="5"/>
  <c r="CW778" i="5"/>
  <c r="CW779" i="5"/>
  <c r="CW780" i="5"/>
  <c r="CW781" i="5"/>
  <c r="CW782" i="5"/>
  <c r="CW783" i="5"/>
  <c r="CW784" i="5"/>
  <c r="CW785" i="5"/>
  <c r="CW786" i="5"/>
  <c r="CW787" i="5"/>
  <c r="CW788" i="5"/>
  <c r="CW789" i="5"/>
  <c r="CW790" i="5"/>
  <c r="CW791" i="5"/>
  <c r="CW792" i="5"/>
  <c r="CW793" i="5"/>
  <c r="CW794" i="5"/>
  <c r="CW795" i="5"/>
  <c r="CW796" i="5"/>
  <c r="CW797" i="5"/>
  <c r="CW798" i="5"/>
  <c r="CW799" i="5"/>
  <c r="CW800" i="5"/>
  <c r="CW801" i="5"/>
  <c r="CW802" i="5"/>
  <c r="CW803" i="5"/>
  <c r="CW804" i="5"/>
  <c r="CW805" i="5"/>
  <c r="CW806" i="5"/>
  <c r="CW807" i="5"/>
  <c r="CW808" i="5"/>
  <c r="CW809" i="5"/>
  <c r="CW810" i="5"/>
  <c r="CW811" i="5"/>
  <c r="CW812" i="5"/>
  <c r="CW813" i="5"/>
  <c r="CW814" i="5"/>
  <c r="CW815" i="5"/>
  <c r="CW816" i="5"/>
  <c r="CW817" i="5"/>
  <c r="CW818" i="5"/>
  <c r="CW819" i="5"/>
  <c r="CW820" i="5"/>
  <c r="CW821" i="5"/>
  <c r="CW822" i="5"/>
  <c r="CW823" i="5"/>
  <c r="CW824" i="5"/>
  <c r="CW825" i="5"/>
  <c r="CW826" i="5"/>
  <c r="CW827" i="5"/>
  <c r="CW828" i="5"/>
  <c r="CW829" i="5"/>
  <c r="CW830" i="5"/>
  <c r="CW831" i="5"/>
  <c r="CW832" i="5"/>
  <c r="CW833" i="5"/>
  <c r="CW834" i="5"/>
  <c r="CW835" i="5"/>
  <c r="CW836" i="5"/>
  <c r="CW837" i="5"/>
  <c r="CW838" i="5"/>
  <c r="CW839" i="5"/>
  <c r="CW840" i="5"/>
  <c r="CW841" i="5"/>
  <c r="CW842" i="5"/>
  <c r="CW843" i="5"/>
  <c r="CW844" i="5"/>
  <c r="CW845" i="5"/>
  <c r="CW846" i="5"/>
  <c r="CW847" i="5"/>
  <c r="CW848" i="5"/>
  <c r="CW849" i="5"/>
  <c r="CW850" i="5"/>
  <c r="CW851" i="5"/>
  <c r="CW852" i="5"/>
  <c r="CW853" i="5"/>
  <c r="CW854" i="5"/>
  <c r="CW855" i="5"/>
  <c r="CW856" i="5"/>
  <c r="CW857" i="5"/>
  <c r="CW858" i="5"/>
  <c r="CW859" i="5"/>
  <c r="CW860" i="5"/>
  <c r="CW861" i="5"/>
  <c r="CW862" i="5"/>
  <c r="CW863" i="5"/>
  <c r="CW864" i="5"/>
  <c r="CW865" i="5"/>
  <c r="CW866" i="5"/>
  <c r="CW867" i="5"/>
  <c r="CW868" i="5"/>
  <c r="CW869" i="5"/>
  <c r="CW870" i="5"/>
  <c r="CW871" i="5"/>
  <c r="CW872" i="5"/>
  <c r="CW873" i="5"/>
  <c r="CW874" i="5"/>
  <c r="CW875" i="5"/>
  <c r="CW876" i="5"/>
  <c r="CW877" i="5"/>
  <c r="CW878" i="5"/>
  <c r="CW879" i="5"/>
  <c r="CW880" i="5"/>
  <c r="CW881" i="5"/>
  <c r="CW882" i="5"/>
  <c r="CW883" i="5"/>
  <c r="CW884" i="5"/>
  <c r="CW885" i="5"/>
  <c r="CW886" i="5"/>
  <c r="CW887" i="5"/>
  <c r="CW888" i="5"/>
  <c r="CW889" i="5"/>
  <c r="CW890" i="5"/>
  <c r="CW891" i="5"/>
  <c r="CW892" i="5"/>
  <c r="CW893" i="5"/>
  <c r="CW894" i="5"/>
  <c r="CW895" i="5"/>
  <c r="CW896" i="5"/>
  <c r="CW897" i="5"/>
  <c r="CW898" i="5"/>
  <c r="CW899" i="5"/>
  <c r="CW900" i="5"/>
  <c r="CW901" i="5"/>
  <c r="CW902" i="5"/>
  <c r="CW903" i="5"/>
  <c r="CW904" i="5"/>
  <c r="CW905" i="5"/>
  <c r="CW906" i="5"/>
  <c r="CW907" i="5"/>
  <c r="CW908" i="5"/>
  <c r="CW909" i="5"/>
  <c r="CW910" i="5"/>
  <c r="CW911" i="5"/>
  <c r="CW912" i="5"/>
  <c r="CW913" i="5"/>
  <c r="CW914" i="5"/>
  <c r="CW915" i="5"/>
  <c r="CW916" i="5"/>
  <c r="CW917" i="5"/>
  <c r="CW918" i="5"/>
  <c r="CW919" i="5"/>
  <c r="CW920" i="5"/>
  <c r="CW921" i="5"/>
  <c r="CW922" i="5"/>
  <c r="CW923" i="5"/>
  <c r="CW924" i="5"/>
  <c r="CW925" i="5"/>
  <c r="CW926" i="5"/>
  <c r="CW927" i="5"/>
  <c r="CW928" i="5"/>
  <c r="CW929" i="5"/>
  <c r="CW930" i="5"/>
  <c r="CW931" i="5"/>
  <c r="CW932" i="5"/>
  <c r="CW933" i="5"/>
  <c r="CW934" i="5"/>
  <c r="CW935" i="5"/>
  <c r="CW936" i="5"/>
  <c r="CW937" i="5"/>
  <c r="CW938" i="5"/>
  <c r="CW939" i="5"/>
  <c r="CW940" i="5"/>
  <c r="CW941" i="5"/>
  <c r="CW942" i="5"/>
  <c r="CW943" i="5"/>
  <c r="CW944" i="5"/>
  <c r="CW945" i="5"/>
  <c r="CW946" i="5"/>
  <c r="CW947" i="5"/>
  <c r="CW948" i="5"/>
  <c r="CW949" i="5"/>
  <c r="CW950" i="5"/>
  <c r="CW951" i="5"/>
  <c r="CW952" i="5"/>
  <c r="CW953" i="5"/>
  <c r="CW954" i="5"/>
  <c r="CW955" i="5"/>
  <c r="CW956" i="5"/>
  <c r="CW957" i="5"/>
  <c r="CW958" i="5"/>
  <c r="CW959" i="5"/>
  <c r="CW960" i="5"/>
  <c r="CW961" i="5"/>
  <c r="CW962" i="5"/>
  <c r="CW963" i="5"/>
  <c r="CW964" i="5"/>
  <c r="CW965" i="5"/>
  <c r="CW966" i="5"/>
  <c r="CW967" i="5"/>
  <c r="CW968" i="5"/>
  <c r="CW969" i="5"/>
  <c r="CW970" i="5"/>
  <c r="CW971" i="5"/>
  <c r="CW972" i="5"/>
  <c r="CW973" i="5"/>
  <c r="CW974" i="5"/>
  <c r="CW975" i="5"/>
  <c r="CW976" i="5"/>
  <c r="CW977" i="5"/>
  <c r="CW978" i="5"/>
  <c r="CW979" i="5"/>
  <c r="CW980" i="5"/>
  <c r="CW981" i="5"/>
  <c r="CW982" i="5"/>
  <c r="CW983" i="5"/>
  <c r="CW984" i="5"/>
  <c r="CW985" i="5"/>
  <c r="CW986" i="5"/>
  <c r="CW987" i="5"/>
  <c r="CW988" i="5"/>
  <c r="CW989" i="5"/>
  <c r="CW990" i="5"/>
  <c r="CW991" i="5"/>
  <c r="CW992" i="5"/>
  <c r="CW993" i="5"/>
  <c r="CW994" i="5"/>
  <c r="CW995" i="5"/>
  <c r="CW996" i="5"/>
  <c r="CW997" i="5"/>
  <c r="CW998" i="5"/>
  <c r="CW999" i="5"/>
  <c r="CW1000" i="5"/>
  <c r="CW1001" i="5"/>
  <c r="CW1002" i="5"/>
  <c r="CW1003" i="5"/>
  <c r="CW1004" i="5"/>
  <c r="CW1005" i="5"/>
  <c r="CW1006" i="5"/>
  <c r="CW1007" i="5"/>
  <c r="CW1008" i="5"/>
  <c r="CW1009" i="5"/>
  <c r="CW1010" i="5"/>
  <c r="CW1011" i="5"/>
  <c r="CW1012" i="5"/>
  <c r="CW1013" i="5"/>
  <c r="CW1014" i="5"/>
  <c r="CW1015" i="5"/>
  <c r="CW1016" i="5"/>
  <c r="CW1017" i="5"/>
  <c r="CW1018" i="5"/>
  <c r="CW1019" i="5"/>
  <c r="CW1020" i="5"/>
  <c r="CW1021" i="5"/>
  <c r="CW1022" i="5"/>
  <c r="CW1023" i="5"/>
  <c r="CW1024" i="5"/>
  <c r="CW1025" i="5"/>
  <c r="CW1026" i="5"/>
  <c r="CW1027" i="5"/>
  <c r="CW1028" i="5"/>
  <c r="CW1029" i="5"/>
  <c r="CW1030" i="5"/>
  <c r="CW1031" i="5"/>
  <c r="CW1032" i="5"/>
  <c r="CW1033" i="5"/>
  <c r="CW1034" i="5"/>
  <c r="CW1035" i="5"/>
  <c r="CW1036" i="5"/>
  <c r="CW1037" i="5"/>
  <c r="CW1038" i="5"/>
  <c r="CW1039" i="5"/>
  <c r="CW1040" i="5"/>
  <c r="CW1041" i="5"/>
  <c r="CW1042" i="5"/>
  <c r="CW1043" i="5"/>
  <c r="CW1044" i="5"/>
  <c r="CW1045" i="5"/>
  <c r="CW1046" i="5"/>
  <c r="CW1047" i="5"/>
  <c r="CW1048" i="5"/>
  <c r="CW1049" i="5"/>
  <c r="CW1050" i="5"/>
  <c r="CW1051" i="5"/>
  <c r="CW1052" i="5"/>
  <c r="CW1053" i="5"/>
  <c r="CW1054" i="5"/>
  <c r="CW1055" i="5"/>
  <c r="CW1056" i="5"/>
  <c r="CW1057" i="5"/>
  <c r="CW1058" i="5"/>
  <c r="CW1059" i="5"/>
  <c r="CW1060" i="5"/>
  <c r="CW1061" i="5"/>
  <c r="CW1062" i="5"/>
  <c r="CW1063" i="5"/>
  <c r="CW1064" i="5"/>
  <c r="CW1065" i="5"/>
  <c r="CW1066" i="5"/>
  <c r="CW1067" i="5"/>
  <c r="CW1068" i="5"/>
  <c r="CW1069" i="5"/>
  <c r="CW1070" i="5"/>
  <c r="CW1071" i="5"/>
  <c r="CW1072" i="5"/>
  <c r="CW1073" i="5"/>
  <c r="CW2" i="5"/>
  <c r="CS14" i="8"/>
  <c r="CR14" i="8"/>
  <c r="AB14" i="8"/>
  <c r="CT14" i="8" s="1"/>
  <c r="T14" i="8"/>
  <c r="M14" i="8"/>
  <c r="CS13" i="8"/>
  <c r="AB13" i="8"/>
  <c r="CT13" i="8" s="1"/>
  <c r="T13" i="8"/>
  <c r="M13" i="8"/>
  <c r="CR13" i="8" s="1"/>
  <c r="CR12" i="8"/>
  <c r="AB12" i="8"/>
  <c r="CT12" i="8" s="1"/>
  <c r="T12" i="8"/>
  <c r="CS12" i="8" s="1"/>
  <c r="M12" i="8"/>
  <c r="AB11" i="8"/>
  <c r="CT11" i="8" s="1"/>
  <c r="T11" i="8"/>
  <c r="CS11" i="8" s="1"/>
  <c r="M11" i="8"/>
  <c r="CR11" i="8" s="1"/>
  <c r="CT10" i="8"/>
  <c r="CS10" i="8"/>
  <c r="AB10" i="8"/>
  <c r="T10" i="8"/>
  <c r="M10" i="8"/>
  <c r="CR10" i="8" s="1"/>
  <c r="CU10" i="8" s="1"/>
  <c r="AB9" i="8"/>
  <c r="CT9" i="8" s="1"/>
  <c r="T9" i="8"/>
  <c r="CS9" i="8" s="1"/>
  <c r="M9" i="8"/>
  <c r="CR9" i="8" s="1"/>
  <c r="AB8" i="8"/>
  <c r="CT8" i="8" s="1"/>
  <c r="T8" i="8"/>
  <c r="CS8" i="8" s="1"/>
  <c r="M8" i="8"/>
  <c r="CR8" i="8" s="1"/>
  <c r="CU8" i="8" s="1"/>
  <c r="AB7" i="8"/>
  <c r="CT7" i="8" s="1"/>
  <c r="T7" i="8"/>
  <c r="CS7" i="8" s="1"/>
  <c r="M7" i="8"/>
  <c r="CR7" i="8" s="1"/>
  <c r="CS6" i="8"/>
  <c r="CR6" i="8"/>
  <c r="AB6" i="8"/>
  <c r="CT6" i="8" s="1"/>
  <c r="T6" i="8"/>
  <c r="M6" i="8"/>
  <c r="CS5" i="8"/>
  <c r="AB5" i="8"/>
  <c r="CT5" i="8" s="1"/>
  <c r="T5" i="8"/>
  <c r="M5" i="8"/>
  <c r="CR5" i="8" s="1"/>
  <c r="CR4" i="8"/>
  <c r="AB4" i="8"/>
  <c r="CT4" i="8" s="1"/>
  <c r="T4" i="8"/>
  <c r="CS4" i="8" s="1"/>
  <c r="M4" i="8"/>
  <c r="AB3" i="8"/>
  <c r="CT3" i="8" s="1"/>
  <c r="T3" i="8"/>
  <c r="CS3" i="8" s="1"/>
  <c r="M3" i="8"/>
  <c r="CR3" i="8" s="1"/>
  <c r="CT2" i="8"/>
  <c r="CS2" i="8"/>
  <c r="AB2" i="8"/>
  <c r="T2" i="8"/>
  <c r="M2" i="8"/>
  <c r="CR2" i="8" s="1"/>
  <c r="CU2" i="8" s="1"/>
  <c r="AB27" i="5"/>
  <c r="CT27" i="5" s="1"/>
  <c r="T27" i="5"/>
  <c r="CS27" i="5" s="1"/>
  <c r="M27" i="5"/>
  <c r="CR27" i="5" s="1"/>
  <c r="AB26" i="5"/>
  <c r="CT26" i="5" s="1"/>
  <c r="T26" i="5"/>
  <c r="CS26" i="5" s="1"/>
  <c r="M26" i="5"/>
  <c r="CR26" i="5" s="1"/>
  <c r="AB30" i="5"/>
  <c r="CT30" i="5" s="1"/>
  <c r="T30" i="5"/>
  <c r="CS30" i="5" s="1"/>
  <c r="M30" i="5"/>
  <c r="CR30" i="5" s="1"/>
  <c r="AB37" i="5"/>
  <c r="CT37" i="5" s="1"/>
  <c r="T37" i="5"/>
  <c r="CS37" i="5" s="1"/>
  <c r="M37" i="5"/>
  <c r="CR37" i="5" s="1"/>
  <c r="AB59" i="5"/>
  <c r="CT59" i="5" s="1"/>
  <c r="T59" i="5"/>
  <c r="CS59" i="5" s="1"/>
  <c r="M59" i="5"/>
  <c r="CR59" i="5" s="1"/>
  <c r="AB58" i="5"/>
  <c r="CT58" i="5" s="1"/>
  <c r="T58" i="5"/>
  <c r="CS58" i="5" s="1"/>
  <c r="M58" i="5"/>
  <c r="CR58" i="5" s="1"/>
  <c r="AB67" i="5"/>
  <c r="CT67" i="5" s="1"/>
  <c r="T67" i="5"/>
  <c r="CS67" i="5" s="1"/>
  <c r="M67" i="5"/>
  <c r="CR67" i="5" s="1"/>
  <c r="AB87" i="5"/>
  <c r="CT87" i="5" s="1"/>
  <c r="T87" i="5"/>
  <c r="CS87" i="5" s="1"/>
  <c r="M87" i="5"/>
  <c r="CR87" i="5" s="1"/>
  <c r="AB116" i="5"/>
  <c r="CT116" i="5" s="1"/>
  <c r="T116" i="5"/>
  <c r="CS116" i="5" s="1"/>
  <c r="M116" i="5"/>
  <c r="CR116" i="5" s="1"/>
  <c r="AB118" i="5"/>
  <c r="CT118" i="5" s="1"/>
  <c r="T118" i="5"/>
  <c r="CS118" i="5" s="1"/>
  <c r="M118" i="5"/>
  <c r="CR118" i="5" s="1"/>
  <c r="AB157" i="5"/>
  <c r="CT157" i="5" s="1"/>
  <c r="T157" i="5"/>
  <c r="CS157" i="5" s="1"/>
  <c r="M157" i="5"/>
  <c r="CR157" i="5" s="1"/>
  <c r="AB155" i="5"/>
  <c r="CT155" i="5" s="1"/>
  <c r="T155" i="5"/>
  <c r="CS155" i="5" s="1"/>
  <c r="M155" i="5"/>
  <c r="CR155" i="5" s="1"/>
  <c r="AB154" i="5"/>
  <c r="CT154" i="5" s="1"/>
  <c r="T154" i="5"/>
  <c r="CS154" i="5" s="1"/>
  <c r="M154" i="5"/>
  <c r="CR154" i="5" s="1"/>
  <c r="AB173" i="5"/>
  <c r="CT173" i="5" s="1"/>
  <c r="T173" i="5"/>
  <c r="CS173" i="5" s="1"/>
  <c r="M173" i="5"/>
  <c r="CR173" i="5" s="1"/>
  <c r="AB172" i="5"/>
  <c r="CT172" i="5" s="1"/>
  <c r="T172" i="5"/>
  <c r="CS172" i="5" s="1"/>
  <c r="M172" i="5"/>
  <c r="CR172" i="5" s="1"/>
  <c r="AB182" i="5"/>
  <c r="CT182" i="5" s="1"/>
  <c r="T182" i="5"/>
  <c r="CS182" i="5" s="1"/>
  <c r="M182" i="5"/>
  <c r="CR182" i="5" s="1"/>
  <c r="AB231" i="5"/>
  <c r="CT231" i="5" s="1"/>
  <c r="T231" i="5"/>
  <c r="CS231" i="5" s="1"/>
  <c r="M231" i="5"/>
  <c r="CR231" i="5" s="1"/>
  <c r="AB240" i="5"/>
  <c r="CT240" i="5" s="1"/>
  <c r="T240" i="5"/>
  <c r="CS240" i="5" s="1"/>
  <c r="M240" i="5"/>
  <c r="CR240" i="5" s="1"/>
  <c r="AB254" i="5"/>
  <c r="CT254" i="5" s="1"/>
  <c r="T254" i="5"/>
  <c r="CS254" i="5" s="1"/>
  <c r="M254" i="5"/>
  <c r="CR254" i="5" s="1"/>
  <c r="AB278" i="5"/>
  <c r="CT278" i="5" s="1"/>
  <c r="T278" i="5"/>
  <c r="CS278" i="5" s="1"/>
  <c r="M278" i="5"/>
  <c r="CR278" i="5" s="1"/>
  <c r="AB277" i="5"/>
  <c r="CT277" i="5" s="1"/>
  <c r="T277" i="5"/>
  <c r="CS277" i="5" s="1"/>
  <c r="M277" i="5"/>
  <c r="CR277" i="5" s="1"/>
  <c r="AB281" i="5"/>
  <c r="CT281" i="5" s="1"/>
  <c r="T281" i="5"/>
  <c r="CS281" i="5" s="1"/>
  <c r="M281" i="5"/>
  <c r="CR281" i="5" s="1"/>
  <c r="AB289" i="5"/>
  <c r="CT289" i="5" s="1"/>
  <c r="T289" i="5"/>
  <c r="CS289" i="5" s="1"/>
  <c r="M289" i="5"/>
  <c r="CR289" i="5" s="1"/>
  <c r="AB312" i="5"/>
  <c r="CT312" i="5" s="1"/>
  <c r="T312" i="5"/>
  <c r="CS312" i="5" s="1"/>
  <c r="M312" i="5"/>
  <c r="CR312" i="5" s="1"/>
  <c r="AB340" i="5"/>
  <c r="CT340" i="5" s="1"/>
  <c r="T340" i="5"/>
  <c r="CS340" i="5" s="1"/>
  <c r="M340" i="5"/>
  <c r="CR340" i="5" s="1"/>
  <c r="AB345" i="5"/>
  <c r="CT345" i="5" s="1"/>
  <c r="T345" i="5"/>
  <c r="CS345" i="5" s="1"/>
  <c r="M345" i="5"/>
  <c r="CR345" i="5" s="1"/>
  <c r="AB342" i="5"/>
  <c r="CT342" i="5" s="1"/>
  <c r="T342" i="5"/>
  <c r="CS342" i="5" s="1"/>
  <c r="M342" i="5"/>
  <c r="CR342" i="5" s="1"/>
  <c r="AB364" i="5"/>
  <c r="CT364" i="5" s="1"/>
  <c r="T364" i="5"/>
  <c r="CS364" i="5" s="1"/>
  <c r="M364" i="5"/>
  <c r="CR364" i="5" s="1"/>
  <c r="AB381" i="5"/>
  <c r="CT381" i="5" s="1"/>
  <c r="T381" i="5"/>
  <c r="CS381" i="5" s="1"/>
  <c r="M381" i="5"/>
  <c r="CR381" i="5" s="1"/>
  <c r="AB403" i="5"/>
  <c r="CT403" i="5" s="1"/>
  <c r="T403" i="5"/>
  <c r="CS403" i="5" s="1"/>
  <c r="M403" i="5"/>
  <c r="CR403" i="5" s="1"/>
  <c r="AB448" i="5"/>
  <c r="CT448" i="5" s="1"/>
  <c r="T448" i="5"/>
  <c r="CS448" i="5" s="1"/>
  <c r="M448" i="5"/>
  <c r="CR448" i="5" s="1"/>
  <c r="AB484" i="5"/>
  <c r="CT484" i="5" s="1"/>
  <c r="T484" i="5"/>
  <c r="CS484" i="5" s="1"/>
  <c r="M484" i="5"/>
  <c r="CR484" i="5" s="1"/>
  <c r="AB500" i="5"/>
  <c r="CT500" i="5" s="1"/>
  <c r="T500" i="5"/>
  <c r="CS500" i="5" s="1"/>
  <c r="M500" i="5"/>
  <c r="CR500" i="5" s="1"/>
  <c r="AB497" i="5"/>
  <c r="CT497" i="5" s="1"/>
  <c r="T497" i="5"/>
  <c r="CS497" i="5" s="1"/>
  <c r="M497" i="5"/>
  <c r="CR497" i="5" s="1"/>
  <c r="AB522" i="5"/>
  <c r="CT522" i="5" s="1"/>
  <c r="T522" i="5"/>
  <c r="CS522" i="5" s="1"/>
  <c r="M522" i="5"/>
  <c r="CR522" i="5" s="1"/>
  <c r="AB562" i="5"/>
  <c r="CT562" i="5" s="1"/>
  <c r="T562" i="5"/>
  <c r="CS562" i="5" s="1"/>
  <c r="M562" i="5"/>
  <c r="CR562" i="5" s="1"/>
  <c r="AB560" i="5"/>
  <c r="CT560" i="5" s="1"/>
  <c r="T560" i="5"/>
  <c r="CS560" i="5" s="1"/>
  <c r="M560" i="5"/>
  <c r="CR560" i="5" s="1"/>
  <c r="AB577" i="5"/>
  <c r="CT577" i="5" s="1"/>
  <c r="T577" i="5"/>
  <c r="CS577" i="5" s="1"/>
  <c r="M577" i="5"/>
  <c r="CR577" i="5" s="1"/>
  <c r="AB583" i="5"/>
  <c r="CT583" i="5" s="1"/>
  <c r="T583" i="5"/>
  <c r="CS583" i="5" s="1"/>
  <c r="M583" i="5"/>
  <c r="CR583" i="5" s="1"/>
  <c r="AB593" i="5"/>
  <c r="CT593" i="5" s="1"/>
  <c r="T593" i="5"/>
  <c r="CS593" i="5" s="1"/>
  <c r="M593" i="5"/>
  <c r="CR593" i="5" s="1"/>
  <c r="AB613" i="5"/>
  <c r="CT613" i="5" s="1"/>
  <c r="T613" i="5"/>
  <c r="CS613" i="5" s="1"/>
  <c r="M613" i="5"/>
  <c r="CR613" i="5" s="1"/>
  <c r="AB653" i="5"/>
  <c r="CT653" i="5" s="1"/>
  <c r="T653" i="5"/>
  <c r="CS653" i="5" s="1"/>
  <c r="M653" i="5"/>
  <c r="CR653" i="5" s="1"/>
  <c r="AB667" i="5"/>
  <c r="CT667" i="5" s="1"/>
  <c r="T667" i="5"/>
  <c r="CS667" i="5" s="1"/>
  <c r="M667" i="5"/>
  <c r="CR667" i="5" s="1"/>
  <c r="AB699" i="5"/>
  <c r="CT699" i="5" s="1"/>
  <c r="T699" i="5"/>
  <c r="CS699" i="5" s="1"/>
  <c r="M699" i="5"/>
  <c r="CR699" i="5" s="1"/>
  <c r="AB703" i="5"/>
  <c r="CT703" i="5" s="1"/>
  <c r="T703" i="5"/>
  <c r="CS703" i="5" s="1"/>
  <c r="M703" i="5"/>
  <c r="CR703" i="5" s="1"/>
  <c r="AB752" i="5"/>
  <c r="CT752" i="5" s="1"/>
  <c r="T752" i="5"/>
  <c r="CS752" i="5" s="1"/>
  <c r="M752" i="5"/>
  <c r="CR752" i="5" s="1"/>
  <c r="AB761" i="5"/>
  <c r="CT761" i="5" s="1"/>
  <c r="T761" i="5"/>
  <c r="CS761" i="5" s="1"/>
  <c r="M761" i="5"/>
  <c r="CR761" i="5" s="1"/>
  <c r="AB762" i="5"/>
  <c r="CT762" i="5" s="1"/>
  <c r="T762" i="5"/>
  <c r="CS762" i="5" s="1"/>
  <c r="M762" i="5"/>
  <c r="CR762" i="5" s="1"/>
  <c r="AB775" i="5"/>
  <c r="CT775" i="5" s="1"/>
  <c r="T775" i="5"/>
  <c r="CS775" i="5" s="1"/>
  <c r="M775" i="5"/>
  <c r="CR775" i="5" s="1"/>
  <c r="AB774" i="5"/>
  <c r="CT774" i="5" s="1"/>
  <c r="T774" i="5"/>
  <c r="CS774" i="5" s="1"/>
  <c r="M774" i="5"/>
  <c r="CR774" i="5" s="1"/>
  <c r="AB786" i="5"/>
  <c r="CT786" i="5" s="1"/>
  <c r="T786" i="5"/>
  <c r="CS786" i="5" s="1"/>
  <c r="M786" i="5"/>
  <c r="CR786" i="5" s="1"/>
  <c r="AB887" i="5"/>
  <c r="CT887" i="5" s="1"/>
  <c r="T887" i="5"/>
  <c r="CS887" i="5" s="1"/>
  <c r="M887" i="5"/>
  <c r="CR887" i="5" s="1"/>
  <c r="AB926" i="5"/>
  <c r="CT926" i="5" s="1"/>
  <c r="T926" i="5"/>
  <c r="CS926" i="5" s="1"/>
  <c r="M926" i="5"/>
  <c r="CR926" i="5" s="1"/>
  <c r="AB937" i="5"/>
  <c r="CT937" i="5" s="1"/>
  <c r="T937" i="5"/>
  <c r="CS937" i="5" s="1"/>
  <c r="M937" i="5"/>
  <c r="CR937" i="5" s="1"/>
  <c r="AB1003" i="5"/>
  <c r="CT1003" i="5" s="1"/>
  <c r="T1003" i="5"/>
  <c r="CS1003" i="5" s="1"/>
  <c r="M1003" i="5"/>
  <c r="CR1003" i="5" s="1"/>
  <c r="AB760" i="5"/>
  <c r="CT760" i="5" s="1"/>
  <c r="T760" i="5"/>
  <c r="CS760" i="5" s="1"/>
  <c r="M760" i="5"/>
  <c r="CR760" i="5" s="1"/>
  <c r="AB428" i="5"/>
  <c r="CT428" i="5" s="1"/>
  <c r="T428" i="5"/>
  <c r="CS428" i="5" s="1"/>
  <c r="M428" i="5"/>
  <c r="CR428" i="5" s="1"/>
  <c r="AB384" i="5"/>
  <c r="CT384" i="5" s="1"/>
  <c r="T384" i="5"/>
  <c r="CS384" i="5" s="1"/>
  <c r="M384" i="5"/>
  <c r="CR384" i="5" s="1"/>
  <c r="AB236" i="5"/>
  <c r="CT236" i="5" s="1"/>
  <c r="T236" i="5"/>
  <c r="CS236" i="5" s="1"/>
  <c r="M236" i="5"/>
  <c r="CR236" i="5" s="1"/>
  <c r="AB321" i="5"/>
  <c r="CT321" i="5" s="1"/>
  <c r="T321" i="5"/>
  <c r="CS321" i="5" s="1"/>
  <c r="M321" i="5"/>
  <c r="CR321" i="5" s="1"/>
  <c r="AB1034" i="5"/>
  <c r="CT1034" i="5" s="1"/>
  <c r="T1034" i="5"/>
  <c r="CS1034" i="5" s="1"/>
  <c r="M1034" i="5"/>
  <c r="CR1034" i="5" s="1"/>
  <c r="AB1002" i="5"/>
  <c r="CT1002" i="5" s="1"/>
  <c r="T1002" i="5"/>
  <c r="CS1002" i="5" s="1"/>
  <c r="M1002" i="5"/>
  <c r="CR1002" i="5" s="1"/>
  <c r="AB1066" i="5"/>
  <c r="CT1066" i="5" s="1"/>
  <c r="T1066" i="5"/>
  <c r="CS1066" i="5" s="1"/>
  <c r="M1066" i="5"/>
  <c r="CR1066" i="5" s="1"/>
  <c r="AB1064" i="5"/>
  <c r="CT1064" i="5" s="1"/>
  <c r="T1064" i="5"/>
  <c r="CS1064" i="5" s="1"/>
  <c r="M1064" i="5"/>
  <c r="CR1064" i="5" s="1"/>
  <c r="AB1063" i="5"/>
  <c r="CT1063" i="5" s="1"/>
  <c r="T1063" i="5"/>
  <c r="CS1063" i="5" s="1"/>
  <c r="M1063" i="5"/>
  <c r="CR1063" i="5" s="1"/>
  <c r="AB1062" i="5"/>
  <c r="CT1062" i="5" s="1"/>
  <c r="T1062" i="5"/>
  <c r="CS1062" i="5" s="1"/>
  <c r="M1062" i="5"/>
  <c r="CR1062" i="5" s="1"/>
  <c r="AB1070" i="5"/>
  <c r="CT1070" i="5" s="1"/>
  <c r="T1070" i="5"/>
  <c r="CS1070" i="5" s="1"/>
  <c r="M1070" i="5"/>
  <c r="CR1070" i="5" s="1"/>
  <c r="AB1068" i="5"/>
  <c r="CT1068" i="5" s="1"/>
  <c r="T1068" i="5"/>
  <c r="CS1068" i="5" s="1"/>
  <c r="M1068" i="5"/>
  <c r="CR1068" i="5" s="1"/>
  <c r="AB1061" i="5"/>
  <c r="CT1061" i="5" s="1"/>
  <c r="T1061" i="5"/>
  <c r="CS1061" i="5" s="1"/>
  <c r="M1061" i="5"/>
  <c r="CR1061" i="5" s="1"/>
  <c r="AB1060" i="5"/>
  <c r="CT1060" i="5" s="1"/>
  <c r="T1060" i="5"/>
  <c r="CS1060" i="5" s="1"/>
  <c r="M1060" i="5"/>
  <c r="CR1060" i="5" s="1"/>
  <c r="AB1059" i="5"/>
  <c r="CT1059" i="5" s="1"/>
  <c r="T1059" i="5"/>
  <c r="CS1059" i="5" s="1"/>
  <c r="M1059" i="5"/>
  <c r="CR1059" i="5" s="1"/>
  <c r="AB1058" i="5"/>
  <c r="CT1058" i="5" s="1"/>
  <c r="T1058" i="5"/>
  <c r="CS1058" i="5" s="1"/>
  <c r="M1058" i="5"/>
  <c r="CR1058" i="5" s="1"/>
  <c r="AB1057" i="5"/>
  <c r="CT1057" i="5" s="1"/>
  <c r="T1057" i="5"/>
  <c r="CS1057" i="5" s="1"/>
  <c r="M1057" i="5"/>
  <c r="CR1057" i="5" s="1"/>
  <c r="AB1056" i="5"/>
  <c r="CT1056" i="5" s="1"/>
  <c r="T1056" i="5"/>
  <c r="CS1056" i="5" s="1"/>
  <c r="M1056" i="5"/>
  <c r="CR1056" i="5" s="1"/>
  <c r="AB1055" i="5"/>
  <c r="CT1055" i="5" s="1"/>
  <c r="T1055" i="5"/>
  <c r="CS1055" i="5" s="1"/>
  <c r="M1055" i="5"/>
  <c r="CR1055" i="5" s="1"/>
  <c r="AB1054" i="5"/>
  <c r="CT1054" i="5" s="1"/>
  <c r="T1054" i="5"/>
  <c r="CS1054" i="5" s="1"/>
  <c r="M1054" i="5"/>
  <c r="CR1054" i="5" s="1"/>
  <c r="AB1053" i="5"/>
  <c r="CT1053" i="5" s="1"/>
  <c r="T1053" i="5"/>
  <c r="CS1053" i="5" s="1"/>
  <c r="M1053" i="5"/>
  <c r="CR1053" i="5" s="1"/>
  <c r="AB1052" i="5"/>
  <c r="CT1052" i="5" s="1"/>
  <c r="T1052" i="5"/>
  <c r="CS1052" i="5" s="1"/>
  <c r="M1052" i="5"/>
  <c r="CR1052" i="5" s="1"/>
  <c r="AB1051" i="5"/>
  <c r="CT1051" i="5" s="1"/>
  <c r="T1051" i="5"/>
  <c r="CS1051" i="5" s="1"/>
  <c r="M1051" i="5"/>
  <c r="CR1051" i="5" s="1"/>
  <c r="AB1050" i="5"/>
  <c r="CT1050" i="5" s="1"/>
  <c r="T1050" i="5"/>
  <c r="CS1050" i="5" s="1"/>
  <c r="M1050" i="5"/>
  <c r="CR1050" i="5" s="1"/>
  <c r="AB1049" i="5"/>
  <c r="CT1049" i="5" s="1"/>
  <c r="T1049" i="5"/>
  <c r="CS1049" i="5" s="1"/>
  <c r="M1049" i="5"/>
  <c r="CR1049" i="5" s="1"/>
  <c r="AB1047" i="5"/>
  <c r="CT1047" i="5" s="1"/>
  <c r="T1047" i="5"/>
  <c r="CS1047" i="5" s="1"/>
  <c r="M1047" i="5"/>
  <c r="CR1047" i="5" s="1"/>
  <c r="AB1046" i="5"/>
  <c r="CT1046" i="5" s="1"/>
  <c r="T1046" i="5"/>
  <c r="CS1046" i="5" s="1"/>
  <c r="M1046" i="5"/>
  <c r="CR1046" i="5" s="1"/>
  <c r="AB1045" i="5"/>
  <c r="CT1045" i="5" s="1"/>
  <c r="T1045" i="5"/>
  <c r="CS1045" i="5" s="1"/>
  <c r="M1045" i="5"/>
  <c r="CR1045" i="5" s="1"/>
  <c r="AB984" i="5"/>
  <c r="CT984" i="5" s="1"/>
  <c r="T984" i="5"/>
  <c r="CS984" i="5" s="1"/>
  <c r="M984" i="5"/>
  <c r="CR984" i="5" s="1"/>
  <c r="AB1069" i="5"/>
  <c r="CT1069" i="5" s="1"/>
  <c r="T1069" i="5"/>
  <c r="CS1069" i="5" s="1"/>
  <c r="M1069" i="5"/>
  <c r="CR1069" i="5" s="1"/>
  <c r="AB1048" i="5"/>
  <c r="CT1048" i="5" s="1"/>
  <c r="T1048" i="5"/>
  <c r="CS1048" i="5" s="1"/>
  <c r="M1048" i="5"/>
  <c r="CR1048" i="5" s="1"/>
  <c r="AB1044" i="5"/>
  <c r="CT1044" i="5" s="1"/>
  <c r="T1044" i="5"/>
  <c r="CS1044" i="5" s="1"/>
  <c r="M1044" i="5"/>
  <c r="CR1044" i="5" s="1"/>
  <c r="AB1043" i="5"/>
  <c r="CT1043" i="5" s="1"/>
  <c r="T1043" i="5"/>
  <c r="CS1043" i="5" s="1"/>
  <c r="M1043" i="5"/>
  <c r="CR1043" i="5" s="1"/>
  <c r="AB1042" i="5"/>
  <c r="CT1042" i="5" s="1"/>
  <c r="T1042" i="5"/>
  <c r="CS1042" i="5" s="1"/>
  <c r="M1042" i="5"/>
  <c r="CR1042" i="5" s="1"/>
  <c r="AB1041" i="5"/>
  <c r="CT1041" i="5" s="1"/>
  <c r="T1041" i="5"/>
  <c r="CS1041" i="5" s="1"/>
  <c r="M1041" i="5"/>
  <c r="CR1041" i="5" s="1"/>
  <c r="AB1000" i="5"/>
  <c r="CT1000" i="5" s="1"/>
  <c r="T1000" i="5"/>
  <c r="CS1000" i="5" s="1"/>
  <c r="M1000" i="5"/>
  <c r="CR1000" i="5" s="1"/>
  <c r="AB1040" i="5"/>
  <c r="CT1040" i="5" s="1"/>
  <c r="T1040" i="5"/>
  <c r="CS1040" i="5" s="1"/>
  <c r="M1040" i="5"/>
  <c r="CR1040" i="5" s="1"/>
  <c r="AB1037" i="5"/>
  <c r="CT1037" i="5" s="1"/>
  <c r="T1037" i="5"/>
  <c r="CS1037" i="5" s="1"/>
  <c r="M1037" i="5"/>
  <c r="CR1037" i="5" s="1"/>
  <c r="AB1036" i="5"/>
  <c r="CT1036" i="5" s="1"/>
  <c r="T1036" i="5"/>
  <c r="CS1036" i="5" s="1"/>
  <c r="M1036" i="5"/>
  <c r="CR1036" i="5" s="1"/>
  <c r="AB1018" i="5"/>
  <c r="CT1018" i="5" s="1"/>
  <c r="T1018" i="5"/>
  <c r="CS1018" i="5" s="1"/>
  <c r="M1018" i="5"/>
  <c r="CR1018" i="5" s="1"/>
  <c r="AB1020" i="5"/>
  <c r="CT1020" i="5" s="1"/>
  <c r="T1020" i="5"/>
  <c r="CS1020" i="5" s="1"/>
  <c r="M1020" i="5"/>
  <c r="CR1020" i="5" s="1"/>
  <c r="AB965" i="5"/>
  <c r="CT965" i="5" s="1"/>
  <c r="T965" i="5"/>
  <c r="CS965" i="5" s="1"/>
  <c r="M965" i="5"/>
  <c r="CR965" i="5" s="1"/>
  <c r="AB942" i="5"/>
  <c r="CT942" i="5" s="1"/>
  <c r="T942" i="5"/>
  <c r="CS942" i="5" s="1"/>
  <c r="M942" i="5"/>
  <c r="CR942" i="5" s="1"/>
  <c r="AB1024" i="5"/>
  <c r="CT1024" i="5" s="1"/>
  <c r="T1024" i="5"/>
  <c r="CS1024" i="5" s="1"/>
  <c r="M1024" i="5"/>
  <c r="CR1024" i="5" s="1"/>
  <c r="AB980" i="5"/>
  <c r="CT980" i="5" s="1"/>
  <c r="T980" i="5"/>
  <c r="CS980" i="5" s="1"/>
  <c r="M980" i="5"/>
  <c r="CR980" i="5" s="1"/>
  <c r="AB1029" i="5"/>
  <c r="CT1029" i="5" s="1"/>
  <c r="T1029" i="5"/>
  <c r="CS1029" i="5" s="1"/>
  <c r="M1029" i="5"/>
  <c r="CR1029" i="5" s="1"/>
  <c r="AB929" i="5"/>
  <c r="CT929" i="5" s="1"/>
  <c r="T929" i="5"/>
  <c r="CS929" i="5" s="1"/>
  <c r="M929" i="5"/>
  <c r="CR929" i="5" s="1"/>
  <c r="AB1006" i="5"/>
  <c r="CT1006" i="5" s="1"/>
  <c r="T1006" i="5"/>
  <c r="CS1006" i="5" s="1"/>
  <c r="M1006" i="5"/>
  <c r="CR1006" i="5" s="1"/>
  <c r="AB1028" i="5"/>
  <c r="CT1028" i="5" s="1"/>
  <c r="T1028" i="5"/>
  <c r="CS1028" i="5" s="1"/>
  <c r="M1028" i="5"/>
  <c r="CR1028" i="5" s="1"/>
  <c r="AB973" i="5"/>
  <c r="CT973" i="5" s="1"/>
  <c r="T973" i="5"/>
  <c r="CS973" i="5" s="1"/>
  <c r="M973" i="5"/>
  <c r="CR973" i="5" s="1"/>
  <c r="AB1035" i="5"/>
  <c r="CT1035" i="5" s="1"/>
  <c r="T1035" i="5"/>
  <c r="CS1035" i="5" s="1"/>
  <c r="M1035" i="5"/>
  <c r="CR1035" i="5" s="1"/>
  <c r="AB1027" i="5"/>
  <c r="CT1027" i="5" s="1"/>
  <c r="T1027" i="5"/>
  <c r="CS1027" i="5" s="1"/>
  <c r="M1027" i="5"/>
  <c r="CR1027" i="5" s="1"/>
  <c r="AB1025" i="5"/>
  <c r="CT1025" i="5" s="1"/>
  <c r="T1025" i="5"/>
  <c r="CS1025" i="5" s="1"/>
  <c r="M1025" i="5"/>
  <c r="CR1025" i="5" s="1"/>
  <c r="AB898" i="5"/>
  <c r="CT898" i="5" s="1"/>
  <c r="T898" i="5"/>
  <c r="CS898" i="5" s="1"/>
  <c r="M898" i="5"/>
  <c r="CR898" i="5" s="1"/>
  <c r="AB1065" i="5"/>
  <c r="CT1065" i="5" s="1"/>
  <c r="T1065" i="5"/>
  <c r="CS1065" i="5" s="1"/>
  <c r="M1065" i="5"/>
  <c r="CR1065" i="5" s="1"/>
  <c r="AB963" i="5"/>
  <c r="CT963" i="5" s="1"/>
  <c r="T963" i="5"/>
  <c r="CS963" i="5" s="1"/>
  <c r="M963" i="5"/>
  <c r="CR963" i="5" s="1"/>
  <c r="AB1022" i="5"/>
  <c r="CT1022" i="5" s="1"/>
  <c r="T1022" i="5"/>
  <c r="CS1022" i="5" s="1"/>
  <c r="M1022" i="5"/>
  <c r="CR1022" i="5" s="1"/>
  <c r="AB1073" i="5"/>
  <c r="CT1073" i="5" s="1"/>
  <c r="T1073" i="5"/>
  <c r="CS1073" i="5" s="1"/>
  <c r="M1073" i="5"/>
  <c r="CR1073" i="5" s="1"/>
  <c r="AB1021" i="5"/>
  <c r="CT1021" i="5" s="1"/>
  <c r="T1021" i="5"/>
  <c r="CS1021" i="5" s="1"/>
  <c r="M1021" i="5"/>
  <c r="CR1021" i="5" s="1"/>
  <c r="AB1017" i="5"/>
  <c r="CT1017" i="5" s="1"/>
  <c r="T1017" i="5"/>
  <c r="CS1017" i="5" s="1"/>
  <c r="M1017" i="5"/>
  <c r="CR1017" i="5" s="1"/>
  <c r="AB1016" i="5"/>
  <c r="CT1016" i="5" s="1"/>
  <c r="T1016" i="5"/>
  <c r="CS1016" i="5" s="1"/>
  <c r="M1016" i="5"/>
  <c r="CR1016" i="5" s="1"/>
  <c r="AB889" i="5"/>
  <c r="CT889" i="5" s="1"/>
  <c r="T889" i="5"/>
  <c r="CS889" i="5" s="1"/>
  <c r="M889" i="5"/>
  <c r="CR889" i="5" s="1"/>
  <c r="AB1007" i="5"/>
  <c r="CT1007" i="5" s="1"/>
  <c r="T1007" i="5"/>
  <c r="CS1007" i="5" s="1"/>
  <c r="M1007" i="5"/>
  <c r="CR1007" i="5" s="1"/>
  <c r="AB1015" i="5"/>
  <c r="CT1015" i="5" s="1"/>
  <c r="T1015" i="5"/>
  <c r="CS1015" i="5" s="1"/>
  <c r="M1015" i="5"/>
  <c r="CR1015" i="5" s="1"/>
  <c r="AB1013" i="5"/>
  <c r="CT1013" i="5" s="1"/>
  <c r="T1013" i="5"/>
  <c r="CS1013" i="5" s="1"/>
  <c r="M1013" i="5"/>
  <c r="CR1013" i="5" s="1"/>
  <c r="AB944" i="5"/>
  <c r="CT944" i="5" s="1"/>
  <c r="T944" i="5"/>
  <c r="CS944" i="5" s="1"/>
  <c r="M944" i="5"/>
  <c r="CR944" i="5" s="1"/>
  <c r="AB1012" i="5"/>
  <c r="CT1012" i="5" s="1"/>
  <c r="T1012" i="5"/>
  <c r="CS1012" i="5" s="1"/>
  <c r="M1012" i="5"/>
  <c r="CR1012" i="5" s="1"/>
  <c r="AB1011" i="5"/>
  <c r="CT1011" i="5" s="1"/>
  <c r="T1011" i="5"/>
  <c r="CS1011" i="5" s="1"/>
  <c r="M1011" i="5"/>
  <c r="CR1011" i="5" s="1"/>
  <c r="AB1010" i="5"/>
  <c r="CT1010" i="5" s="1"/>
  <c r="T1010" i="5"/>
  <c r="CS1010" i="5" s="1"/>
  <c r="M1010" i="5"/>
  <c r="CR1010" i="5" s="1"/>
  <c r="AB1009" i="5"/>
  <c r="CT1009" i="5" s="1"/>
  <c r="T1009" i="5"/>
  <c r="CS1009" i="5" s="1"/>
  <c r="M1009" i="5"/>
  <c r="CR1009" i="5" s="1"/>
  <c r="AB993" i="5"/>
  <c r="CT993" i="5" s="1"/>
  <c r="T993" i="5"/>
  <c r="CS993" i="5" s="1"/>
  <c r="M993" i="5"/>
  <c r="CR993" i="5" s="1"/>
  <c r="AB999" i="5"/>
  <c r="CT999" i="5" s="1"/>
  <c r="T999" i="5"/>
  <c r="CS999" i="5" s="1"/>
  <c r="M999" i="5"/>
  <c r="CR999" i="5" s="1"/>
  <c r="AB1004" i="5"/>
  <c r="CT1004" i="5" s="1"/>
  <c r="T1004" i="5"/>
  <c r="CS1004" i="5" s="1"/>
  <c r="M1004" i="5"/>
  <c r="CR1004" i="5" s="1"/>
  <c r="AB931" i="5"/>
  <c r="CT931" i="5" s="1"/>
  <c r="T931" i="5"/>
  <c r="CS931" i="5" s="1"/>
  <c r="M931" i="5"/>
  <c r="CR931" i="5" s="1"/>
  <c r="AB998" i="5"/>
  <c r="CT998" i="5" s="1"/>
  <c r="T998" i="5"/>
  <c r="CS998" i="5" s="1"/>
  <c r="M998" i="5"/>
  <c r="CR998" i="5" s="1"/>
  <c r="AB855" i="5"/>
  <c r="CT855" i="5" s="1"/>
  <c r="T855" i="5"/>
  <c r="CS855" i="5" s="1"/>
  <c r="M855" i="5"/>
  <c r="CR855" i="5" s="1"/>
  <c r="AB1071" i="5"/>
  <c r="CT1071" i="5" s="1"/>
  <c r="T1071" i="5"/>
  <c r="CS1071" i="5" s="1"/>
  <c r="M1071" i="5"/>
  <c r="CR1071" i="5" s="1"/>
  <c r="AB905" i="5"/>
  <c r="CT905" i="5" s="1"/>
  <c r="T905" i="5"/>
  <c r="CS905" i="5" s="1"/>
  <c r="M905" i="5"/>
  <c r="CR905" i="5" s="1"/>
  <c r="AB994" i="5"/>
  <c r="CT994" i="5" s="1"/>
  <c r="T994" i="5"/>
  <c r="CS994" i="5" s="1"/>
  <c r="M994" i="5"/>
  <c r="CR994" i="5" s="1"/>
  <c r="AB997" i="5"/>
  <c r="CT997" i="5" s="1"/>
  <c r="T997" i="5"/>
  <c r="CS997" i="5" s="1"/>
  <c r="M997" i="5"/>
  <c r="CR997" i="5" s="1"/>
  <c r="AB995" i="5"/>
  <c r="CT995" i="5" s="1"/>
  <c r="T995" i="5"/>
  <c r="CS995" i="5" s="1"/>
  <c r="M995" i="5"/>
  <c r="CR995" i="5" s="1"/>
  <c r="AB996" i="5"/>
  <c r="CT996" i="5" s="1"/>
  <c r="T996" i="5"/>
  <c r="CS996" i="5" s="1"/>
  <c r="M996" i="5"/>
  <c r="CR996" i="5" s="1"/>
  <c r="AB1031" i="5"/>
  <c r="CT1031" i="5" s="1"/>
  <c r="T1031" i="5"/>
  <c r="CS1031" i="5" s="1"/>
  <c r="M1031" i="5"/>
  <c r="CR1031" i="5" s="1"/>
  <c r="AB991" i="5"/>
  <c r="CT991" i="5" s="1"/>
  <c r="T991" i="5"/>
  <c r="CS991" i="5" s="1"/>
  <c r="M991" i="5"/>
  <c r="CR991" i="5" s="1"/>
  <c r="AB990" i="5"/>
  <c r="CT990" i="5" s="1"/>
  <c r="T990" i="5"/>
  <c r="CS990" i="5" s="1"/>
  <c r="M990" i="5"/>
  <c r="CR990" i="5" s="1"/>
  <c r="AB979" i="5"/>
  <c r="CT979" i="5" s="1"/>
  <c r="T979" i="5"/>
  <c r="CS979" i="5" s="1"/>
  <c r="M979" i="5"/>
  <c r="CR979" i="5" s="1"/>
  <c r="AB989" i="5"/>
  <c r="CT989" i="5" s="1"/>
  <c r="T989" i="5"/>
  <c r="CS989" i="5" s="1"/>
  <c r="M989" i="5"/>
  <c r="CR989" i="5" s="1"/>
  <c r="AB988" i="5"/>
  <c r="CT988" i="5" s="1"/>
  <c r="T988" i="5"/>
  <c r="CS988" i="5" s="1"/>
  <c r="M988" i="5"/>
  <c r="CR988" i="5" s="1"/>
  <c r="AB1067" i="5"/>
  <c r="CT1067" i="5" s="1"/>
  <c r="T1067" i="5"/>
  <c r="CS1067" i="5" s="1"/>
  <c r="M1067" i="5"/>
  <c r="CR1067" i="5" s="1"/>
  <c r="AB756" i="5"/>
  <c r="CT756" i="5" s="1"/>
  <c r="T756" i="5"/>
  <c r="CS756" i="5" s="1"/>
  <c r="M756" i="5"/>
  <c r="CR756" i="5" s="1"/>
  <c r="AB987" i="5"/>
  <c r="CT987" i="5" s="1"/>
  <c r="T987" i="5"/>
  <c r="CS987" i="5" s="1"/>
  <c r="M987" i="5"/>
  <c r="CR987" i="5" s="1"/>
  <c r="AB986" i="5"/>
  <c r="CT986" i="5" s="1"/>
  <c r="T986" i="5"/>
  <c r="CS986" i="5" s="1"/>
  <c r="M986" i="5"/>
  <c r="CR986" i="5" s="1"/>
  <c r="AB959" i="5"/>
  <c r="CT959" i="5" s="1"/>
  <c r="T959" i="5"/>
  <c r="CS959" i="5" s="1"/>
  <c r="M959" i="5"/>
  <c r="CR959" i="5" s="1"/>
  <c r="AB985" i="5"/>
  <c r="CT985" i="5" s="1"/>
  <c r="T985" i="5"/>
  <c r="CS985" i="5" s="1"/>
  <c r="M985" i="5"/>
  <c r="CR985" i="5" s="1"/>
  <c r="AB992" i="5"/>
  <c r="CT992" i="5" s="1"/>
  <c r="T992" i="5"/>
  <c r="CS992" i="5" s="1"/>
  <c r="M992" i="5"/>
  <c r="CR992" i="5" s="1"/>
  <c r="AB981" i="5"/>
  <c r="CT981" i="5" s="1"/>
  <c r="T981" i="5"/>
  <c r="CS981" i="5" s="1"/>
  <c r="M981" i="5"/>
  <c r="CR981" i="5" s="1"/>
  <c r="AB879" i="5"/>
  <c r="CT879" i="5" s="1"/>
  <c r="T879" i="5"/>
  <c r="CS879" i="5" s="1"/>
  <c r="M879" i="5"/>
  <c r="CR879" i="5" s="1"/>
  <c r="AB983" i="5"/>
  <c r="CT983" i="5" s="1"/>
  <c r="T983" i="5"/>
  <c r="CS983" i="5" s="1"/>
  <c r="M983" i="5"/>
  <c r="CR983" i="5" s="1"/>
  <c r="AB982" i="5"/>
  <c r="CT982" i="5" s="1"/>
  <c r="T982" i="5"/>
  <c r="CS982" i="5" s="1"/>
  <c r="M982" i="5"/>
  <c r="CR982" i="5" s="1"/>
  <c r="AB978" i="5"/>
  <c r="CT978" i="5" s="1"/>
  <c r="T978" i="5"/>
  <c r="CS978" i="5" s="1"/>
  <c r="M978" i="5"/>
  <c r="CR978" i="5" s="1"/>
  <c r="AB1005" i="5"/>
  <c r="CT1005" i="5" s="1"/>
  <c r="T1005" i="5"/>
  <c r="CS1005" i="5" s="1"/>
  <c r="M1005" i="5"/>
  <c r="CR1005" i="5" s="1"/>
  <c r="AB914" i="5"/>
  <c r="CT914" i="5" s="1"/>
  <c r="T914" i="5"/>
  <c r="CS914" i="5" s="1"/>
  <c r="M914" i="5"/>
  <c r="CR914" i="5" s="1"/>
  <c r="AB977" i="5"/>
  <c r="CT977" i="5" s="1"/>
  <c r="T977" i="5"/>
  <c r="CS977" i="5" s="1"/>
  <c r="M977" i="5"/>
  <c r="CR977" i="5" s="1"/>
  <c r="AB822" i="5"/>
  <c r="CT822" i="5" s="1"/>
  <c r="T822" i="5"/>
  <c r="CS822" i="5" s="1"/>
  <c r="M822" i="5"/>
  <c r="CR822" i="5" s="1"/>
  <c r="AB954" i="5"/>
  <c r="CT954" i="5" s="1"/>
  <c r="T954" i="5"/>
  <c r="CS954" i="5" s="1"/>
  <c r="M954" i="5"/>
  <c r="CR954" i="5" s="1"/>
  <c r="AB975" i="5"/>
  <c r="CT975" i="5" s="1"/>
  <c r="T975" i="5"/>
  <c r="CS975" i="5" s="1"/>
  <c r="M975" i="5"/>
  <c r="CR975" i="5" s="1"/>
  <c r="AB957" i="5"/>
  <c r="CT957" i="5" s="1"/>
  <c r="T957" i="5"/>
  <c r="CS957" i="5" s="1"/>
  <c r="M957" i="5"/>
  <c r="CR957" i="5" s="1"/>
  <c r="AB823" i="5"/>
  <c r="CT823" i="5" s="1"/>
  <c r="T823" i="5"/>
  <c r="CS823" i="5" s="1"/>
  <c r="M823" i="5"/>
  <c r="CR823" i="5" s="1"/>
  <c r="AB662" i="5"/>
  <c r="CT662" i="5" s="1"/>
  <c r="T662" i="5"/>
  <c r="CS662" i="5" s="1"/>
  <c r="M662" i="5"/>
  <c r="CR662" i="5" s="1"/>
  <c r="AB1039" i="5"/>
  <c r="CT1039" i="5" s="1"/>
  <c r="T1039" i="5"/>
  <c r="CS1039" i="5" s="1"/>
  <c r="M1039" i="5"/>
  <c r="CR1039" i="5" s="1"/>
  <c r="AB969" i="5"/>
  <c r="CT969" i="5" s="1"/>
  <c r="T969" i="5"/>
  <c r="CS969" i="5" s="1"/>
  <c r="M969" i="5"/>
  <c r="CR969" i="5" s="1"/>
  <c r="AB968" i="5"/>
  <c r="CT968" i="5" s="1"/>
  <c r="T968" i="5"/>
  <c r="CS968" i="5" s="1"/>
  <c r="M968" i="5"/>
  <c r="CR968" i="5" s="1"/>
  <c r="AB967" i="5"/>
  <c r="CT967" i="5" s="1"/>
  <c r="T967" i="5"/>
  <c r="CS967" i="5" s="1"/>
  <c r="M967" i="5"/>
  <c r="CR967" i="5" s="1"/>
  <c r="AB966" i="5"/>
  <c r="CT966" i="5" s="1"/>
  <c r="T966" i="5"/>
  <c r="CS966" i="5" s="1"/>
  <c r="M966" i="5"/>
  <c r="CR966" i="5" s="1"/>
  <c r="AB835" i="5"/>
  <c r="CT835" i="5" s="1"/>
  <c r="T835" i="5"/>
  <c r="CS835" i="5" s="1"/>
  <c r="M835" i="5"/>
  <c r="CR835" i="5" s="1"/>
  <c r="AB964" i="5"/>
  <c r="CT964" i="5" s="1"/>
  <c r="T964" i="5"/>
  <c r="CS964" i="5" s="1"/>
  <c r="M964" i="5"/>
  <c r="CR964" i="5" s="1"/>
  <c r="AB951" i="5"/>
  <c r="CT951" i="5" s="1"/>
  <c r="T951" i="5"/>
  <c r="CS951" i="5" s="1"/>
  <c r="M951" i="5"/>
  <c r="CR951" i="5" s="1"/>
  <c r="AB962" i="5"/>
  <c r="CT962" i="5" s="1"/>
  <c r="T962" i="5"/>
  <c r="CS962" i="5" s="1"/>
  <c r="M962" i="5"/>
  <c r="CR962" i="5" s="1"/>
  <c r="AB961" i="5"/>
  <c r="CT961" i="5" s="1"/>
  <c r="T961" i="5"/>
  <c r="CS961" i="5" s="1"/>
  <c r="M961" i="5"/>
  <c r="CR961" i="5" s="1"/>
  <c r="AB960" i="5"/>
  <c r="CT960" i="5" s="1"/>
  <c r="T960" i="5"/>
  <c r="CS960" i="5" s="1"/>
  <c r="M960" i="5"/>
  <c r="CR960" i="5" s="1"/>
  <c r="AB854" i="5"/>
  <c r="CT854" i="5" s="1"/>
  <c r="T854" i="5"/>
  <c r="CS854" i="5" s="1"/>
  <c r="M854" i="5"/>
  <c r="CR854" i="5" s="1"/>
  <c r="AB1032" i="5"/>
  <c r="CT1032" i="5" s="1"/>
  <c r="T1032" i="5"/>
  <c r="CS1032" i="5" s="1"/>
  <c r="M1032" i="5"/>
  <c r="CR1032" i="5" s="1"/>
  <c r="AB1014" i="5"/>
  <c r="CT1014" i="5" s="1"/>
  <c r="T1014" i="5"/>
  <c r="CS1014" i="5" s="1"/>
  <c r="M1014" i="5"/>
  <c r="CR1014" i="5" s="1"/>
  <c r="AB1030" i="5"/>
  <c r="CT1030" i="5" s="1"/>
  <c r="T1030" i="5"/>
  <c r="CS1030" i="5" s="1"/>
  <c r="M1030" i="5"/>
  <c r="CR1030" i="5" s="1"/>
  <c r="AB956" i="5"/>
  <c r="CT956" i="5" s="1"/>
  <c r="T956" i="5"/>
  <c r="CS956" i="5" s="1"/>
  <c r="M956" i="5"/>
  <c r="CR956" i="5" s="1"/>
  <c r="AB1033" i="5"/>
  <c r="CT1033" i="5" s="1"/>
  <c r="T1033" i="5"/>
  <c r="CS1033" i="5" s="1"/>
  <c r="M1033" i="5"/>
  <c r="CR1033" i="5" s="1"/>
  <c r="AB955" i="5"/>
  <c r="CT955" i="5" s="1"/>
  <c r="T955" i="5"/>
  <c r="CS955" i="5" s="1"/>
  <c r="M955" i="5"/>
  <c r="CR955" i="5" s="1"/>
  <c r="AB953" i="5"/>
  <c r="CT953" i="5" s="1"/>
  <c r="T953" i="5"/>
  <c r="CS953" i="5" s="1"/>
  <c r="M953" i="5"/>
  <c r="CR953" i="5" s="1"/>
  <c r="AB949" i="5"/>
  <c r="CT949" i="5" s="1"/>
  <c r="T949" i="5"/>
  <c r="CS949" i="5" s="1"/>
  <c r="M949" i="5"/>
  <c r="CR949" i="5" s="1"/>
  <c r="AB947" i="5"/>
  <c r="CT947" i="5" s="1"/>
  <c r="T947" i="5"/>
  <c r="CS947" i="5" s="1"/>
  <c r="M947" i="5"/>
  <c r="CR947" i="5" s="1"/>
  <c r="AB945" i="5"/>
  <c r="CT945" i="5" s="1"/>
  <c r="T945" i="5"/>
  <c r="CS945" i="5" s="1"/>
  <c r="M945" i="5"/>
  <c r="CR945" i="5" s="1"/>
  <c r="AB941" i="5"/>
  <c r="CT941" i="5" s="1"/>
  <c r="T941" i="5"/>
  <c r="CS941" i="5" s="1"/>
  <c r="M941" i="5"/>
  <c r="CR941" i="5" s="1"/>
  <c r="AB938" i="5"/>
  <c r="CT938" i="5" s="1"/>
  <c r="T938" i="5"/>
  <c r="CS938" i="5" s="1"/>
  <c r="M938" i="5"/>
  <c r="CR938" i="5" s="1"/>
  <c r="AB936" i="5"/>
  <c r="CT936" i="5" s="1"/>
  <c r="T936" i="5"/>
  <c r="CS936" i="5" s="1"/>
  <c r="M936" i="5"/>
  <c r="CR936" i="5" s="1"/>
  <c r="AB935" i="5"/>
  <c r="CT935" i="5" s="1"/>
  <c r="T935" i="5"/>
  <c r="CS935" i="5" s="1"/>
  <c r="M935" i="5"/>
  <c r="CR935" i="5" s="1"/>
  <c r="AB934" i="5"/>
  <c r="CT934" i="5" s="1"/>
  <c r="T934" i="5"/>
  <c r="CS934" i="5" s="1"/>
  <c r="M934" i="5"/>
  <c r="CR934" i="5" s="1"/>
  <c r="AB943" i="5"/>
  <c r="CT943" i="5" s="1"/>
  <c r="T943" i="5"/>
  <c r="CS943" i="5" s="1"/>
  <c r="M943" i="5"/>
  <c r="CR943" i="5" s="1"/>
  <c r="AB932" i="5"/>
  <c r="CT932" i="5" s="1"/>
  <c r="T932" i="5"/>
  <c r="CS932" i="5" s="1"/>
  <c r="M932" i="5"/>
  <c r="CR932" i="5" s="1"/>
  <c r="AB974" i="5"/>
  <c r="CT974" i="5" s="1"/>
  <c r="T974" i="5"/>
  <c r="CS974" i="5" s="1"/>
  <c r="M974" i="5"/>
  <c r="CR974" i="5" s="1"/>
  <c r="AB930" i="5"/>
  <c r="CT930" i="5" s="1"/>
  <c r="T930" i="5"/>
  <c r="CS930" i="5" s="1"/>
  <c r="M930" i="5"/>
  <c r="CR930" i="5" s="1"/>
  <c r="AB952" i="5"/>
  <c r="CT952" i="5" s="1"/>
  <c r="T952" i="5"/>
  <c r="CS952" i="5" s="1"/>
  <c r="M952" i="5"/>
  <c r="CR952" i="5" s="1"/>
  <c r="AB918" i="5"/>
  <c r="CT918" i="5" s="1"/>
  <c r="T918" i="5"/>
  <c r="CS918" i="5" s="1"/>
  <c r="M918" i="5"/>
  <c r="CR918" i="5" s="1"/>
  <c r="AB928" i="5"/>
  <c r="CT928" i="5" s="1"/>
  <c r="T928" i="5"/>
  <c r="CS928" i="5" s="1"/>
  <c r="M928" i="5"/>
  <c r="CR928" i="5" s="1"/>
  <c r="AB927" i="5"/>
  <c r="CT927" i="5" s="1"/>
  <c r="T927" i="5"/>
  <c r="CS927" i="5" s="1"/>
  <c r="M927" i="5"/>
  <c r="CR927" i="5" s="1"/>
  <c r="AB925" i="5"/>
  <c r="CT925" i="5" s="1"/>
  <c r="T925" i="5"/>
  <c r="CS925" i="5" s="1"/>
  <c r="M925" i="5"/>
  <c r="CR925" i="5" s="1"/>
  <c r="AB924" i="5"/>
  <c r="CT924" i="5" s="1"/>
  <c r="T924" i="5"/>
  <c r="CS924" i="5" s="1"/>
  <c r="M924" i="5"/>
  <c r="CR924" i="5" s="1"/>
  <c r="AB912" i="5"/>
  <c r="CT912" i="5" s="1"/>
  <c r="T912" i="5"/>
  <c r="CS912" i="5" s="1"/>
  <c r="M912" i="5"/>
  <c r="CR912" i="5" s="1"/>
  <c r="AB923" i="5"/>
  <c r="CT923" i="5" s="1"/>
  <c r="T923" i="5"/>
  <c r="CS923" i="5" s="1"/>
  <c r="M923" i="5"/>
  <c r="CR923" i="5" s="1"/>
  <c r="AB865" i="5"/>
  <c r="CT865" i="5" s="1"/>
  <c r="T865" i="5"/>
  <c r="CS865" i="5" s="1"/>
  <c r="M865" i="5"/>
  <c r="CR865" i="5" s="1"/>
  <c r="AB922" i="5"/>
  <c r="CT922" i="5" s="1"/>
  <c r="T922" i="5"/>
  <c r="CS922" i="5" s="1"/>
  <c r="M922" i="5"/>
  <c r="CR922" i="5" s="1"/>
  <c r="AB921" i="5"/>
  <c r="CT921" i="5" s="1"/>
  <c r="T921" i="5"/>
  <c r="CS921" i="5" s="1"/>
  <c r="M921" i="5"/>
  <c r="CR921" i="5" s="1"/>
  <c r="AB920" i="5"/>
  <c r="CT920" i="5" s="1"/>
  <c r="T920" i="5"/>
  <c r="CS920" i="5" s="1"/>
  <c r="M920" i="5"/>
  <c r="CR920" i="5" s="1"/>
  <c r="AB919" i="5"/>
  <c r="CT919" i="5" s="1"/>
  <c r="T919" i="5"/>
  <c r="CS919" i="5" s="1"/>
  <c r="M919" i="5"/>
  <c r="CR919" i="5" s="1"/>
  <c r="AB891" i="5"/>
  <c r="CT891" i="5" s="1"/>
  <c r="T891" i="5"/>
  <c r="CS891" i="5" s="1"/>
  <c r="M891" i="5"/>
  <c r="CR891" i="5" s="1"/>
  <c r="AB948" i="5"/>
  <c r="CT948" i="5" s="1"/>
  <c r="T948" i="5"/>
  <c r="CS948" i="5" s="1"/>
  <c r="M948" i="5"/>
  <c r="CR948" i="5" s="1"/>
  <c r="AB976" i="5"/>
  <c r="CT976" i="5" s="1"/>
  <c r="T976" i="5"/>
  <c r="CS976" i="5" s="1"/>
  <c r="M976" i="5"/>
  <c r="CR976" i="5" s="1"/>
  <c r="AB940" i="5"/>
  <c r="CT940" i="5" s="1"/>
  <c r="T940" i="5"/>
  <c r="CS940" i="5" s="1"/>
  <c r="M940" i="5"/>
  <c r="CR940" i="5" s="1"/>
  <c r="AB903" i="5"/>
  <c r="CT903" i="5" s="1"/>
  <c r="T903" i="5"/>
  <c r="CS903" i="5" s="1"/>
  <c r="M903" i="5"/>
  <c r="CR903" i="5" s="1"/>
  <c r="AB910" i="5"/>
  <c r="CT910" i="5" s="1"/>
  <c r="T910" i="5"/>
  <c r="CS910" i="5" s="1"/>
  <c r="M910" i="5"/>
  <c r="CR910" i="5" s="1"/>
  <c r="AB908" i="5"/>
  <c r="CT908" i="5" s="1"/>
  <c r="T908" i="5"/>
  <c r="CS908" i="5" s="1"/>
  <c r="M908" i="5"/>
  <c r="CR908" i="5" s="1"/>
  <c r="AB907" i="5"/>
  <c r="CT907" i="5" s="1"/>
  <c r="T907" i="5"/>
  <c r="CS907" i="5" s="1"/>
  <c r="M907" i="5"/>
  <c r="CR907" i="5" s="1"/>
  <c r="AB906" i="5"/>
  <c r="CT906" i="5" s="1"/>
  <c r="T906" i="5"/>
  <c r="CS906" i="5" s="1"/>
  <c r="M906" i="5"/>
  <c r="CR906" i="5" s="1"/>
  <c r="AB844" i="5"/>
  <c r="CT844" i="5" s="1"/>
  <c r="T844" i="5"/>
  <c r="CS844" i="5" s="1"/>
  <c r="M844" i="5"/>
  <c r="CR844" i="5" s="1"/>
  <c r="AB901" i="5"/>
  <c r="CT901" i="5" s="1"/>
  <c r="T901" i="5"/>
  <c r="CS901" i="5" s="1"/>
  <c r="M901" i="5"/>
  <c r="CR901" i="5" s="1"/>
  <c r="AB863" i="5"/>
  <c r="CT863" i="5" s="1"/>
  <c r="T863" i="5"/>
  <c r="CS863" i="5" s="1"/>
  <c r="M863" i="5"/>
  <c r="CR863" i="5" s="1"/>
  <c r="AB946" i="5"/>
  <c r="CT946" i="5" s="1"/>
  <c r="T946" i="5"/>
  <c r="CS946" i="5" s="1"/>
  <c r="M946" i="5"/>
  <c r="CR946" i="5" s="1"/>
  <c r="AB899" i="5"/>
  <c r="CT899" i="5" s="1"/>
  <c r="T899" i="5"/>
  <c r="CS899" i="5" s="1"/>
  <c r="M899" i="5"/>
  <c r="CR899" i="5" s="1"/>
  <c r="AB939" i="5"/>
  <c r="CT939" i="5" s="1"/>
  <c r="T939" i="5"/>
  <c r="CS939" i="5" s="1"/>
  <c r="M939" i="5"/>
  <c r="CR939" i="5" s="1"/>
  <c r="AB933" i="5"/>
  <c r="CT933" i="5" s="1"/>
  <c r="T933" i="5"/>
  <c r="CS933" i="5" s="1"/>
  <c r="M933" i="5"/>
  <c r="CR933" i="5" s="1"/>
  <c r="AB818" i="5"/>
  <c r="CT818" i="5" s="1"/>
  <c r="T818" i="5"/>
  <c r="CS818" i="5" s="1"/>
  <c r="M818" i="5"/>
  <c r="CR818" i="5" s="1"/>
  <c r="AB894" i="5"/>
  <c r="CT894" i="5" s="1"/>
  <c r="T894" i="5"/>
  <c r="CS894" i="5" s="1"/>
  <c r="M894" i="5"/>
  <c r="CR894" i="5" s="1"/>
  <c r="AB859" i="5"/>
  <c r="CT859" i="5" s="1"/>
  <c r="T859" i="5"/>
  <c r="CS859" i="5" s="1"/>
  <c r="M859" i="5"/>
  <c r="CR859" i="5" s="1"/>
  <c r="AB892" i="5"/>
  <c r="CT892" i="5" s="1"/>
  <c r="T892" i="5"/>
  <c r="CS892" i="5" s="1"/>
  <c r="M892" i="5"/>
  <c r="CR892" i="5" s="1"/>
  <c r="AB872" i="5"/>
  <c r="CT872" i="5" s="1"/>
  <c r="T872" i="5"/>
  <c r="CS872" i="5" s="1"/>
  <c r="M872" i="5"/>
  <c r="CR872" i="5" s="1"/>
  <c r="AB888" i="5"/>
  <c r="CT888" i="5" s="1"/>
  <c r="T888" i="5"/>
  <c r="CS888" i="5" s="1"/>
  <c r="M888" i="5"/>
  <c r="CR888" i="5" s="1"/>
  <c r="AB730" i="5"/>
  <c r="CT730" i="5" s="1"/>
  <c r="T730" i="5"/>
  <c r="CS730" i="5" s="1"/>
  <c r="M730" i="5"/>
  <c r="CR730" i="5" s="1"/>
  <c r="AB896" i="5"/>
  <c r="CT896" i="5" s="1"/>
  <c r="T896" i="5"/>
  <c r="CS896" i="5" s="1"/>
  <c r="M896" i="5"/>
  <c r="CR896" i="5" s="1"/>
  <c r="AB884" i="5"/>
  <c r="CT884" i="5" s="1"/>
  <c r="T884" i="5"/>
  <c r="CS884" i="5" s="1"/>
  <c r="M884" i="5"/>
  <c r="CR884" i="5" s="1"/>
  <c r="AB883" i="5"/>
  <c r="CT883" i="5" s="1"/>
  <c r="T883" i="5"/>
  <c r="CS883" i="5" s="1"/>
  <c r="M883" i="5"/>
  <c r="CR883" i="5" s="1"/>
  <c r="AB882" i="5"/>
  <c r="CT882" i="5" s="1"/>
  <c r="T882" i="5"/>
  <c r="CS882" i="5" s="1"/>
  <c r="M882" i="5"/>
  <c r="CR882" i="5" s="1"/>
  <c r="AB881" i="5"/>
  <c r="CT881" i="5" s="1"/>
  <c r="T881" i="5"/>
  <c r="CS881" i="5" s="1"/>
  <c r="M881" i="5"/>
  <c r="CR881" i="5" s="1"/>
  <c r="AB971" i="5"/>
  <c r="CT971" i="5" s="1"/>
  <c r="T971" i="5"/>
  <c r="CS971" i="5" s="1"/>
  <c r="M971" i="5"/>
  <c r="CR971" i="5" s="1"/>
  <c r="AB880" i="5"/>
  <c r="CT880" i="5" s="1"/>
  <c r="T880" i="5"/>
  <c r="CS880" i="5" s="1"/>
  <c r="M880" i="5"/>
  <c r="CR880" i="5" s="1"/>
  <c r="AB827" i="5"/>
  <c r="CT827" i="5" s="1"/>
  <c r="T827" i="5"/>
  <c r="CS827" i="5" s="1"/>
  <c r="M827" i="5"/>
  <c r="CR827" i="5" s="1"/>
  <c r="AB915" i="5"/>
  <c r="CT915" i="5" s="1"/>
  <c r="T915" i="5"/>
  <c r="CS915" i="5" s="1"/>
  <c r="M915" i="5"/>
  <c r="CR915" i="5" s="1"/>
  <c r="AB873" i="5"/>
  <c r="CT873" i="5" s="1"/>
  <c r="T873" i="5"/>
  <c r="CS873" i="5" s="1"/>
  <c r="M873" i="5"/>
  <c r="CR873" i="5" s="1"/>
  <c r="AB909" i="5"/>
  <c r="CT909" i="5" s="1"/>
  <c r="T909" i="5"/>
  <c r="CS909" i="5" s="1"/>
  <c r="M909" i="5"/>
  <c r="CR909" i="5" s="1"/>
  <c r="AB846" i="5"/>
  <c r="CT846" i="5" s="1"/>
  <c r="T846" i="5"/>
  <c r="CS846" i="5" s="1"/>
  <c r="M846" i="5"/>
  <c r="CR846" i="5" s="1"/>
  <c r="AB950" i="5"/>
  <c r="CT950" i="5" s="1"/>
  <c r="T950" i="5"/>
  <c r="CS950" i="5" s="1"/>
  <c r="M950" i="5"/>
  <c r="CR950" i="5" s="1"/>
  <c r="AB913" i="5"/>
  <c r="CT913" i="5" s="1"/>
  <c r="T913" i="5"/>
  <c r="CS913" i="5" s="1"/>
  <c r="M913" i="5"/>
  <c r="CR913" i="5" s="1"/>
  <c r="AB784" i="5"/>
  <c r="CT784" i="5" s="1"/>
  <c r="T784" i="5"/>
  <c r="CS784" i="5" s="1"/>
  <c r="M784" i="5"/>
  <c r="CR784" i="5" s="1"/>
  <c r="AB623" i="5"/>
  <c r="CT623" i="5" s="1"/>
  <c r="T623" i="5"/>
  <c r="CS623" i="5" s="1"/>
  <c r="M623" i="5"/>
  <c r="CR623" i="5" s="1"/>
  <c r="AB874" i="5"/>
  <c r="CT874" i="5" s="1"/>
  <c r="T874" i="5"/>
  <c r="CS874" i="5" s="1"/>
  <c r="M874" i="5"/>
  <c r="CR874" i="5" s="1"/>
  <c r="AB916" i="5"/>
  <c r="CT916" i="5" s="1"/>
  <c r="T916" i="5"/>
  <c r="CS916" i="5" s="1"/>
  <c r="M916" i="5"/>
  <c r="CR916" i="5" s="1"/>
  <c r="AB970" i="5"/>
  <c r="CT970" i="5" s="1"/>
  <c r="T970" i="5"/>
  <c r="CS970" i="5" s="1"/>
  <c r="M970" i="5"/>
  <c r="CR970" i="5" s="1"/>
  <c r="AB895" i="5"/>
  <c r="CT895" i="5" s="1"/>
  <c r="T895" i="5"/>
  <c r="CS895" i="5" s="1"/>
  <c r="M895" i="5"/>
  <c r="CR895" i="5" s="1"/>
  <c r="AB861" i="5"/>
  <c r="CT861" i="5" s="1"/>
  <c r="T861" i="5"/>
  <c r="CS861" i="5" s="1"/>
  <c r="M861" i="5"/>
  <c r="CR861" i="5" s="1"/>
  <c r="AB870" i="5"/>
  <c r="CT870" i="5" s="1"/>
  <c r="T870" i="5"/>
  <c r="CS870" i="5" s="1"/>
  <c r="M870" i="5"/>
  <c r="CR870" i="5" s="1"/>
  <c r="AB808" i="5"/>
  <c r="CT808" i="5" s="1"/>
  <c r="T808" i="5"/>
  <c r="CS808" i="5" s="1"/>
  <c r="M808" i="5"/>
  <c r="CR808" i="5" s="1"/>
  <c r="AB869" i="5"/>
  <c r="CT869" i="5" s="1"/>
  <c r="T869" i="5"/>
  <c r="CS869" i="5" s="1"/>
  <c r="M869" i="5"/>
  <c r="CR869" i="5" s="1"/>
  <c r="AB897" i="5"/>
  <c r="CT897" i="5" s="1"/>
  <c r="T897" i="5"/>
  <c r="CS897" i="5" s="1"/>
  <c r="M897" i="5"/>
  <c r="CR897" i="5" s="1"/>
  <c r="AB868" i="5"/>
  <c r="CT868" i="5" s="1"/>
  <c r="T868" i="5"/>
  <c r="CS868" i="5" s="1"/>
  <c r="M868" i="5"/>
  <c r="CR868" i="5" s="1"/>
  <c r="AB900" i="5"/>
  <c r="CT900" i="5" s="1"/>
  <c r="T900" i="5"/>
  <c r="CS900" i="5" s="1"/>
  <c r="M900" i="5"/>
  <c r="CR900" i="5" s="1"/>
  <c r="AB958" i="5"/>
  <c r="CT958" i="5" s="1"/>
  <c r="T958" i="5"/>
  <c r="CS958" i="5" s="1"/>
  <c r="M958" i="5"/>
  <c r="CR958" i="5" s="1"/>
  <c r="AB867" i="5"/>
  <c r="CT867" i="5" s="1"/>
  <c r="T867" i="5"/>
  <c r="CS867" i="5" s="1"/>
  <c r="M867" i="5"/>
  <c r="CR867" i="5" s="1"/>
  <c r="AB1019" i="5"/>
  <c r="CT1019" i="5" s="1"/>
  <c r="T1019" i="5"/>
  <c r="CS1019" i="5" s="1"/>
  <c r="M1019" i="5"/>
  <c r="CR1019" i="5" s="1"/>
  <c r="AB820" i="5"/>
  <c r="CT820" i="5" s="1"/>
  <c r="T820" i="5"/>
  <c r="CS820" i="5" s="1"/>
  <c r="M820" i="5"/>
  <c r="CR820" i="5" s="1"/>
  <c r="AB866" i="5"/>
  <c r="CT866" i="5" s="1"/>
  <c r="T866" i="5"/>
  <c r="CS866" i="5" s="1"/>
  <c r="M866" i="5"/>
  <c r="CR866" i="5" s="1"/>
  <c r="AB904" i="5"/>
  <c r="CT904" i="5" s="1"/>
  <c r="T904" i="5"/>
  <c r="CS904" i="5" s="1"/>
  <c r="M904" i="5"/>
  <c r="CR904" i="5" s="1"/>
  <c r="AB911" i="5"/>
  <c r="CT911" i="5" s="1"/>
  <c r="T911" i="5"/>
  <c r="CS911" i="5" s="1"/>
  <c r="M911" i="5"/>
  <c r="CR911" i="5" s="1"/>
  <c r="AB890" i="5"/>
  <c r="CT890" i="5" s="1"/>
  <c r="T890" i="5"/>
  <c r="CS890" i="5" s="1"/>
  <c r="M890" i="5"/>
  <c r="CR890" i="5" s="1"/>
  <c r="AB875" i="5"/>
  <c r="CT875" i="5" s="1"/>
  <c r="T875" i="5"/>
  <c r="CS875" i="5" s="1"/>
  <c r="M875" i="5"/>
  <c r="CR875" i="5" s="1"/>
  <c r="AB860" i="5"/>
  <c r="CT860" i="5" s="1"/>
  <c r="T860" i="5"/>
  <c r="CS860" i="5" s="1"/>
  <c r="M860" i="5"/>
  <c r="CR860" i="5" s="1"/>
  <c r="AB858" i="5"/>
  <c r="CT858" i="5" s="1"/>
  <c r="T858" i="5"/>
  <c r="CS858" i="5" s="1"/>
  <c r="M858" i="5"/>
  <c r="CR858" i="5" s="1"/>
  <c r="AB902" i="5"/>
  <c r="CT902" i="5" s="1"/>
  <c r="T902" i="5"/>
  <c r="CS902" i="5" s="1"/>
  <c r="M902" i="5"/>
  <c r="CR902" i="5" s="1"/>
  <c r="AB917" i="5"/>
  <c r="CT917" i="5" s="1"/>
  <c r="T917" i="5"/>
  <c r="CS917" i="5" s="1"/>
  <c r="M917" i="5"/>
  <c r="CR917" i="5" s="1"/>
  <c r="AB853" i="5"/>
  <c r="CT853" i="5" s="1"/>
  <c r="T853" i="5"/>
  <c r="CS853" i="5" s="1"/>
  <c r="M853" i="5"/>
  <c r="CR853" i="5" s="1"/>
  <c r="AB491" i="5"/>
  <c r="CT491" i="5" s="1"/>
  <c r="T491" i="5"/>
  <c r="CS491" i="5" s="1"/>
  <c r="M491" i="5"/>
  <c r="CR491" i="5" s="1"/>
  <c r="AB886" i="5"/>
  <c r="CT886" i="5" s="1"/>
  <c r="T886" i="5"/>
  <c r="CS886" i="5" s="1"/>
  <c r="M886" i="5"/>
  <c r="CR886" i="5" s="1"/>
  <c r="AB806" i="5"/>
  <c r="CT806" i="5" s="1"/>
  <c r="T806" i="5"/>
  <c r="CS806" i="5" s="1"/>
  <c r="M806" i="5"/>
  <c r="CR806" i="5" s="1"/>
  <c r="AB852" i="5"/>
  <c r="CT852" i="5" s="1"/>
  <c r="T852" i="5"/>
  <c r="CS852" i="5" s="1"/>
  <c r="M852" i="5"/>
  <c r="CR852" i="5" s="1"/>
  <c r="AB839" i="5"/>
  <c r="CT839" i="5" s="1"/>
  <c r="T839" i="5"/>
  <c r="CS839" i="5" s="1"/>
  <c r="M839" i="5"/>
  <c r="CR839" i="5" s="1"/>
  <c r="AB851" i="5"/>
  <c r="CT851" i="5" s="1"/>
  <c r="T851" i="5"/>
  <c r="CS851" i="5" s="1"/>
  <c r="M851" i="5"/>
  <c r="CR851" i="5" s="1"/>
  <c r="AB878" i="5"/>
  <c r="CT878" i="5" s="1"/>
  <c r="T878" i="5"/>
  <c r="CS878" i="5" s="1"/>
  <c r="M878" i="5"/>
  <c r="CR878" i="5" s="1"/>
  <c r="AB849" i="5"/>
  <c r="CT849" i="5" s="1"/>
  <c r="T849" i="5"/>
  <c r="CS849" i="5" s="1"/>
  <c r="M849" i="5"/>
  <c r="CR849" i="5" s="1"/>
  <c r="AB848" i="5"/>
  <c r="CT848" i="5" s="1"/>
  <c r="T848" i="5"/>
  <c r="CS848" i="5" s="1"/>
  <c r="M848" i="5"/>
  <c r="CR848" i="5" s="1"/>
  <c r="AB847" i="5"/>
  <c r="CT847" i="5" s="1"/>
  <c r="T847" i="5"/>
  <c r="CS847" i="5" s="1"/>
  <c r="M847" i="5"/>
  <c r="CR847" i="5" s="1"/>
  <c r="AB864" i="5"/>
  <c r="CT864" i="5" s="1"/>
  <c r="T864" i="5"/>
  <c r="CS864" i="5" s="1"/>
  <c r="M864" i="5"/>
  <c r="CR864" i="5" s="1"/>
  <c r="AB862" i="5"/>
  <c r="CT862" i="5" s="1"/>
  <c r="T862" i="5"/>
  <c r="CS862" i="5" s="1"/>
  <c r="M862" i="5"/>
  <c r="CR862" i="5" s="1"/>
  <c r="AB687" i="5"/>
  <c r="CT687" i="5" s="1"/>
  <c r="T687" i="5"/>
  <c r="CS687" i="5" s="1"/>
  <c r="M687" i="5"/>
  <c r="CR687" i="5" s="1"/>
  <c r="AB1023" i="5"/>
  <c r="CT1023" i="5" s="1"/>
  <c r="T1023" i="5"/>
  <c r="CS1023" i="5" s="1"/>
  <c r="M1023" i="5"/>
  <c r="CR1023" i="5" s="1"/>
  <c r="AB876" i="5"/>
  <c r="CT876" i="5" s="1"/>
  <c r="T876" i="5"/>
  <c r="CS876" i="5" s="1"/>
  <c r="M876" i="5"/>
  <c r="CR876" i="5" s="1"/>
  <c r="AB831" i="5"/>
  <c r="CT831" i="5" s="1"/>
  <c r="T831" i="5"/>
  <c r="CS831" i="5" s="1"/>
  <c r="M831" i="5"/>
  <c r="CR831" i="5" s="1"/>
  <c r="AB836" i="5"/>
  <c r="CT836" i="5" s="1"/>
  <c r="T836" i="5"/>
  <c r="CS836" i="5" s="1"/>
  <c r="M836" i="5"/>
  <c r="CR836" i="5" s="1"/>
  <c r="AB838" i="5"/>
  <c r="CT838" i="5" s="1"/>
  <c r="T838" i="5"/>
  <c r="CS838" i="5" s="1"/>
  <c r="M838" i="5"/>
  <c r="CR838" i="5" s="1"/>
  <c r="AB770" i="5"/>
  <c r="CT770" i="5" s="1"/>
  <c r="T770" i="5"/>
  <c r="CS770" i="5" s="1"/>
  <c r="M770" i="5"/>
  <c r="CR770" i="5" s="1"/>
  <c r="AB833" i="5"/>
  <c r="CT833" i="5" s="1"/>
  <c r="T833" i="5"/>
  <c r="CS833" i="5" s="1"/>
  <c r="M833" i="5"/>
  <c r="CR833" i="5" s="1"/>
  <c r="AB832" i="5"/>
  <c r="CT832" i="5" s="1"/>
  <c r="T832" i="5"/>
  <c r="CS832" i="5" s="1"/>
  <c r="M832" i="5"/>
  <c r="CR832" i="5" s="1"/>
  <c r="AB830" i="5"/>
  <c r="CT830" i="5" s="1"/>
  <c r="T830" i="5"/>
  <c r="CS830" i="5" s="1"/>
  <c r="M830" i="5"/>
  <c r="CR830" i="5" s="1"/>
  <c r="AB829" i="5"/>
  <c r="CT829" i="5" s="1"/>
  <c r="T829" i="5"/>
  <c r="CS829" i="5" s="1"/>
  <c r="M829" i="5"/>
  <c r="CR829" i="5" s="1"/>
  <c r="AB828" i="5"/>
  <c r="CT828" i="5" s="1"/>
  <c r="T828" i="5"/>
  <c r="CS828" i="5" s="1"/>
  <c r="M828" i="5"/>
  <c r="CR828" i="5" s="1"/>
  <c r="AB825" i="5"/>
  <c r="CT825" i="5" s="1"/>
  <c r="T825" i="5"/>
  <c r="CS825" i="5" s="1"/>
  <c r="M825" i="5"/>
  <c r="CR825" i="5" s="1"/>
  <c r="AB824" i="5"/>
  <c r="CT824" i="5" s="1"/>
  <c r="T824" i="5"/>
  <c r="CS824" i="5" s="1"/>
  <c r="M824" i="5"/>
  <c r="CR824" i="5" s="1"/>
  <c r="AB1026" i="5"/>
  <c r="CT1026" i="5" s="1"/>
  <c r="T1026" i="5"/>
  <c r="CS1026" i="5" s="1"/>
  <c r="M1026" i="5"/>
  <c r="CR1026" i="5" s="1"/>
  <c r="AB871" i="5"/>
  <c r="CT871" i="5" s="1"/>
  <c r="T871" i="5"/>
  <c r="CS871" i="5" s="1"/>
  <c r="M871" i="5"/>
  <c r="CR871" i="5" s="1"/>
  <c r="AB837" i="5"/>
  <c r="CT837" i="5" s="1"/>
  <c r="T837" i="5"/>
  <c r="CS837" i="5" s="1"/>
  <c r="M837" i="5"/>
  <c r="CR837" i="5" s="1"/>
  <c r="AB815" i="5"/>
  <c r="CT815" i="5" s="1"/>
  <c r="T815" i="5"/>
  <c r="CS815" i="5" s="1"/>
  <c r="M815" i="5"/>
  <c r="CR815" i="5" s="1"/>
  <c r="AB780" i="5"/>
  <c r="CT780" i="5" s="1"/>
  <c r="T780" i="5"/>
  <c r="CS780" i="5" s="1"/>
  <c r="M780" i="5"/>
  <c r="CR780" i="5" s="1"/>
  <c r="AB817" i="5"/>
  <c r="CT817" i="5" s="1"/>
  <c r="T817" i="5"/>
  <c r="CS817" i="5" s="1"/>
  <c r="M817" i="5"/>
  <c r="CR817" i="5" s="1"/>
  <c r="AB781" i="5"/>
  <c r="CT781" i="5" s="1"/>
  <c r="T781" i="5"/>
  <c r="CS781" i="5" s="1"/>
  <c r="M781" i="5"/>
  <c r="CR781" i="5" s="1"/>
  <c r="AB769" i="5"/>
  <c r="CT769" i="5" s="1"/>
  <c r="T769" i="5"/>
  <c r="CS769" i="5" s="1"/>
  <c r="M769" i="5"/>
  <c r="CR769" i="5" s="1"/>
  <c r="AB826" i="5"/>
  <c r="CT826" i="5" s="1"/>
  <c r="T826" i="5"/>
  <c r="CS826" i="5" s="1"/>
  <c r="M826" i="5"/>
  <c r="CR826" i="5" s="1"/>
  <c r="AB816" i="5"/>
  <c r="CT816" i="5" s="1"/>
  <c r="T816" i="5"/>
  <c r="CS816" i="5" s="1"/>
  <c r="M816" i="5"/>
  <c r="CR816" i="5" s="1"/>
  <c r="AB819" i="5"/>
  <c r="CT819" i="5" s="1"/>
  <c r="T819" i="5"/>
  <c r="CS819" i="5" s="1"/>
  <c r="M819" i="5"/>
  <c r="CR819" i="5" s="1"/>
  <c r="AB821" i="5"/>
  <c r="CT821" i="5" s="1"/>
  <c r="T821" i="5"/>
  <c r="CS821" i="5" s="1"/>
  <c r="M821" i="5"/>
  <c r="CR821" i="5" s="1"/>
  <c r="AB736" i="5"/>
  <c r="CT736" i="5" s="1"/>
  <c r="T736" i="5"/>
  <c r="CS736" i="5" s="1"/>
  <c r="M736" i="5"/>
  <c r="CR736" i="5" s="1"/>
  <c r="AB842" i="5"/>
  <c r="CT842" i="5" s="1"/>
  <c r="T842" i="5"/>
  <c r="CS842" i="5" s="1"/>
  <c r="M842" i="5"/>
  <c r="CR842" i="5" s="1"/>
  <c r="AB813" i="5"/>
  <c r="CT813" i="5" s="1"/>
  <c r="T813" i="5"/>
  <c r="CS813" i="5" s="1"/>
  <c r="M813" i="5"/>
  <c r="CR813" i="5" s="1"/>
  <c r="AB812" i="5"/>
  <c r="CT812" i="5" s="1"/>
  <c r="T812" i="5"/>
  <c r="CS812" i="5" s="1"/>
  <c r="M812" i="5"/>
  <c r="CR812" i="5" s="1"/>
  <c r="AB811" i="5"/>
  <c r="CT811" i="5" s="1"/>
  <c r="T811" i="5"/>
  <c r="CS811" i="5" s="1"/>
  <c r="M811" i="5"/>
  <c r="CR811" i="5" s="1"/>
  <c r="AB787" i="5"/>
  <c r="CT787" i="5" s="1"/>
  <c r="T787" i="5"/>
  <c r="CS787" i="5" s="1"/>
  <c r="M787" i="5"/>
  <c r="CR787" i="5" s="1"/>
  <c r="AB834" i="5"/>
  <c r="CT834" i="5" s="1"/>
  <c r="T834" i="5"/>
  <c r="CS834" i="5" s="1"/>
  <c r="M834" i="5"/>
  <c r="CR834" i="5" s="1"/>
  <c r="AB810" i="5"/>
  <c r="CT810" i="5" s="1"/>
  <c r="T810" i="5"/>
  <c r="CS810" i="5" s="1"/>
  <c r="M810" i="5"/>
  <c r="CR810" i="5" s="1"/>
  <c r="AB692" i="5"/>
  <c r="CT692" i="5" s="1"/>
  <c r="T692" i="5"/>
  <c r="CS692" i="5" s="1"/>
  <c r="M692" i="5"/>
  <c r="CR692" i="5" s="1"/>
  <c r="AB809" i="5"/>
  <c r="CT809" i="5" s="1"/>
  <c r="T809" i="5"/>
  <c r="CS809" i="5" s="1"/>
  <c r="M809" i="5"/>
  <c r="CR809" i="5" s="1"/>
  <c r="AB800" i="5"/>
  <c r="CT800" i="5" s="1"/>
  <c r="T800" i="5"/>
  <c r="CS800" i="5" s="1"/>
  <c r="M800" i="5"/>
  <c r="CR800" i="5" s="1"/>
  <c r="AB771" i="5"/>
  <c r="CT771" i="5" s="1"/>
  <c r="T771" i="5"/>
  <c r="CS771" i="5" s="1"/>
  <c r="M771" i="5"/>
  <c r="CR771" i="5" s="1"/>
  <c r="AB814" i="5"/>
  <c r="CT814" i="5" s="1"/>
  <c r="T814" i="5"/>
  <c r="CS814" i="5" s="1"/>
  <c r="M814" i="5"/>
  <c r="CR814" i="5" s="1"/>
  <c r="AB763" i="5"/>
  <c r="CT763" i="5" s="1"/>
  <c r="T763" i="5"/>
  <c r="CS763" i="5" s="1"/>
  <c r="M763" i="5"/>
  <c r="CR763" i="5" s="1"/>
  <c r="AB660" i="5"/>
  <c r="CT660" i="5" s="1"/>
  <c r="T660" i="5"/>
  <c r="CS660" i="5" s="1"/>
  <c r="M660" i="5"/>
  <c r="CR660" i="5" s="1"/>
  <c r="AB714" i="5"/>
  <c r="CT714" i="5" s="1"/>
  <c r="T714" i="5"/>
  <c r="CS714" i="5" s="1"/>
  <c r="M714" i="5"/>
  <c r="CR714" i="5" s="1"/>
  <c r="AB767" i="5"/>
  <c r="CT767" i="5" s="1"/>
  <c r="T767" i="5"/>
  <c r="CS767" i="5" s="1"/>
  <c r="M767" i="5"/>
  <c r="CR767" i="5" s="1"/>
  <c r="AB1038" i="5"/>
  <c r="CT1038" i="5" s="1"/>
  <c r="T1038" i="5"/>
  <c r="CS1038" i="5" s="1"/>
  <c r="M1038" i="5"/>
  <c r="CR1038" i="5" s="1"/>
  <c r="AB766" i="5"/>
  <c r="CT766" i="5" s="1"/>
  <c r="T766" i="5"/>
  <c r="CS766" i="5" s="1"/>
  <c r="M766" i="5"/>
  <c r="CR766" i="5" s="1"/>
  <c r="AB850" i="5"/>
  <c r="CT850" i="5" s="1"/>
  <c r="T850" i="5"/>
  <c r="CS850" i="5" s="1"/>
  <c r="M850" i="5"/>
  <c r="CR850" i="5" s="1"/>
  <c r="AB804" i="5"/>
  <c r="CT804" i="5" s="1"/>
  <c r="T804" i="5"/>
  <c r="CS804" i="5" s="1"/>
  <c r="M804" i="5"/>
  <c r="CR804" i="5" s="1"/>
  <c r="AB885" i="5"/>
  <c r="CT885" i="5" s="1"/>
  <c r="T885" i="5"/>
  <c r="CS885" i="5" s="1"/>
  <c r="M885" i="5"/>
  <c r="CR885" i="5" s="1"/>
  <c r="AB772" i="5"/>
  <c r="CT772" i="5" s="1"/>
  <c r="T772" i="5"/>
  <c r="CS772" i="5" s="1"/>
  <c r="M772" i="5"/>
  <c r="CR772" i="5" s="1"/>
  <c r="AB768" i="5"/>
  <c r="CT768" i="5" s="1"/>
  <c r="T768" i="5"/>
  <c r="CS768" i="5" s="1"/>
  <c r="M768" i="5"/>
  <c r="CR768" i="5" s="1"/>
  <c r="AB802" i="5"/>
  <c r="CT802" i="5" s="1"/>
  <c r="T802" i="5"/>
  <c r="CS802" i="5" s="1"/>
  <c r="M802" i="5"/>
  <c r="CR802" i="5" s="1"/>
  <c r="AB807" i="5"/>
  <c r="CT807" i="5" s="1"/>
  <c r="T807" i="5"/>
  <c r="CS807" i="5" s="1"/>
  <c r="M807" i="5"/>
  <c r="CR807" i="5" s="1"/>
  <c r="AB759" i="5"/>
  <c r="CT759" i="5" s="1"/>
  <c r="T759" i="5"/>
  <c r="CS759" i="5" s="1"/>
  <c r="M759" i="5"/>
  <c r="CR759" i="5" s="1"/>
  <c r="AB773" i="5"/>
  <c r="CT773" i="5" s="1"/>
  <c r="T773" i="5"/>
  <c r="CS773" i="5" s="1"/>
  <c r="M773" i="5"/>
  <c r="CR773" i="5" s="1"/>
  <c r="AB797" i="5"/>
  <c r="CT797" i="5" s="1"/>
  <c r="T797" i="5"/>
  <c r="CS797" i="5" s="1"/>
  <c r="M797" i="5"/>
  <c r="CR797" i="5" s="1"/>
  <c r="AB783" i="5"/>
  <c r="CT783" i="5" s="1"/>
  <c r="T783" i="5"/>
  <c r="CS783" i="5" s="1"/>
  <c r="M783" i="5"/>
  <c r="CR783" i="5" s="1"/>
  <c r="AB795" i="5"/>
  <c r="CT795" i="5" s="1"/>
  <c r="T795" i="5"/>
  <c r="CS795" i="5" s="1"/>
  <c r="M795" i="5"/>
  <c r="CR795" i="5" s="1"/>
  <c r="AB710" i="5"/>
  <c r="CT710" i="5" s="1"/>
  <c r="T710" i="5"/>
  <c r="CS710" i="5" s="1"/>
  <c r="M710" i="5"/>
  <c r="CR710" i="5" s="1"/>
  <c r="AB685" i="5"/>
  <c r="CT685" i="5" s="1"/>
  <c r="T685" i="5"/>
  <c r="CS685" i="5" s="1"/>
  <c r="M685" i="5"/>
  <c r="CR685" i="5" s="1"/>
  <c r="AB793" i="5"/>
  <c r="CT793" i="5" s="1"/>
  <c r="T793" i="5"/>
  <c r="CS793" i="5" s="1"/>
  <c r="M793" i="5"/>
  <c r="CR793" i="5" s="1"/>
  <c r="AB708" i="5"/>
  <c r="CT708" i="5" s="1"/>
  <c r="T708" i="5"/>
  <c r="CS708" i="5" s="1"/>
  <c r="M708" i="5"/>
  <c r="CR708" i="5" s="1"/>
  <c r="AB792" i="5"/>
  <c r="CT792" i="5" s="1"/>
  <c r="T792" i="5"/>
  <c r="CS792" i="5" s="1"/>
  <c r="M792" i="5"/>
  <c r="CR792" i="5" s="1"/>
  <c r="AB791" i="5"/>
  <c r="CT791" i="5" s="1"/>
  <c r="T791" i="5"/>
  <c r="CS791" i="5" s="1"/>
  <c r="M791" i="5"/>
  <c r="CR791" i="5" s="1"/>
  <c r="AB790" i="5"/>
  <c r="CT790" i="5" s="1"/>
  <c r="T790" i="5"/>
  <c r="CS790" i="5" s="1"/>
  <c r="M790" i="5"/>
  <c r="CR790" i="5" s="1"/>
  <c r="AB799" i="5"/>
  <c r="CT799" i="5" s="1"/>
  <c r="T799" i="5"/>
  <c r="CS799" i="5" s="1"/>
  <c r="M799" i="5"/>
  <c r="CR799" i="5" s="1"/>
  <c r="AB777" i="5"/>
  <c r="CT777" i="5" s="1"/>
  <c r="T777" i="5"/>
  <c r="CS777" i="5" s="1"/>
  <c r="M777" i="5"/>
  <c r="CR777" i="5" s="1"/>
  <c r="AB776" i="5"/>
  <c r="CT776" i="5" s="1"/>
  <c r="T776" i="5"/>
  <c r="CS776" i="5" s="1"/>
  <c r="M776" i="5"/>
  <c r="CR776" i="5" s="1"/>
  <c r="AB779" i="5"/>
  <c r="CT779" i="5" s="1"/>
  <c r="T779" i="5"/>
  <c r="CS779" i="5" s="1"/>
  <c r="M779" i="5"/>
  <c r="CR779" i="5" s="1"/>
  <c r="AB764" i="5"/>
  <c r="CT764" i="5" s="1"/>
  <c r="T764" i="5"/>
  <c r="CS764" i="5" s="1"/>
  <c r="M764" i="5"/>
  <c r="CR764" i="5" s="1"/>
  <c r="AB657" i="5"/>
  <c r="CT657" i="5" s="1"/>
  <c r="T657" i="5"/>
  <c r="CS657" i="5" s="1"/>
  <c r="M657" i="5"/>
  <c r="CR657" i="5" s="1"/>
  <c r="AB684" i="5"/>
  <c r="CT684" i="5" s="1"/>
  <c r="T684" i="5"/>
  <c r="CS684" i="5" s="1"/>
  <c r="M684" i="5"/>
  <c r="CR684" i="5" s="1"/>
  <c r="AB785" i="5"/>
  <c r="CT785" i="5" s="1"/>
  <c r="T785" i="5"/>
  <c r="CS785" i="5" s="1"/>
  <c r="M785" i="5"/>
  <c r="CR785" i="5" s="1"/>
  <c r="AB798" i="5"/>
  <c r="CT798" i="5" s="1"/>
  <c r="T798" i="5"/>
  <c r="CS798" i="5" s="1"/>
  <c r="M798" i="5"/>
  <c r="CR798" i="5" s="1"/>
  <c r="AB788" i="5"/>
  <c r="CT788" i="5" s="1"/>
  <c r="T788" i="5"/>
  <c r="CS788" i="5" s="1"/>
  <c r="M788" i="5"/>
  <c r="CR788" i="5" s="1"/>
  <c r="AB741" i="5"/>
  <c r="CT741" i="5" s="1"/>
  <c r="T741" i="5"/>
  <c r="CS741" i="5" s="1"/>
  <c r="M741" i="5"/>
  <c r="CR741" i="5" s="1"/>
  <c r="AB765" i="5"/>
  <c r="CT765" i="5" s="1"/>
  <c r="T765" i="5"/>
  <c r="CS765" i="5" s="1"/>
  <c r="M765" i="5"/>
  <c r="CR765" i="5" s="1"/>
  <c r="AB840" i="5"/>
  <c r="CT840" i="5" s="1"/>
  <c r="T840" i="5"/>
  <c r="CS840" i="5" s="1"/>
  <c r="M840" i="5"/>
  <c r="CR840" i="5" s="1"/>
  <c r="AB754" i="5"/>
  <c r="CT754" i="5" s="1"/>
  <c r="T754" i="5"/>
  <c r="CS754" i="5" s="1"/>
  <c r="M754" i="5"/>
  <c r="CR754" i="5" s="1"/>
  <c r="AB778" i="5"/>
  <c r="CT778" i="5" s="1"/>
  <c r="T778" i="5"/>
  <c r="CS778" i="5" s="1"/>
  <c r="M778" i="5"/>
  <c r="CR778" i="5" s="1"/>
  <c r="AB697" i="5"/>
  <c r="CT697" i="5" s="1"/>
  <c r="T697" i="5"/>
  <c r="CS697" i="5" s="1"/>
  <c r="M697" i="5"/>
  <c r="CR697" i="5" s="1"/>
  <c r="AB757" i="5"/>
  <c r="CT757" i="5" s="1"/>
  <c r="T757" i="5"/>
  <c r="CS757" i="5" s="1"/>
  <c r="M757" i="5"/>
  <c r="CR757" i="5" s="1"/>
  <c r="AB755" i="5"/>
  <c r="CT755" i="5" s="1"/>
  <c r="T755" i="5"/>
  <c r="CS755" i="5" s="1"/>
  <c r="M755" i="5"/>
  <c r="CR755" i="5" s="1"/>
  <c r="AB753" i="5"/>
  <c r="CT753" i="5" s="1"/>
  <c r="T753" i="5"/>
  <c r="CS753" i="5" s="1"/>
  <c r="M753" i="5"/>
  <c r="CR753" i="5" s="1"/>
  <c r="AB679" i="5"/>
  <c r="CT679" i="5" s="1"/>
  <c r="T679" i="5"/>
  <c r="CS679" i="5" s="1"/>
  <c r="M679" i="5"/>
  <c r="CR679" i="5" s="1"/>
  <c r="AB789" i="5"/>
  <c r="CT789" i="5" s="1"/>
  <c r="T789" i="5"/>
  <c r="CS789" i="5" s="1"/>
  <c r="M789" i="5"/>
  <c r="CR789" i="5" s="1"/>
  <c r="AB794" i="5"/>
  <c r="CT794" i="5" s="1"/>
  <c r="T794" i="5"/>
  <c r="CS794" i="5" s="1"/>
  <c r="M794" i="5"/>
  <c r="CR794" i="5" s="1"/>
  <c r="AB744" i="5"/>
  <c r="CT744" i="5" s="1"/>
  <c r="T744" i="5"/>
  <c r="CS744" i="5" s="1"/>
  <c r="M744" i="5"/>
  <c r="CR744" i="5" s="1"/>
  <c r="AB751" i="5"/>
  <c r="CT751" i="5" s="1"/>
  <c r="T751" i="5"/>
  <c r="CS751" i="5" s="1"/>
  <c r="M751" i="5"/>
  <c r="CR751" i="5" s="1"/>
  <c r="AB750" i="5"/>
  <c r="CT750" i="5" s="1"/>
  <c r="T750" i="5"/>
  <c r="CS750" i="5" s="1"/>
  <c r="M750" i="5"/>
  <c r="CR750" i="5" s="1"/>
  <c r="AB675" i="5"/>
  <c r="CT675" i="5" s="1"/>
  <c r="T675" i="5"/>
  <c r="CS675" i="5" s="1"/>
  <c r="M675" i="5"/>
  <c r="CR675" i="5" s="1"/>
  <c r="AB748" i="5"/>
  <c r="CT748" i="5" s="1"/>
  <c r="T748" i="5"/>
  <c r="CS748" i="5" s="1"/>
  <c r="M748" i="5"/>
  <c r="CR748" i="5" s="1"/>
  <c r="AB805" i="5"/>
  <c r="CT805" i="5" s="1"/>
  <c r="T805" i="5"/>
  <c r="CS805" i="5" s="1"/>
  <c r="M805" i="5"/>
  <c r="CR805" i="5" s="1"/>
  <c r="AB747" i="5"/>
  <c r="CT747" i="5" s="1"/>
  <c r="T747" i="5"/>
  <c r="CS747" i="5" s="1"/>
  <c r="M747" i="5"/>
  <c r="CR747" i="5" s="1"/>
  <c r="AB972" i="5"/>
  <c r="CT972" i="5" s="1"/>
  <c r="T972" i="5"/>
  <c r="CS972" i="5" s="1"/>
  <c r="M972" i="5"/>
  <c r="CR972" i="5" s="1"/>
  <c r="AB743" i="5"/>
  <c r="CT743" i="5" s="1"/>
  <c r="T743" i="5"/>
  <c r="CS743" i="5" s="1"/>
  <c r="M743" i="5"/>
  <c r="CR743" i="5" s="1"/>
  <c r="AB742" i="5"/>
  <c r="CT742" i="5" s="1"/>
  <c r="T742" i="5"/>
  <c r="CS742" i="5" s="1"/>
  <c r="M742" i="5"/>
  <c r="CR742" i="5" s="1"/>
  <c r="AB739" i="5"/>
  <c r="CT739" i="5" s="1"/>
  <c r="T739" i="5"/>
  <c r="CS739" i="5" s="1"/>
  <c r="M739" i="5"/>
  <c r="CR739" i="5" s="1"/>
  <c r="AB738" i="5"/>
  <c r="CT738" i="5" s="1"/>
  <c r="T738" i="5"/>
  <c r="CS738" i="5" s="1"/>
  <c r="M738" i="5"/>
  <c r="CR738" i="5" s="1"/>
  <c r="AB725" i="5"/>
  <c r="CT725" i="5" s="1"/>
  <c r="T725" i="5"/>
  <c r="CS725" i="5" s="1"/>
  <c r="M725" i="5"/>
  <c r="CR725" i="5" s="1"/>
  <c r="AB782" i="5"/>
  <c r="CT782" i="5" s="1"/>
  <c r="T782" i="5"/>
  <c r="CS782" i="5" s="1"/>
  <c r="M782" i="5"/>
  <c r="CR782" i="5" s="1"/>
  <c r="AB734" i="5"/>
  <c r="CT734" i="5" s="1"/>
  <c r="T734" i="5"/>
  <c r="CS734" i="5" s="1"/>
  <c r="M734" i="5"/>
  <c r="CR734" i="5" s="1"/>
  <c r="AB729" i="5"/>
  <c r="CT729" i="5" s="1"/>
  <c r="T729" i="5"/>
  <c r="CS729" i="5" s="1"/>
  <c r="M729" i="5"/>
  <c r="CR729" i="5" s="1"/>
  <c r="AB676" i="5"/>
  <c r="CT676" i="5" s="1"/>
  <c r="T676" i="5"/>
  <c r="CS676" i="5" s="1"/>
  <c r="M676" i="5"/>
  <c r="CR676" i="5" s="1"/>
  <c r="AB877" i="5"/>
  <c r="CT877" i="5" s="1"/>
  <c r="T877" i="5"/>
  <c r="CS877" i="5" s="1"/>
  <c r="M877" i="5"/>
  <c r="CR877" i="5" s="1"/>
  <c r="AB745" i="5"/>
  <c r="CT745" i="5" s="1"/>
  <c r="T745" i="5"/>
  <c r="CS745" i="5" s="1"/>
  <c r="M745" i="5"/>
  <c r="CR745" i="5" s="1"/>
  <c r="AB1008" i="5"/>
  <c r="CT1008" i="5" s="1"/>
  <c r="T1008" i="5"/>
  <c r="CS1008" i="5" s="1"/>
  <c r="M1008" i="5"/>
  <c r="CR1008" i="5" s="1"/>
  <c r="AB719" i="5"/>
  <c r="CT719" i="5" s="1"/>
  <c r="T719" i="5"/>
  <c r="CS719" i="5" s="1"/>
  <c r="M719" i="5"/>
  <c r="CR719" i="5" s="1"/>
  <c r="AB740" i="5"/>
  <c r="CT740" i="5" s="1"/>
  <c r="T740" i="5"/>
  <c r="CS740" i="5" s="1"/>
  <c r="M740" i="5"/>
  <c r="CR740" i="5" s="1"/>
  <c r="AB735" i="5"/>
  <c r="CT735" i="5" s="1"/>
  <c r="T735" i="5"/>
  <c r="CS735" i="5" s="1"/>
  <c r="M735" i="5"/>
  <c r="CR735" i="5" s="1"/>
  <c r="AB731" i="5"/>
  <c r="CT731" i="5" s="1"/>
  <c r="T731" i="5"/>
  <c r="CS731" i="5" s="1"/>
  <c r="M731" i="5"/>
  <c r="CR731" i="5" s="1"/>
  <c r="AB717" i="5"/>
  <c r="CT717" i="5" s="1"/>
  <c r="T717" i="5"/>
  <c r="CS717" i="5" s="1"/>
  <c r="M717" i="5"/>
  <c r="CR717" i="5" s="1"/>
  <c r="AB716" i="5"/>
  <c r="CT716" i="5" s="1"/>
  <c r="T716" i="5"/>
  <c r="CS716" i="5" s="1"/>
  <c r="M716" i="5"/>
  <c r="CR716" i="5" s="1"/>
  <c r="AB724" i="5"/>
  <c r="CT724" i="5" s="1"/>
  <c r="T724" i="5"/>
  <c r="CS724" i="5" s="1"/>
  <c r="M724" i="5"/>
  <c r="CR724" i="5" s="1"/>
  <c r="AB746" i="5"/>
  <c r="CT746" i="5" s="1"/>
  <c r="T746" i="5"/>
  <c r="CS746" i="5" s="1"/>
  <c r="M746" i="5"/>
  <c r="CR746" i="5" s="1"/>
  <c r="AB723" i="5"/>
  <c r="CT723" i="5" s="1"/>
  <c r="T723" i="5"/>
  <c r="CS723" i="5" s="1"/>
  <c r="M723" i="5"/>
  <c r="CR723" i="5" s="1"/>
  <c r="AB726" i="5"/>
  <c r="CT726" i="5" s="1"/>
  <c r="T726" i="5"/>
  <c r="CS726" i="5" s="1"/>
  <c r="M726" i="5"/>
  <c r="CR726" i="5" s="1"/>
  <c r="AB711" i="5"/>
  <c r="CT711" i="5" s="1"/>
  <c r="T711" i="5"/>
  <c r="CS711" i="5" s="1"/>
  <c r="M711" i="5"/>
  <c r="CR711" i="5" s="1"/>
  <c r="AB646" i="5"/>
  <c r="CT646" i="5" s="1"/>
  <c r="T646" i="5"/>
  <c r="CS646" i="5" s="1"/>
  <c r="M646" i="5"/>
  <c r="CR646" i="5" s="1"/>
  <c r="AB707" i="5"/>
  <c r="CT707" i="5" s="1"/>
  <c r="T707" i="5"/>
  <c r="CS707" i="5" s="1"/>
  <c r="M707" i="5"/>
  <c r="CR707" i="5" s="1"/>
  <c r="AB706" i="5"/>
  <c r="CT706" i="5" s="1"/>
  <c r="T706" i="5"/>
  <c r="CS706" i="5" s="1"/>
  <c r="M706" i="5"/>
  <c r="CR706" i="5" s="1"/>
  <c r="AB796" i="5"/>
  <c r="CT796" i="5" s="1"/>
  <c r="T796" i="5"/>
  <c r="CS796" i="5" s="1"/>
  <c r="M796" i="5"/>
  <c r="CR796" i="5" s="1"/>
  <c r="AB893" i="5"/>
  <c r="CT893" i="5" s="1"/>
  <c r="T893" i="5"/>
  <c r="CS893" i="5" s="1"/>
  <c r="M893" i="5"/>
  <c r="CR893" i="5" s="1"/>
  <c r="AB758" i="5"/>
  <c r="CT758" i="5" s="1"/>
  <c r="T758" i="5"/>
  <c r="CS758" i="5" s="1"/>
  <c r="M758" i="5"/>
  <c r="CR758" i="5" s="1"/>
  <c r="AB722" i="5"/>
  <c r="CT722" i="5" s="1"/>
  <c r="T722" i="5"/>
  <c r="CS722" i="5" s="1"/>
  <c r="M722" i="5"/>
  <c r="CR722" i="5" s="1"/>
  <c r="AB727" i="5"/>
  <c r="CT727" i="5" s="1"/>
  <c r="T727" i="5"/>
  <c r="CS727" i="5" s="1"/>
  <c r="M727" i="5"/>
  <c r="CR727" i="5" s="1"/>
  <c r="AB700" i="5"/>
  <c r="CT700" i="5" s="1"/>
  <c r="T700" i="5"/>
  <c r="CS700" i="5" s="1"/>
  <c r="M700" i="5"/>
  <c r="CR700" i="5" s="1"/>
  <c r="AB1072" i="5"/>
  <c r="CT1072" i="5" s="1"/>
  <c r="T1072" i="5"/>
  <c r="CS1072" i="5" s="1"/>
  <c r="M1072" i="5"/>
  <c r="CR1072" i="5" s="1"/>
  <c r="AB841" i="5"/>
  <c r="CT841" i="5" s="1"/>
  <c r="T841" i="5"/>
  <c r="CS841" i="5" s="1"/>
  <c r="M841" i="5"/>
  <c r="CR841" i="5" s="1"/>
  <c r="AB801" i="5"/>
  <c r="CT801" i="5" s="1"/>
  <c r="T801" i="5"/>
  <c r="CS801" i="5" s="1"/>
  <c r="M801" i="5"/>
  <c r="CR801" i="5" s="1"/>
  <c r="AB843" i="5"/>
  <c r="CT843" i="5" s="1"/>
  <c r="T843" i="5"/>
  <c r="CS843" i="5" s="1"/>
  <c r="M843" i="5"/>
  <c r="CR843" i="5" s="1"/>
  <c r="AB712" i="5"/>
  <c r="CT712" i="5" s="1"/>
  <c r="T712" i="5"/>
  <c r="CS712" i="5" s="1"/>
  <c r="M712" i="5"/>
  <c r="CR712" i="5" s="1"/>
  <c r="AB715" i="5"/>
  <c r="CT715" i="5" s="1"/>
  <c r="T715" i="5"/>
  <c r="CS715" i="5" s="1"/>
  <c r="M715" i="5"/>
  <c r="CR715" i="5" s="1"/>
  <c r="AB720" i="5"/>
  <c r="CT720" i="5" s="1"/>
  <c r="T720" i="5"/>
  <c r="CS720" i="5" s="1"/>
  <c r="M720" i="5"/>
  <c r="CR720" i="5" s="1"/>
  <c r="AB693" i="5"/>
  <c r="CT693" i="5" s="1"/>
  <c r="T693" i="5"/>
  <c r="CS693" i="5" s="1"/>
  <c r="M693" i="5"/>
  <c r="CR693" i="5" s="1"/>
  <c r="AB690" i="5"/>
  <c r="CT690" i="5" s="1"/>
  <c r="T690" i="5"/>
  <c r="CS690" i="5" s="1"/>
  <c r="M690" i="5"/>
  <c r="CR690" i="5" s="1"/>
  <c r="AB689" i="5"/>
  <c r="CT689" i="5" s="1"/>
  <c r="T689" i="5"/>
  <c r="CS689" i="5" s="1"/>
  <c r="M689" i="5"/>
  <c r="CR689" i="5" s="1"/>
  <c r="AB845" i="5"/>
  <c r="CT845" i="5" s="1"/>
  <c r="T845" i="5"/>
  <c r="CS845" i="5" s="1"/>
  <c r="M845" i="5"/>
  <c r="CR845" i="5" s="1"/>
  <c r="AB586" i="5"/>
  <c r="CT586" i="5" s="1"/>
  <c r="T586" i="5"/>
  <c r="CS586" i="5" s="1"/>
  <c r="M586" i="5"/>
  <c r="CR586" i="5" s="1"/>
  <c r="AB652" i="5"/>
  <c r="CT652" i="5" s="1"/>
  <c r="T652" i="5"/>
  <c r="CS652" i="5" s="1"/>
  <c r="M652" i="5"/>
  <c r="CR652" i="5" s="1"/>
  <c r="AB683" i="5"/>
  <c r="CT683" i="5" s="1"/>
  <c r="T683" i="5"/>
  <c r="CS683" i="5" s="1"/>
  <c r="M683" i="5"/>
  <c r="CR683" i="5" s="1"/>
  <c r="AB534" i="5"/>
  <c r="CT534" i="5" s="1"/>
  <c r="T534" i="5"/>
  <c r="CS534" i="5" s="1"/>
  <c r="M534" i="5"/>
  <c r="CR534" i="5" s="1"/>
  <c r="AB713" i="5"/>
  <c r="CT713" i="5" s="1"/>
  <c r="T713" i="5"/>
  <c r="CS713" i="5" s="1"/>
  <c r="M713" i="5"/>
  <c r="CR713" i="5" s="1"/>
  <c r="AB682" i="5"/>
  <c r="CT682" i="5" s="1"/>
  <c r="T682" i="5"/>
  <c r="CS682" i="5" s="1"/>
  <c r="M682" i="5"/>
  <c r="CR682" i="5" s="1"/>
  <c r="AB664" i="5"/>
  <c r="CT664" i="5" s="1"/>
  <c r="T664" i="5"/>
  <c r="CS664" i="5" s="1"/>
  <c r="M664" i="5"/>
  <c r="CR664" i="5" s="1"/>
  <c r="AB681" i="5"/>
  <c r="CT681" i="5" s="1"/>
  <c r="T681" i="5"/>
  <c r="CS681" i="5" s="1"/>
  <c r="M681" i="5"/>
  <c r="CR681" i="5" s="1"/>
  <c r="AB680" i="5"/>
  <c r="CT680" i="5" s="1"/>
  <c r="T680" i="5"/>
  <c r="CS680" i="5" s="1"/>
  <c r="M680" i="5"/>
  <c r="CR680" i="5" s="1"/>
  <c r="AB704" i="5"/>
  <c r="CT704" i="5" s="1"/>
  <c r="T704" i="5"/>
  <c r="CS704" i="5" s="1"/>
  <c r="M704" i="5"/>
  <c r="CR704" i="5" s="1"/>
  <c r="AB678" i="5"/>
  <c r="CT678" i="5" s="1"/>
  <c r="T678" i="5"/>
  <c r="CS678" i="5" s="1"/>
  <c r="M678" i="5"/>
  <c r="CR678" i="5" s="1"/>
  <c r="AB1001" i="5"/>
  <c r="CT1001" i="5" s="1"/>
  <c r="T1001" i="5"/>
  <c r="CS1001" i="5" s="1"/>
  <c r="M1001" i="5"/>
  <c r="CR1001" i="5" s="1"/>
  <c r="AB803" i="5"/>
  <c r="CT803" i="5" s="1"/>
  <c r="T803" i="5"/>
  <c r="CS803" i="5" s="1"/>
  <c r="M803" i="5"/>
  <c r="CR803" i="5" s="1"/>
  <c r="AB674" i="5"/>
  <c r="CT674" i="5" s="1"/>
  <c r="T674" i="5"/>
  <c r="CS674" i="5" s="1"/>
  <c r="M674" i="5"/>
  <c r="CR674" i="5" s="1"/>
  <c r="AB627" i="5"/>
  <c r="CT627" i="5" s="1"/>
  <c r="T627" i="5"/>
  <c r="CS627" i="5" s="1"/>
  <c r="M627" i="5"/>
  <c r="CR627" i="5" s="1"/>
  <c r="AB728" i="5"/>
  <c r="CT728" i="5" s="1"/>
  <c r="T728" i="5"/>
  <c r="CS728" i="5" s="1"/>
  <c r="M728" i="5"/>
  <c r="CR728" i="5" s="1"/>
  <c r="AB671" i="5"/>
  <c r="CT671" i="5" s="1"/>
  <c r="T671" i="5"/>
  <c r="CS671" i="5" s="1"/>
  <c r="M671" i="5"/>
  <c r="CR671" i="5" s="1"/>
  <c r="AB698" i="5"/>
  <c r="CT698" i="5" s="1"/>
  <c r="T698" i="5"/>
  <c r="CS698" i="5" s="1"/>
  <c r="M698" i="5"/>
  <c r="CR698" i="5" s="1"/>
  <c r="AB669" i="5"/>
  <c r="CT669" i="5" s="1"/>
  <c r="T669" i="5"/>
  <c r="CS669" i="5" s="1"/>
  <c r="M669" i="5"/>
  <c r="CR669" i="5" s="1"/>
  <c r="AB702" i="5"/>
  <c r="CT702" i="5" s="1"/>
  <c r="T702" i="5"/>
  <c r="CS702" i="5" s="1"/>
  <c r="M702" i="5"/>
  <c r="CR702" i="5" s="1"/>
  <c r="AB658" i="5"/>
  <c r="CT658" i="5" s="1"/>
  <c r="T658" i="5"/>
  <c r="CS658" i="5" s="1"/>
  <c r="M658" i="5"/>
  <c r="CR658" i="5" s="1"/>
  <c r="AB666" i="5"/>
  <c r="CT666" i="5" s="1"/>
  <c r="T666" i="5"/>
  <c r="CS666" i="5" s="1"/>
  <c r="M666" i="5"/>
  <c r="CR666" i="5" s="1"/>
  <c r="AB694" i="5"/>
  <c r="CT694" i="5" s="1"/>
  <c r="T694" i="5"/>
  <c r="CS694" i="5" s="1"/>
  <c r="M694" i="5"/>
  <c r="CR694" i="5" s="1"/>
  <c r="AB696" i="5"/>
  <c r="CT696" i="5" s="1"/>
  <c r="T696" i="5"/>
  <c r="CS696" i="5" s="1"/>
  <c r="M696" i="5"/>
  <c r="CR696" i="5" s="1"/>
  <c r="AB584" i="5"/>
  <c r="CT584" i="5" s="1"/>
  <c r="T584" i="5"/>
  <c r="CS584" i="5" s="1"/>
  <c r="M584" i="5"/>
  <c r="CR584" i="5" s="1"/>
  <c r="AB587" i="5"/>
  <c r="CT587" i="5" s="1"/>
  <c r="T587" i="5"/>
  <c r="CS587" i="5" s="1"/>
  <c r="M587" i="5"/>
  <c r="CR587" i="5" s="1"/>
  <c r="AB661" i="5"/>
  <c r="CT661" i="5" s="1"/>
  <c r="T661" i="5"/>
  <c r="CS661" i="5" s="1"/>
  <c r="M661" i="5"/>
  <c r="CR661" i="5" s="1"/>
  <c r="AB705" i="5"/>
  <c r="CT705" i="5" s="1"/>
  <c r="T705" i="5"/>
  <c r="CS705" i="5" s="1"/>
  <c r="M705" i="5"/>
  <c r="CR705" i="5" s="1"/>
  <c r="AB649" i="5"/>
  <c r="CT649" i="5" s="1"/>
  <c r="T649" i="5"/>
  <c r="CS649" i="5" s="1"/>
  <c r="M649" i="5"/>
  <c r="CR649" i="5" s="1"/>
  <c r="AB654" i="5"/>
  <c r="CT654" i="5" s="1"/>
  <c r="T654" i="5"/>
  <c r="CS654" i="5" s="1"/>
  <c r="M654" i="5"/>
  <c r="CR654" i="5" s="1"/>
  <c r="AB656" i="5"/>
  <c r="CT656" i="5" s="1"/>
  <c r="T656" i="5"/>
  <c r="CS656" i="5" s="1"/>
  <c r="M656" i="5"/>
  <c r="CR656" i="5" s="1"/>
  <c r="AB655" i="5"/>
  <c r="CT655" i="5" s="1"/>
  <c r="T655" i="5"/>
  <c r="CS655" i="5" s="1"/>
  <c r="M655" i="5"/>
  <c r="CR655" i="5" s="1"/>
  <c r="AB611" i="5"/>
  <c r="CT611" i="5" s="1"/>
  <c r="T611" i="5"/>
  <c r="CS611" i="5" s="1"/>
  <c r="M611" i="5"/>
  <c r="CR611" i="5" s="1"/>
  <c r="AB718" i="5"/>
  <c r="CT718" i="5" s="1"/>
  <c r="T718" i="5"/>
  <c r="CS718" i="5" s="1"/>
  <c r="M718" i="5"/>
  <c r="CR718" i="5" s="1"/>
  <c r="AB648" i="5"/>
  <c r="CT648" i="5" s="1"/>
  <c r="T648" i="5"/>
  <c r="CS648" i="5" s="1"/>
  <c r="M648" i="5"/>
  <c r="CR648" i="5" s="1"/>
  <c r="AB670" i="5"/>
  <c r="CT670" i="5" s="1"/>
  <c r="T670" i="5"/>
  <c r="CS670" i="5" s="1"/>
  <c r="M670" i="5"/>
  <c r="CR670" i="5" s="1"/>
  <c r="AB691" i="5"/>
  <c r="CT691" i="5" s="1"/>
  <c r="T691" i="5"/>
  <c r="CS691" i="5" s="1"/>
  <c r="M691" i="5"/>
  <c r="CR691" i="5" s="1"/>
  <c r="AB647" i="5"/>
  <c r="CT647" i="5" s="1"/>
  <c r="T647" i="5"/>
  <c r="CS647" i="5" s="1"/>
  <c r="M647" i="5"/>
  <c r="CR647" i="5" s="1"/>
  <c r="AB645" i="5"/>
  <c r="CT645" i="5" s="1"/>
  <c r="T645" i="5"/>
  <c r="CS645" i="5" s="1"/>
  <c r="M645" i="5"/>
  <c r="CR645" i="5" s="1"/>
  <c r="AB644" i="5"/>
  <c r="CT644" i="5" s="1"/>
  <c r="T644" i="5"/>
  <c r="CS644" i="5" s="1"/>
  <c r="M644" i="5"/>
  <c r="CR644" i="5" s="1"/>
  <c r="AB643" i="5"/>
  <c r="CT643" i="5" s="1"/>
  <c r="T643" i="5"/>
  <c r="CS643" i="5" s="1"/>
  <c r="M643" i="5"/>
  <c r="CR643" i="5" s="1"/>
  <c r="AB640" i="5"/>
  <c r="CT640" i="5" s="1"/>
  <c r="T640" i="5"/>
  <c r="CS640" i="5" s="1"/>
  <c r="M640" i="5"/>
  <c r="CR640" i="5" s="1"/>
  <c r="AB641" i="5"/>
  <c r="CT641" i="5" s="1"/>
  <c r="T641" i="5"/>
  <c r="CS641" i="5" s="1"/>
  <c r="M641" i="5"/>
  <c r="CR641" i="5" s="1"/>
  <c r="AB639" i="5"/>
  <c r="CT639" i="5" s="1"/>
  <c r="T639" i="5"/>
  <c r="CS639" i="5" s="1"/>
  <c r="M639" i="5"/>
  <c r="CR639" i="5" s="1"/>
  <c r="AB686" i="5"/>
  <c r="CT686" i="5" s="1"/>
  <c r="T686" i="5"/>
  <c r="CS686" i="5" s="1"/>
  <c r="M686" i="5"/>
  <c r="CR686" i="5" s="1"/>
  <c r="AB621" i="5"/>
  <c r="CT621" i="5" s="1"/>
  <c r="T621" i="5"/>
  <c r="CS621" i="5" s="1"/>
  <c r="M621" i="5"/>
  <c r="CR621" i="5" s="1"/>
  <c r="AB650" i="5"/>
  <c r="CT650" i="5" s="1"/>
  <c r="T650" i="5"/>
  <c r="CS650" i="5" s="1"/>
  <c r="M650" i="5"/>
  <c r="CR650" i="5" s="1"/>
  <c r="AB637" i="5"/>
  <c r="CT637" i="5" s="1"/>
  <c r="T637" i="5"/>
  <c r="CS637" i="5" s="1"/>
  <c r="M637" i="5"/>
  <c r="CR637" i="5" s="1"/>
  <c r="AB636" i="5"/>
  <c r="CT636" i="5" s="1"/>
  <c r="T636" i="5"/>
  <c r="CS636" i="5" s="1"/>
  <c r="M636" i="5"/>
  <c r="CR636" i="5" s="1"/>
  <c r="AB668" i="5"/>
  <c r="CT668" i="5" s="1"/>
  <c r="T668" i="5"/>
  <c r="CS668" i="5" s="1"/>
  <c r="M668" i="5"/>
  <c r="CR668" i="5" s="1"/>
  <c r="AB659" i="5"/>
  <c r="CT659" i="5" s="1"/>
  <c r="T659" i="5"/>
  <c r="CS659" i="5" s="1"/>
  <c r="M659" i="5"/>
  <c r="CR659" i="5" s="1"/>
  <c r="AB600" i="5"/>
  <c r="CT600" i="5" s="1"/>
  <c r="T600" i="5"/>
  <c r="CS600" i="5" s="1"/>
  <c r="M600" i="5"/>
  <c r="CR600" i="5" s="1"/>
  <c r="AB632" i="5"/>
  <c r="CT632" i="5" s="1"/>
  <c r="T632" i="5"/>
  <c r="CS632" i="5" s="1"/>
  <c r="M632" i="5"/>
  <c r="CR632" i="5" s="1"/>
  <c r="AB618" i="5"/>
  <c r="CT618" i="5" s="1"/>
  <c r="T618" i="5"/>
  <c r="CS618" i="5" s="1"/>
  <c r="M618" i="5"/>
  <c r="CR618" i="5" s="1"/>
  <c r="AB630" i="5"/>
  <c r="CT630" i="5" s="1"/>
  <c r="T630" i="5"/>
  <c r="CS630" i="5" s="1"/>
  <c r="M630" i="5"/>
  <c r="CR630" i="5" s="1"/>
  <c r="AB626" i="5"/>
  <c r="CT626" i="5" s="1"/>
  <c r="T626" i="5"/>
  <c r="CS626" i="5" s="1"/>
  <c r="M626" i="5"/>
  <c r="CR626" i="5" s="1"/>
  <c r="AB625" i="5"/>
  <c r="CT625" i="5" s="1"/>
  <c r="T625" i="5"/>
  <c r="CS625" i="5" s="1"/>
  <c r="M625" i="5"/>
  <c r="CR625" i="5" s="1"/>
  <c r="AB622" i="5"/>
  <c r="CT622" i="5" s="1"/>
  <c r="T622" i="5"/>
  <c r="CS622" i="5" s="1"/>
  <c r="M622" i="5"/>
  <c r="CR622" i="5" s="1"/>
  <c r="AB620" i="5"/>
  <c r="CT620" i="5" s="1"/>
  <c r="T620" i="5"/>
  <c r="CS620" i="5" s="1"/>
  <c r="M620" i="5"/>
  <c r="CR620" i="5" s="1"/>
  <c r="AB673" i="5"/>
  <c r="CT673" i="5" s="1"/>
  <c r="T673" i="5"/>
  <c r="CS673" i="5" s="1"/>
  <c r="M673" i="5"/>
  <c r="CR673" i="5" s="1"/>
  <c r="AB504" i="5"/>
  <c r="CT504" i="5" s="1"/>
  <c r="T504" i="5"/>
  <c r="CS504" i="5" s="1"/>
  <c r="M504" i="5"/>
  <c r="CR504" i="5" s="1"/>
  <c r="AB651" i="5"/>
  <c r="CT651" i="5" s="1"/>
  <c r="T651" i="5"/>
  <c r="CS651" i="5" s="1"/>
  <c r="M651" i="5"/>
  <c r="CR651" i="5" s="1"/>
  <c r="AB709" i="5"/>
  <c r="CT709" i="5" s="1"/>
  <c r="T709" i="5"/>
  <c r="CS709" i="5" s="1"/>
  <c r="M709" i="5"/>
  <c r="CR709" i="5" s="1"/>
  <c r="AB615" i="5"/>
  <c r="CT615" i="5" s="1"/>
  <c r="T615" i="5"/>
  <c r="CS615" i="5" s="1"/>
  <c r="M615" i="5"/>
  <c r="CR615" i="5" s="1"/>
  <c r="AB616" i="5"/>
  <c r="CT616" i="5" s="1"/>
  <c r="T616" i="5"/>
  <c r="CS616" i="5" s="1"/>
  <c r="M616" i="5"/>
  <c r="CR616" i="5" s="1"/>
  <c r="AB556" i="5"/>
  <c r="CT556" i="5" s="1"/>
  <c r="T556" i="5"/>
  <c r="CS556" i="5" s="1"/>
  <c r="M556" i="5"/>
  <c r="CR556" i="5" s="1"/>
  <c r="AB617" i="5"/>
  <c r="CT617" i="5" s="1"/>
  <c r="T617" i="5"/>
  <c r="CS617" i="5" s="1"/>
  <c r="M617" i="5"/>
  <c r="CR617" i="5" s="1"/>
  <c r="AB721" i="5"/>
  <c r="CT721" i="5" s="1"/>
  <c r="T721" i="5"/>
  <c r="CS721" i="5" s="1"/>
  <c r="M721" i="5"/>
  <c r="CR721" i="5" s="1"/>
  <c r="AB614" i="5"/>
  <c r="CT614" i="5" s="1"/>
  <c r="T614" i="5"/>
  <c r="CS614" i="5" s="1"/>
  <c r="M614" i="5"/>
  <c r="CR614" i="5" s="1"/>
  <c r="AB663" i="5"/>
  <c r="CT663" i="5" s="1"/>
  <c r="T663" i="5"/>
  <c r="CS663" i="5" s="1"/>
  <c r="M663" i="5"/>
  <c r="CR663" i="5" s="1"/>
  <c r="AB612" i="5"/>
  <c r="CT612" i="5" s="1"/>
  <c r="T612" i="5"/>
  <c r="CS612" i="5" s="1"/>
  <c r="M612" i="5"/>
  <c r="CR612" i="5" s="1"/>
  <c r="AB609" i="5"/>
  <c r="CT609" i="5" s="1"/>
  <c r="T609" i="5"/>
  <c r="CS609" i="5" s="1"/>
  <c r="M609" i="5"/>
  <c r="CR609" i="5" s="1"/>
  <c r="AB396" i="5"/>
  <c r="CT396" i="5" s="1"/>
  <c r="T396" i="5"/>
  <c r="CS396" i="5" s="1"/>
  <c r="M396" i="5"/>
  <c r="CR396" i="5" s="1"/>
  <c r="AB608" i="5"/>
  <c r="CT608" i="5" s="1"/>
  <c r="T608" i="5"/>
  <c r="CS608" i="5" s="1"/>
  <c r="M608" i="5"/>
  <c r="CR608" i="5" s="1"/>
  <c r="AB607" i="5"/>
  <c r="CT607" i="5" s="1"/>
  <c r="T607" i="5"/>
  <c r="CS607" i="5" s="1"/>
  <c r="M607" i="5"/>
  <c r="CR607" i="5" s="1"/>
  <c r="AB606" i="5"/>
  <c r="CT606" i="5" s="1"/>
  <c r="T606" i="5"/>
  <c r="CS606" i="5" s="1"/>
  <c r="M606" i="5"/>
  <c r="CR606" i="5" s="1"/>
  <c r="AB634" i="5"/>
  <c r="CT634" i="5" s="1"/>
  <c r="T634" i="5"/>
  <c r="CS634" i="5" s="1"/>
  <c r="M634" i="5"/>
  <c r="CR634" i="5" s="1"/>
  <c r="AB579" i="5"/>
  <c r="CT579" i="5" s="1"/>
  <c r="T579" i="5"/>
  <c r="CS579" i="5" s="1"/>
  <c r="M579" i="5"/>
  <c r="CR579" i="5" s="1"/>
  <c r="AB598" i="5"/>
  <c r="CT598" i="5" s="1"/>
  <c r="T598" i="5"/>
  <c r="CS598" i="5" s="1"/>
  <c r="M598" i="5"/>
  <c r="CR598" i="5" s="1"/>
  <c r="AB638" i="5"/>
  <c r="CT638" i="5" s="1"/>
  <c r="T638" i="5"/>
  <c r="CS638" i="5" s="1"/>
  <c r="M638" i="5"/>
  <c r="CR638" i="5" s="1"/>
  <c r="AB597" i="5"/>
  <c r="CT597" i="5" s="1"/>
  <c r="T597" i="5"/>
  <c r="CS597" i="5" s="1"/>
  <c r="M597" i="5"/>
  <c r="CR597" i="5" s="1"/>
  <c r="AB633" i="5"/>
  <c r="CT633" i="5" s="1"/>
  <c r="T633" i="5"/>
  <c r="CS633" i="5" s="1"/>
  <c r="M633" i="5"/>
  <c r="CR633" i="5" s="1"/>
  <c r="AB570" i="5"/>
  <c r="CT570" i="5" s="1"/>
  <c r="T570" i="5"/>
  <c r="CS570" i="5" s="1"/>
  <c r="M570" i="5"/>
  <c r="CR570" i="5" s="1"/>
  <c r="AB629" i="5"/>
  <c r="CT629" i="5" s="1"/>
  <c r="T629" i="5"/>
  <c r="CS629" i="5" s="1"/>
  <c r="M629" i="5"/>
  <c r="CR629" i="5" s="1"/>
  <c r="AB732" i="5"/>
  <c r="CT732" i="5" s="1"/>
  <c r="T732" i="5"/>
  <c r="CS732" i="5" s="1"/>
  <c r="M732" i="5"/>
  <c r="CR732" i="5" s="1"/>
  <c r="AB635" i="5"/>
  <c r="CT635" i="5" s="1"/>
  <c r="T635" i="5"/>
  <c r="CS635" i="5" s="1"/>
  <c r="M635" i="5"/>
  <c r="CR635" i="5" s="1"/>
  <c r="AB594" i="5"/>
  <c r="CT594" i="5" s="1"/>
  <c r="T594" i="5"/>
  <c r="CS594" i="5" s="1"/>
  <c r="M594" i="5"/>
  <c r="CR594" i="5" s="1"/>
  <c r="AB701" i="5"/>
  <c r="CT701" i="5" s="1"/>
  <c r="T701" i="5"/>
  <c r="CS701" i="5" s="1"/>
  <c r="M701" i="5"/>
  <c r="CR701" i="5" s="1"/>
  <c r="AB592" i="5"/>
  <c r="CT592" i="5" s="1"/>
  <c r="T592" i="5"/>
  <c r="CS592" i="5" s="1"/>
  <c r="M592" i="5"/>
  <c r="CR592" i="5" s="1"/>
  <c r="AB591" i="5"/>
  <c r="CT591" i="5" s="1"/>
  <c r="T591" i="5"/>
  <c r="CS591" i="5" s="1"/>
  <c r="M591" i="5"/>
  <c r="CR591" i="5" s="1"/>
  <c r="AB590" i="5"/>
  <c r="CT590" i="5" s="1"/>
  <c r="T590" i="5"/>
  <c r="CS590" i="5" s="1"/>
  <c r="M590" i="5"/>
  <c r="CR590" i="5" s="1"/>
  <c r="AB589" i="5"/>
  <c r="CT589" i="5" s="1"/>
  <c r="T589" i="5"/>
  <c r="CS589" i="5" s="1"/>
  <c r="M589" i="5"/>
  <c r="CR589" i="5" s="1"/>
  <c r="AB538" i="5"/>
  <c r="CT538" i="5" s="1"/>
  <c r="T538" i="5"/>
  <c r="CS538" i="5" s="1"/>
  <c r="M538" i="5"/>
  <c r="CR538" i="5" s="1"/>
  <c r="AB588" i="5"/>
  <c r="CT588" i="5" s="1"/>
  <c r="T588" i="5"/>
  <c r="CS588" i="5" s="1"/>
  <c r="M588" i="5"/>
  <c r="CR588" i="5" s="1"/>
  <c r="AB628" i="5"/>
  <c r="CT628" i="5" s="1"/>
  <c r="T628" i="5"/>
  <c r="CS628" i="5" s="1"/>
  <c r="M628" i="5"/>
  <c r="CR628" i="5" s="1"/>
  <c r="AB581" i="5"/>
  <c r="CT581" i="5" s="1"/>
  <c r="T581" i="5"/>
  <c r="CS581" i="5" s="1"/>
  <c r="M581" i="5"/>
  <c r="CR581" i="5" s="1"/>
  <c r="AB580" i="5"/>
  <c r="CT580" i="5" s="1"/>
  <c r="T580" i="5"/>
  <c r="CS580" i="5" s="1"/>
  <c r="M580" i="5"/>
  <c r="CR580" i="5" s="1"/>
  <c r="AB479" i="5"/>
  <c r="CT479" i="5" s="1"/>
  <c r="T479" i="5"/>
  <c r="CS479" i="5" s="1"/>
  <c r="M479" i="5"/>
  <c r="CR479" i="5" s="1"/>
  <c r="AB599" i="5"/>
  <c r="CT599" i="5" s="1"/>
  <c r="T599" i="5"/>
  <c r="CS599" i="5" s="1"/>
  <c r="M599" i="5"/>
  <c r="CR599" i="5" s="1"/>
  <c r="AB610" i="5"/>
  <c r="CT610" i="5" s="1"/>
  <c r="T610" i="5"/>
  <c r="CS610" i="5" s="1"/>
  <c r="M610" i="5"/>
  <c r="CR610" i="5" s="1"/>
  <c r="AB619" i="5"/>
  <c r="CT619" i="5" s="1"/>
  <c r="T619" i="5"/>
  <c r="CS619" i="5" s="1"/>
  <c r="M619" i="5"/>
  <c r="CR619" i="5" s="1"/>
  <c r="AB578" i="5"/>
  <c r="CT578" i="5" s="1"/>
  <c r="T578" i="5"/>
  <c r="CS578" i="5" s="1"/>
  <c r="M578" i="5"/>
  <c r="CR578" i="5" s="1"/>
  <c r="AB576" i="5"/>
  <c r="CT576" i="5" s="1"/>
  <c r="T576" i="5"/>
  <c r="CS576" i="5" s="1"/>
  <c r="M576" i="5"/>
  <c r="CR576" i="5" s="1"/>
  <c r="AB575" i="5"/>
  <c r="CT575" i="5" s="1"/>
  <c r="T575" i="5"/>
  <c r="CS575" i="5" s="1"/>
  <c r="M575" i="5"/>
  <c r="CR575" i="5" s="1"/>
  <c r="AB574" i="5"/>
  <c r="CT574" i="5" s="1"/>
  <c r="T574" i="5"/>
  <c r="CS574" i="5" s="1"/>
  <c r="M574" i="5"/>
  <c r="CR574" i="5" s="1"/>
  <c r="AB573" i="5"/>
  <c r="CT573" i="5" s="1"/>
  <c r="T573" i="5"/>
  <c r="CS573" i="5" s="1"/>
  <c r="M573" i="5"/>
  <c r="CR573" i="5" s="1"/>
  <c r="AB572" i="5"/>
  <c r="CT572" i="5" s="1"/>
  <c r="T572" i="5"/>
  <c r="CS572" i="5" s="1"/>
  <c r="M572" i="5"/>
  <c r="CR572" i="5" s="1"/>
  <c r="AB571" i="5"/>
  <c r="CT571" i="5" s="1"/>
  <c r="T571" i="5"/>
  <c r="CS571" i="5" s="1"/>
  <c r="M571" i="5"/>
  <c r="CR571" i="5" s="1"/>
  <c r="AB568" i="5"/>
  <c r="CT568" i="5" s="1"/>
  <c r="T568" i="5"/>
  <c r="CS568" i="5" s="1"/>
  <c r="M568" i="5"/>
  <c r="CR568" i="5" s="1"/>
  <c r="AB566" i="5"/>
  <c r="CT566" i="5" s="1"/>
  <c r="T566" i="5"/>
  <c r="CS566" i="5" s="1"/>
  <c r="M566" i="5"/>
  <c r="CR566" i="5" s="1"/>
  <c r="AB565" i="5"/>
  <c r="CT565" i="5" s="1"/>
  <c r="T565" i="5"/>
  <c r="CS565" i="5" s="1"/>
  <c r="M565" i="5"/>
  <c r="CR565" i="5" s="1"/>
  <c r="AB564" i="5"/>
  <c r="CT564" i="5" s="1"/>
  <c r="T564" i="5"/>
  <c r="CS564" i="5" s="1"/>
  <c r="M564" i="5"/>
  <c r="CR564" i="5" s="1"/>
  <c r="AB498" i="5"/>
  <c r="CT498" i="5" s="1"/>
  <c r="T498" i="5"/>
  <c r="CS498" i="5" s="1"/>
  <c r="M498" i="5"/>
  <c r="CR498" i="5" s="1"/>
  <c r="AB552" i="5"/>
  <c r="CT552" i="5" s="1"/>
  <c r="T552" i="5"/>
  <c r="CS552" i="5" s="1"/>
  <c r="M552" i="5"/>
  <c r="CR552" i="5" s="1"/>
  <c r="AB561" i="5"/>
  <c r="CT561" i="5" s="1"/>
  <c r="T561" i="5"/>
  <c r="CS561" i="5" s="1"/>
  <c r="M561" i="5"/>
  <c r="CR561" i="5" s="1"/>
  <c r="AB559" i="5"/>
  <c r="CT559" i="5" s="1"/>
  <c r="T559" i="5"/>
  <c r="CS559" i="5" s="1"/>
  <c r="M559" i="5"/>
  <c r="CR559" i="5" s="1"/>
  <c r="AB558" i="5"/>
  <c r="CT558" i="5" s="1"/>
  <c r="T558" i="5"/>
  <c r="CS558" i="5" s="1"/>
  <c r="M558" i="5"/>
  <c r="CR558" i="5" s="1"/>
  <c r="AB557" i="5"/>
  <c r="CT557" i="5" s="1"/>
  <c r="T557" i="5"/>
  <c r="CS557" i="5" s="1"/>
  <c r="M557" i="5"/>
  <c r="CR557" i="5" s="1"/>
  <c r="AB361" i="5"/>
  <c r="CT361" i="5" s="1"/>
  <c r="T361" i="5"/>
  <c r="CS361" i="5" s="1"/>
  <c r="M361" i="5"/>
  <c r="CR361" i="5" s="1"/>
  <c r="AB554" i="5"/>
  <c r="CT554" i="5" s="1"/>
  <c r="T554" i="5"/>
  <c r="CS554" i="5" s="1"/>
  <c r="M554" i="5"/>
  <c r="CR554" i="5" s="1"/>
  <c r="AB553" i="5"/>
  <c r="CT553" i="5" s="1"/>
  <c r="T553" i="5"/>
  <c r="CS553" i="5" s="1"/>
  <c r="M553" i="5"/>
  <c r="CR553" i="5" s="1"/>
  <c r="AB458" i="5"/>
  <c r="CT458" i="5" s="1"/>
  <c r="T458" i="5"/>
  <c r="CS458" i="5" s="1"/>
  <c r="M458" i="5"/>
  <c r="CR458" i="5" s="1"/>
  <c r="AB480" i="5"/>
  <c r="CT480" i="5" s="1"/>
  <c r="T480" i="5"/>
  <c r="CS480" i="5" s="1"/>
  <c r="M480" i="5"/>
  <c r="CR480" i="5" s="1"/>
  <c r="AB549" i="5"/>
  <c r="CT549" i="5" s="1"/>
  <c r="T549" i="5"/>
  <c r="CS549" i="5" s="1"/>
  <c r="M549" i="5"/>
  <c r="CR549" i="5" s="1"/>
  <c r="AB548" i="5"/>
  <c r="CT548" i="5" s="1"/>
  <c r="T548" i="5"/>
  <c r="CS548" i="5" s="1"/>
  <c r="M548" i="5"/>
  <c r="CR548" i="5" s="1"/>
  <c r="AB495" i="5"/>
  <c r="CT495" i="5" s="1"/>
  <c r="T495" i="5"/>
  <c r="CS495" i="5" s="1"/>
  <c r="M495" i="5"/>
  <c r="CR495" i="5" s="1"/>
  <c r="AB542" i="5"/>
  <c r="CT542" i="5" s="1"/>
  <c r="T542" i="5"/>
  <c r="CS542" i="5" s="1"/>
  <c r="M542" i="5"/>
  <c r="CR542" i="5" s="1"/>
  <c r="AB541" i="5"/>
  <c r="CT541" i="5" s="1"/>
  <c r="T541" i="5"/>
  <c r="CS541" i="5" s="1"/>
  <c r="M541" i="5"/>
  <c r="CR541" i="5" s="1"/>
  <c r="AB539" i="5"/>
  <c r="CT539" i="5" s="1"/>
  <c r="T539" i="5"/>
  <c r="CS539" i="5" s="1"/>
  <c r="M539" i="5"/>
  <c r="CR539" i="5" s="1"/>
  <c r="AB493" i="5"/>
  <c r="CT493" i="5" s="1"/>
  <c r="T493" i="5"/>
  <c r="CS493" i="5" s="1"/>
  <c r="M493" i="5"/>
  <c r="CR493" i="5" s="1"/>
  <c r="AB528" i="5"/>
  <c r="CT528" i="5" s="1"/>
  <c r="T528" i="5"/>
  <c r="CS528" i="5" s="1"/>
  <c r="M528" i="5"/>
  <c r="CR528" i="5" s="1"/>
  <c r="AB537" i="5"/>
  <c r="CT537" i="5" s="1"/>
  <c r="T537" i="5"/>
  <c r="CS537" i="5" s="1"/>
  <c r="M537" i="5"/>
  <c r="CR537" i="5" s="1"/>
  <c r="AB567" i="5"/>
  <c r="CT567" i="5" s="1"/>
  <c r="T567" i="5"/>
  <c r="CS567" i="5" s="1"/>
  <c r="M567" i="5"/>
  <c r="CR567" i="5" s="1"/>
  <c r="AB405" i="5"/>
  <c r="CT405" i="5" s="1"/>
  <c r="T405" i="5"/>
  <c r="CS405" i="5" s="1"/>
  <c r="M405" i="5"/>
  <c r="CR405" i="5" s="1"/>
  <c r="AB536" i="5"/>
  <c r="CT536" i="5" s="1"/>
  <c r="T536" i="5"/>
  <c r="CS536" i="5" s="1"/>
  <c r="M536" i="5"/>
  <c r="CR536" i="5" s="1"/>
  <c r="AB494" i="5"/>
  <c r="CT494" i="5" s="1"/>
  <c r="T494" i="5"/>
  <c r="CS494" i="5" s="1"/>
  <c r="M494" i="5"/>
  <c r="CR494" i="5" s="1"/>
  <c r="AB503" i="5"/>
  <c r="CT503" i="5" s="1"/>
  <c r="T503" i="5"/>
  <c r="CS503" i="5" s="1"/>
  <c r="M503" i="5"/>
  <c r="CR503" i="5" s="1"/>
  <c r="AB533" i="5"/>
  <c r="CT533" i="5" s="1"/>
  <c r="T533" i="5"/>
  <c r="CS533" i="5" s="1"/>
  <c r="M533" i="5"/>
  <c r="CR533" i="5" s="1"/>
  <c r="AB551" i="5"/>
  <c r="CT551" i="5" s="1"/>
  <c r="T551" i="5"/>
  <c r="CS551" i="5" s="1"/>
  <c r="M551" i="5"/>
  <c r="CR551" i="5" s="1"/>
  <c r="AB532" i="5"/>
  <c r="CT532" i="5" s="1"/>
  <c r="T532" i="5"/>
  <c r="CS532" i="5" s="1"/>
  <c r="M532" i="5"/>
  <c r="CR532" i="5" s="1"/>
  <c r="AB544" i="5"/>
  <c r="CT544" i="5" s="1"/>
  <c r="T544" i="5"/>
  <c r="CS544" i="5" s="1"/>
  <c r="M544" i="5"/>
  <c r="CR544" i="5" s="1"/>
  <c r="AB530" i="5"/>
  <c r="CT530" i="5" s="1"/>
  <c r="T530" i="5"/>
  <c r="CS530" i="5" s="1"/>
  <c r="M530" i="5"/>
  <c r="CR530" i="5" s="1"/>
  <c r="AB527" i="5"/>
  <c r="CT527" i="5" s="1"/>
  <c r="T527" i="5"/>
  <c r="CS527" i="5" s="1"/>
  <c r="M527" i="5"/>
  <c r="CR527" i="5" s="1"/>
  <c r="AB526" i="5"/>
  <c r="CT526" i="5" s="1"/>
  <c r="T526" i="5"/>
  <c r="CS526" i="5" s="1"/>
  <c r="M526" i="5"/>
  <c r="CR526" i="5" s="1"/>
  <c r="AB547" i="5"/>
  <c r="CT547" i="5" s="1"/>
  <c r="T547" i="5"/>
  <c r="CS547" i="5" s="1"/>
  <c r="M547" i="5"/>
  <c r="CR547" i="5" s="1"/>
  <c r="AB523" i="5"/>
  <c r="CT523" i="5" s="1"/>
  <c r="T523" i="5"/>
  <c r="CS523" i="5" s="1"/>
  <c r="M523" i="5"/>
  <c r="CR523" i="5" s="1"/>
  <c r="AB604" i="5"/>
  <c r="CT604" i="5" s="1"/>
  <c r="T604" i="5"/>
  <c r="CS604" i="5" s="1"/>
  <c r="M604" i="5"/>
  <c r="CR604" i="5" s="1"/>
  <c r="AB457" i="5"/>
  <c r="CT457" i="5" s="1"/>
  <c r="T457" i="5"/>
  <c r="CS457" i="5" s="1"/>
  <c r="M457" i="5"/>
  <c r="CR457" i="5" s="1"/>
  <c r="AB524" i="5"/>
  <c r="CT524" i="5" s="1"/>
  <c r="T524" i="5"/>
  <c r="CS524" i="5" s="1"/>
  <c r="M524" i="5"/>
  <c r="CR524" i="5" s="1"/>
  <c r="AB492" i="5"/>
  <c r="CT492" i="5" s="1"/>
  <c r="T492" i="5"/>
  <c r="CS492" i="5" s="1"/>
  <c r="M492" i="5"/>
  <c r="CR492" i="5" s="1"/>
  <c r="AB733" i="5"/>
  <c r="CT733" i="5" s="1"/>
  <c r="T733" i="5"/>
  <c r="CS733" i="5" s="1"/>
  <c r="M733" i="5"/>
  <c r="CR733" i="5" s="1"/>
  <c r="AB555" i="5"/>
  <c r="CT555" i="5" s="1"/>
  <c r="T555" i="5"/>
  <c r="CS555" i="5" s="1"/>
  <c r="M555" i="5"/>
  <c r="CR555" i="5" s="1"/>
  <c r="AB665" i="5"/>
  <c r="CT665" i="5" s="1"/>
  <c r="T665" i="5"/>
  <c r="CS665" i="5" s="1"/>
  <c r="M665" i="5"/>
  <c r="CR665" i="5" s="1"/>
  <c r="AB546" i="5"/>
  <c r="CT546" i="5" s="1"/>
  <c r="T546" i="5"/>
  <c r="CS546" i="5" s="1"/>
  <c r="M546" i="5"/>
  <c r="CR546" i="5" s="1"/>
  <c r="AB440" i="5"/>
  <c r="CT440" i="5" s="1"/>
  <c r="T440" i="5"/>
  <c r="CS440" i="5" s="1"/>
  <c r="M440" i="5"/>
  <c r="CR440" i="5" s="1"/>
  <c r="AB451" i="5"/>
  <c r="CT451" i="5" s="1"/>
  <c r="T451" i="5"/>
  <c r="CS451" i="5" s="1"/>
  <c r="M451" i="5"/>
  <c r="CR451" i="5" s="1"/>
  <c r="AB543" i="5"/>
  <c r="CT543" i="5" s="1"/>
  <c r="T543" i="5"/>
  <c r="CS543" i="5" s="1"/>
  <c r="M543" i="5"/>
  <c r="CR543" i="5" s="1"/>
  <c r="AB515" i="5"/>
  <c r="CT515" i="5" s="1"/>
  <c r="T515" i="5"/>
  <c r="CS515" i="5" s="1"/>
  <c r="M515" i="5"/>
  <c r="CR515" i="5" s="1"/>
  <c r="AB485" i="5"/>
  <c r="CT485" i="5" s="1"/>
  <c r="T485" i="5"/>
  <c r="CS485" i="5" s="1"/>
  <c r="M485" i="5"/>
  <c r="CR485" i="5" s="1"/>
  <c r="AB513" i="5"/>
  <c r="CT513" i="5" s="1"/>
  <c r="T513" i="5"/>
  <c r="CS513" i="5" s="1"/>
  <c r="M513" i="5"/>
  <c r="CR513" i="5" s="1"/>
  <c r="AB512" i="5"/>
  <c r="CT512" i="5" s="1"/>
  <c r="T512" i="5"/>
  <c r="CS512" i="5" s="1"/>
  <c r="M512" i="5"/>
  <c r="CR512" i="5" s="1"/>
  <c r="AB695" i="5"/>
  <c r="CT695" i="5" s="1"/>
  <c r="T695" i="5"/>
  <c r="CS695" i="5" s="1"/>
  <c r="M695" i="5"/>
  <c r="CR695" i="5" s="1"/>
  <c r="AB455" i="5"/>
  <c r="CT455" i="5" s="1"/>
  <c r="T455" i="5"/>
  <c r="CS455" i="5" s="1"/>
  <c r="M455" i="5"/>
  <c r="CR455" i="5" s="1"/>
  <c r="AB472" i="5"/>
  <c r="CT472" i="5" s="1"/>
  <c r="T472" i="5"/>
  <c r="CS472" i="5" s="1"/>
  <c r="M472" i="5"/>
  <c r="CR472" i="5" s="1"/>
  <c r="AB496" i="5"/>
  <c r="CT496" i="5" s="1"/>
  <c r="T496" i="5"/>
  <c r="CS496" i="5" s="1"/>
  <c r="M496" i="5"/>
  <c r="CR496" i="5" s="1"/>
  <c r="AB642" i="5"/>
  <c r="CT642" i="5" s="1"/>
  <c r="T642" i="5"/>
  <c r="CS642" i="5" s="1"/>
  <c r="M642" i="5"/>
  <c r="CR642" i="5" s="1"/>
  <c r="AB529" i="5"/>
  <c r="CT529" i="5" s="1"/>
  <c r="T529" i="5"/>
  <c r="CS529" i="5" s="1"/>
  <c r="M529" i="5"/>
  <c r="CR529" i="5" s="1"/>
  <c r="AB470" i="5"/>
  <c r="CT470" i="5" s="1"/>
  <c r="T470" i="5"/>
  <c r="CS470" i="5" s="1"/>
  <c r="M470" i="5"/>
  <c r="CR470" i="5" s="1"/>
  <c r="AB510" i="5"/>
  <c r="CT510" i="5" s="1"/>
  <c r="T510" i="5"/>
  <c r="CS510" i="5" s="1"/>
  <c r="M510" i="5"/>
  <c r="CR510" i="5" s="1"/>
  <c r="AB509" i="5"/>
  <c r="CT509" i="5" s="1"/>
  <c r="T509" i="5"/>
  <c r="CS509" i="5" s="1"/>
  <c r="M509" i="5"/>
  <c r="CR509" i="5" s="1"/>
  <c r="AB677" i="5"/>
  <c r="CT677" i="5" s="1"/>
  <c r="T677" i="5"/>
  <c r="CS677" i="5" s="1"/>
  <c r="M677" i="5"/>
  <c r="CR677" i="5" s="1"/>
  <c r="AB531" i="5"/>
  <c r="CT531" i="5" s="1"/>
  <c r="T531" i="5"/>
  <c r="CS531" i="5" s="1"/>
  <c r="M531" i="5"/>
  <c r="CR531" i="5" s="1"/>
  <c r="AB508" i="5"/>
  <c r="CT508" i="5" s="1"/>
  <c r="T508" i="5"/>
  <c r="CS508" i="5" s="1"/>
  <c r="M508" i="5"/>
  <c r="CR508" i="5" s="1"/>
  <c r="AB602" i="5"/>
  <c r="CT602" i="5" s="1"/>
  <c r="T602" i="5"/>
  <c r="CS602" i="5" s="1"/>
  <c r="M602" i="5"/>
  <c r="CR602" i="5" s="1"/>
  <c r="AB582" i="5"/>
  <c r="CT582" i="5" s="1"/>
  <c r="T582" i="5"/>
  <c r="CS582" i="5" s="1"/>
  <c r="M582" i="5"/>
  <c r="CR582" i="5" s="1"/>
  <c r="AB475" i="5"/>
  <c r="CT475" i="5" s="1"/>
  <c r="T475" i="5"/>
  <c r="CS475" i="5" s="1"/>
  <c r="M475" i="5"/>
  <c r="CR475" i="5" s="1"/>
  <c r="AB506" i="5"/>
  <c r="CT506" i="5" s="1"/>
  <c r="T506" i="5"/>
  <c r="CS506" i="5" s="1"/>
  <c r="M506" i="5"/>
  <c r="CR506" i="5" s="1"/>
  <c r="AB856" i="5"/>
  <c r="CT856" i="5" s="1"/>
  <c r="T856" i="5"/>
  <c r="CS856" i="5" s="1"/>
  <c r="M856" i="5"/>
  <c r="CR856" i="5" s="1"/>
  <c r="AB505" i="5"/>
  <c r="CT505" i="5" s="1"/>
  <c r="T505" i="5"/>
  <c r="CS505" i="5" s="1"/>
  <c r="M505" i="5"/>
  <c r="CR505" i="5" s="1"/>
  <c r="AB502" i="5"/>
  <c r="CT502" i="5" s="1"/>
  <c r="T502" i="5"/>
  <c r="CS502" i="5" s="1"/>
  <c r="M502" i="5"/>
  <c r="CR502" i="5" s="1"/>
  <c r="AB501" i="5"/>
  <c r="CT501" i="5" s="1"/>
  <c r="T501" i="5"/>
  <c r="CS501" i="5" s="1"/>
  <c r="M501" i="5"/>
  <c r="CR501" i="5" s="1"/>
  <c r="AB519" i="5"/>
  <c r="CT519" i="5" s="1"/>
  <c r="T519" i="5"/>
  <c r="CS519" i="5" s="1"/>
  <c r="M519" i="5"/>
  <c r="CR519" i="5" s="1"/>
  <c r="AB499" i="5"/>
  <c r="CT499" i="5" s="1"/>
  <c r="T499" i="5"/>
  <c r="CS499" i="5" s="1"/>
  <c r="M499" i="5"/>
  <c r="CR499" i="5" s="1"/>
  <c r="AB857" i="5"/>
  <c r="CT857" i="5" s="1"/>
  <c r="T857" i="5"/>
  <c r="CS857" i="5" s="1"/>
  <c r="M857" i="5"/>
  <c r="CR857" i="5" s="1"/>
  <c r="AB432" i="5"/>
  <c r="CT432" i="5" s="1"/>
  <c r="T432" i="5"/>
  <c r="CS432" i="5" s="1"/>
  <c r="M432" i="5"/>
  <c r="CR432" i="5" s="1"/>
  <c r="AB525" i="5"/>
  <c r="CT525" i="5" s="1"/>
  <c r="T525" i="5"/>
  <c r="CS525" i="5" s="1"/>
  <c r="M525" i="5"/>
  <c r="CR525" i="5" s="1"/>
  <c r="AB596" i="5"/>
  <c r="CT596" i="5" s="1"/>
  <c r="T596" i="5"/>
  <c r="CS596" i="5" s="1"/>
  <c r="M596" i="5"/>
  <c r="CR596" i="5" s="1"/>
  <c r="AB461" i="5"/>
  <c r="CT461" i="5" s="1"/>
  <c r="T461" i="5"/>
  <c r="CS461" i="5" s="1"/>
  <c r="M461" i="5"/>
  <c r="CR461" i="5" s="1"/>
  <c r="AB520" i="5"/>
  <c r="CT520" i="5" s="1"/>
  <c r="T520" i="5"/>
  <c r="CS520" i="5" s="1"/>
  <c r="M520" i="5"/>
  <c r="CR520" i="5" s="1"/>
  <c r="AB486" i="5"/>
  <c r="CT486" i="5" s="1"/>
  <c r="T486" i="5"/>
  <c r="CS486" i="5" s="1"/>
  <c r="M486" i="5"/>
  <c r="CR486" i="5" s="1"/>
  <c r="AB483" i="5"/>
  <c r="CT483" i="5" s="1"/>
  <c r="T483" i="5"/>
  <c r="CS483" i="5" s="1"/>
  <c r="M483" i="5"/>
  <c r="CR483" i="5" s="1"/>
  <c r="AB595" i="5"/>
  <c r="CT595" i="5" s="1"/>
  <c r="T595" i="5"/>
  <c r="CS595" i="5" s="1"/>
  <c r="M595" i="5"/>
  <c r="CR595" i="5" s="1"/>
  <c r="AB737" i="5"/>
  <c r="CT737" i="5" s="1"/>
  <c r="T737" i="5"/>
  <c r="CS737" i="5" s="1"/>
  <c r="M737" i="5"/>
  <c r="CR737" i="5" s="1"/>
  <c r="AB482" i="5"/>
  <c r="CT482" i="5" s="1"/>
  <c r="T482" i="5"/>
  <c r="CS482" i="5" s="1"/>
  <c r="M482" i="5"/>
  <c r="CR482" i="5" s="1"/>
  <c r="AB516" i="5"/>
  <c r="CT516" i="5" s="1"/>
  <c r="T516" i="5"/>
  <c r="CS516" i="5" s="1"/>
  <c r="M516" i="5"/>
  <c r="CR516" i="5" s="1"/>
  <c r="AB466" i="5"/>
  <c r="CT466" i="5" s="1"/>
  <c r="T466" i="5"/>
  <c r="CS466" i="5" s="1"/>
  <c r="M466" i="5"/>
  <c r="CR466" i="5" s="1"/>
  <c r="AB507" i="5"/>
  <c r="CT507" i="5" s="1"/>
  <c r="T507" i="5"/>
  <c r="CS507" i="5" s="1"/>
  <c r="M507" i="5"/>
  <c r="CR507" i="5" s="1"/>
  <c r="AB490" i="5"/>
  <c r="CT490" i="5" s="1"/>
  <c r="T490" i="5"/>
  <c r="CS490" i="5" s="1"/>
  <c r="M490" i="5"/>
  <c r="CR490" i="5" s="1"/>
  <c r="AB341" i="5"/>
  <c r="CT341" i="5" s="1"/>
  <c r="T341" i="5"/>
  <c r="CS341" i="5" s="1"/>
  <c r="M341" i="5"/>
  <c r="CR341" i="5" s="1"/>
  <c r="AB464" i="5"/>
  <c r="CT464" i="5" s="1"/>
  <c r="T464" i="5"/>
  <c r="CS464" i="5" s="1"/>
  <c r="M464" i="5"/>
  <c r="CR464" i="5" s="1"/>
  <c r="AB517" i="5"/>
  <c r="CT517" i="5" s="1"/>
  <c r="T517" i="5"/>
  <c r="CS517" i="5" s="1"/>
  <c r="M517" i="5"/>
  <c r="CR517" i="5" s="1"/>
  <c r="AB487" i="5"/>
  <c r="CT487" i="5" s="1"/>
  <c r="T487" i="5"/>
  <c r="CS487" i="5" s="1"/>
  <c r="M487" i="5"/>
  <c r="CR487" i="5" s="1"/>
  <c r="AB478" i="5"/>
  <c r="CT478" i="5" s="1"/>
  <c r="T478" i="5"/>
  <c r="CS478" i="5" s="1"/>
  <c r="M478" i="5"/>
  <c r="CR478" i="5" s="1"/>
  <c r="AB422" i="5"/>
  <c r="CT422" i="5" s="1"/>
  <c r="T422" i="5"/>
  <c r="CS422" i="5" s="1"/>
  <c r="M422" i="5"/>
  <c r="CR422" i="5" s="1"/>
  <c r="AB476" i="5"/>
  <c r="CT476" i="5" s="1"/>
  <c r="T476" i="5"/>
  <c r="CS476" i="5" s="1"/>
  <c r="M476" i="5"/>
  <c r="CR476" i="5" s="1"/>
  <c r="AB688" i="5"/>
  <c r="CT688" i="5" s="1"/>
  <c r="T688" i="5"/>
  <c r="CS688" i="5" s="1"/>
  <c r="M688" i="5"/>
  <c r="CR688" i="5" s="1"/>
  <c r="AB585" i="5"/>
  <c r="CT585" i="5" s="1"/>
  <c r="T585" i="5"/>
  <c r="CS585" i="5" s="1"/>
  <c r="M585" i="5"/>
  <c r="CR585" i="5" s="1"/>
  <c r="AB514" i="5"/>
  <c r="CT514" i="5" s="1"/>
  <c r="T514" i="5"/>
  <c r="CS514" i="5" s="1"/>
  <c r="M514" i="5"/>
  <c r="CR514" i="5" s="1"/>
  <c r="AB474" i="5"/>
  <c r="CT474" i="5" s="1"/>
  <c r="T474" i="5"/>
  <c r="CS474" i="5" s="1"/>
  <c r="M474" i="5"/>
  <c r="CR474" i="5" s="1"/>
  <c r="AB460" i="5"/>
  <c r="CT460" i="5" s="1"/>
  <c r="T460" i="5"/>
  <c r="CS460" i="5" s="1"/>
  <c r="M460" i="5"/>
  <c r="CR460" i="5" s="1"/>
  <c r="AB473" i="5"/>
  <c r="CT473" i="5" s="1"/>
  <c r="T473" i="5"/>
  <c r="CS473" i="5" s="1"/>
  <c r="M473" i="5"/>
  <c r="CR473" i="5" s="1"/>
  <c r="AB521" i="5"/>
  <c r="CT521" i="5" s="1"/>
  <c r="T521" i="5"/>
  <c r="CS521" i="5" s="1"/>
  <c r="M521" i="5"/>
  <c r="CR521" i="5" s="1"/>
  <c r="AB388" i="5"/>
  <c r="CT388" i="5" s="1"/>
  <c r="T388" i="5"/>
  <c r="CS388" i="5" s="1"/>
  <c r="M388" i="5"/>
  <c r="CR388" i="5" s="1"/>
  <c r="AB518" i="5"/>
  <c r="CT518" i="5" s="1"/>
  <c r="T518" i="5"/>
  <c r="CS518" i="5" s="1"/>
  <c r="M518" i="5"/>
  <c r="CR518" i="5" s="1"/>
  <c r="AB445" i="5"/>
  <c r="CT445" i="5" s="1"/>
  <c r="T445" i="5"/>
  <c r="CS445" i="5" s="1"/>
  <c r="M445" i="5"/>
  <c r="CR445" i="5" s="1"/>
  <c r="AB488" i="5"/>
  <c r="CT488" i="5" s="1"/>
  <c r="T488" i="5"/>
  <c r="CS488" i="5" s="1"/>
  <c r="M488" i="5"/>
  <c r="CR488" i="5" s="1"/>
  <c r="AB467" i="5"/>
  <c r="CT467" i="5" s="1"/>
  <c r="T467" i="5"/>
  <c r="CS467" i="5" s="1"/>
  <c r="M467" i="5"/>
  <c r="CR467" i="5" s="1"/>
  <c r="AB459" i="5"/>
  <c r="CT459" i="5" s="1"/>
  <c r="T459" i="5"/>
  <c r="CS459" i="5" s="1"/>
  <c r="M459" i="5"/>
  <c r="CR459" i="5" s="1"/>
  <c r="AB545" i="5"/>
  <c r="CT545" i="5" s="1"/>
  <c r="T545" i="5"/>
  <c r="CS545" i="5" s="1"/>
  <c r="M545" i="5"/>
  <c r="CR545" i="5" s="1"/>
  <c r="AB463" i="5"/>
  <c r="CT463" i="5" s="1"/>
  <c r="T463" i="5"/>
  <c r="CS463" i="5" s="1"/>
  <c r="M463" i="5"/>
  <c r="CR463" i="5" s="1"/>
  <c r="AB462" i="5"/>
  <c r="CT462" i="5" s="1"/>
  <c r="T462" i="5"/>
  <c r="CS462" i="5" s="1"/>
  <c r="M462" i="5"/>
  <c r="CR462" i="5" s="1"/>
  <c r="AB456" i="5"/>
  <c r="CT456" i="5" s="1"/>
  <c r="T456" i="5"/>
  <c r="CS456" i="5" s="1"/>
  <c r="M456" i="5"/>
  <c r="CR456" i="5" s="1"/>
  <c r="AB453" i="5"/>
  <c r="CT453" i="5" s="1"/>
  <c r="T453" i="5"/>
  <c r="CS453" i="5" s="1"/>
  <c r="M453" i="5"/>
  <c r="CR453" i="5" s="1"/>
  <c r="AB207" i="5"/>
  <c r="CT207" i="5" s="1"/>
  <c r="T207" i="5"/>
  <c r="CS207" i="5" s="1"/>
  <c r="M207" i="5"/>
  <c r="CR207" i="5" s="1"/>
  <c r="AB450" i="5"/>
  <c r="CT450" i="5" s="1"/>
  <c r="T450" i="5"/>
  <c r="CS450" i="5" s="1"/>
  <c r="M450" i="5"/>
  <c r="CR450" i="5" s="1"/>
  <c r="AB449" i="5"/>
  <c r="CT449" i="5" s="1"/>
  <c r="T449" i="5"/>
  <c r="CS449" i="5" s="1"/>
  <c r="M449" i="5"/>
  <c r="CR449" i="5" s="1"/>
  <c r="AB511" i="5"/>
  <c r="CT511" i="5" s="1"/>
  <c r="T511" i="5"/>
  <c r="CS511" i="5" s="1"/>
  <c r="M511" i="5"/>
  <c r="CR511" i="5" s="1"/>
  <c r="AB410" i="5"/>
  <c r="CT410" i="5" s="1"/>
  <c r="T410" i="5"/>
  <c r="CS410" i="5" s="1"/>
  <c r="M410" i="5"/>
  <c r="CR410" i="5" s="1"/>
  <c r="AB446" i="5"/>
  <c r="CT446" i="5" s="1"/>
  <c r="T446" i="5"/>
  <c r="CS446" i="5" s="1"/>
  <c r="M446" i="5"/>
  <c r="CR446" i="5" s="1"/>
  <c r="AB477" i="5"/>
  <c r="CT477" i="5" s="1"/>
  <c r="T477" i="5"/>
  <c r="CS477" i="5" s="1"/>
  <c r="M477" i="5"/>
  <c r="CR477" i="5" s="1"/>
  <c r="AB601" i="5"/>
  <c r="CT601" i="5" s="1"/>
  <c r="T601" i="5"/>
  <c r="CS601" i="5" s="1"/>
  <c r="M601" i="5"/>
  <c r="CR601" i="5" s="1"/>
  <c r="AB424" i="5"/>
  <c r="CT424" i="5" s="1"/>
  <c r="T424" i="5"/>
  <c r="CS424" i="5" s="1"/>
  <c r="M424" i="5"/>
  <c r="CR424" i="5" s="1"/>
  <c r="AB411" i="5"/>
  <c r="CT411" i="5" s="1"/>
  <c r="T411" i="5"/>
  <c r="CS411" i="5" s="1"/>
  <c r="M411" i="5"/>
  <c r="CR411" i="5" s="1"/>
  <c r="AB375" i="5"/>
  <c r="CT375" i="5" s="1"/>
  <c r="T375" i="5"/>
  <c r="CS375" i="5" s="1"/>
  <c r="M375" i="5"/>
  <c r="CR375" i="5" s="1"/>
  <c r="AB210" i="5"/>
  <c r="CT210" i="5" s="1"/>
  <c r="T210" i="5"/>
  <c r="CS210" i="5" s="1"/>
  <c r="M210" i="5"/>
  <c r="CR210" i="5" s="1"/>
  <c r="AB444" i="5"/>
  <c r="CT444" i="5" s="1"/>
  <c r="T444" i="5"/>
  <c r="CS444" i="5" s="1"/>
  <c r="M444" i="5"/>
  <c r="CR444" i="5" s="1"/>
  <c r="AB418" i="5"/>
  <c r="CT418" i="5" s="1"/>
  <c r="T418" i="5"/>
  <c r="CS418" i="5" s="1"/>
  <c r="M418" i="5"/>
  <c r="CR418" i="5" s="1"/>
  <c r="AB441" i="5"/>
  <c r="CT441" i="5" s="1"/>
  <c r="T441" i="5"/>
  <c r="CS441" i="5" s="1"/>
  <c r="M441" i="5"/>
  <c r="CR441" i="5" s="1"/>
  <c r="AB550" i="5"/>
  <c r="CT550" i="5" s="1"/>
  <c r="T550" i="5"/>
  <c r="CS550" i="5" s="1"/>
  <c r="M550" i="5"/>
  <c r="CR550" i="5" s="1"/>
  <c r="AB468" i="5"/>
  <c r="CT468" i="5" s="1"/>
  <c r="T468" i="5"/>
  <c r="CS468" i="5" s="1"/>
  <c r="M468" i="5"/>
  <c r="CR468" i="5" s="1"/>
  <c r="AB343" i="5"/>
  <c r="CT343" i="5" s="1"/>
  <c r="T343" i="5"/>
  <c r="CS343" i="5" s="1"/>
  <c r="M343" i="5"/>
  <c r="CR343" i="5" s="1"/>
  <c r="AB569" i="5"/>
  <c r="CT569" i="5" s="1"/>
  <c r="T569" i="5"/>
  <c r="CS569" i="5" s="1"/>
  <c r="M569" i="5"/>
  <c r="CR569" i="5" s="1"/>
  <c r="AB438" i="5"/>
  <c r="CT438" i="5" s="1"/>
  <c r="T438" i="5"/>
  <c r="CS438" i="5" s="1"/>
  <c r="M438" i="5"/>
  <c r="CR438" i="5" s="1"/>
  <c r="AB437" i="5"/>
  <c r="CT437" i="5" s="1"/>
  <c r="T437" i="5"/>
  <c r="CS437" i="5" s="1"/>
  <c r="M437" i="5"/>
  <c r="CR437" i="5" s="1"/>
  <c r="AB439" i="5"/>
  <c r="CT439" i="5" s="1"/>
  <c r="T439" i="5"/>
  <c r="CS439" i="5" s="1"/>
  <c r="M439" i="5"/>
  <c r="CR439" i="5" s="1"/>
  <c r="AB191" i="5"/>
  <c r="CT191" i="5" s="1"/>
  <c r="T191" i="5"/>
  <c r="CS191" i="5" s="1"/>
  <c r="M191" i="5"/>
  <c r="CR191" i="5" s="1"/>
  <c r="AB454" i="5"/>
  <c r="CT454" i="5" s="1"/>
  <c r="T454" i="5"/>
  <c r="CS454" i="5" s="1"/>
  <c r="M454" i="5"/>
  <c r="CR454" i="5" s="1"/>
  <c r="AB471" i="5"/>
  <c r="CT471" i="5" s="1"/>
  <c r="T471" i="5"/>
  <c r="CS471" i="5" s="1"/>
  <c r="M471" i="5"/>
  <c r="CR471" i="5" s="1"/>
  <c r="AB452" i="5"/>
  <c r="CT452" i="5" s="1"/>
  <c r="T452" i="5"/>
  <c r="CS452" i="5" s="1"/>
  <c r="M452" i="5"/>
  <c r="CR452" i="5" s="1"/>
  <c r="AB447" i="5"/>
  <c r="CT447" i="5" s="1"/>
  <c r="T447" i="5"/>
  <c r="CS447" i="5" s="1"/>
  <c r="M447" i="5"/>
  <c r="CR447" i="5" s="1"/>
  <c r="AB434" i="5"/>
  <c r="CT434" i="5" s="1"/>
  <c r="T434" i="5"/>
  <c r="CS434" i="5" s="1"/>
  <c r="M434" i="5"/>
  <c r="CR434" i="5" s="1"/>
  <c r="AB435" i="5"/>
  <c r="CT435" i="5" s="1"/>
  <c r="T435" i="5"/>
  <c r="CS435" i="5" s="1"/>
  <c r="M435" i="5"/>
  <c r="CR435" i="5" s="1"/>
  <c r="AB540" i="5"/>
  <c r="CT540" i="5" s="1"/>
  <c r="T540" i="5"/>
  <c r="CS540" i="5" s="1"/>
  <c r="M540" i="5"/>
  <c r="CR540" i="5" s="1"/>
  <c r="AB402" i="5"/>
  <c r="CT402" i="5" s="1"/>
  <c r="T402" i="5"/>
  <c r="CS402" i="5" s="1"/>
  <c r="M402" i="5"/>
  <c r="CR402" i="5" s="1"/>
  <c r="AB442" i="5"/>
  <c r="CT442" i="5" s="1"/>
  <c r="T442" i="5"/>
  <c r="CS442" i="5" s="1"/>
  <c r="M442" i="5"/>
  <c r="CR442" i="5" s="1"/>
  <c r="AB631" i="5"/>
  <c r="CT631" i="5" s="1"/>
  <c r="T631" i="5"/>
  <c r="CS631" i="5" s="1"/>
  <c r="M631" i="5"/>
  <c r="CR631" i="5" s="1"/>
  <c r="AB429" i="5"/>
  <c r="CT429" i="5" s="1"/>
  <c r="T429" i="5"/>
  <c r="CS429" i="5" s="1"/>
  <c r="M429" i="5"/>
  <c r="CR429" i="5" s="1"/>
  <c r="AB489" i="5"/>
  <c r="CT489" i="5" s="1"/>
  <c r="T489" i="5"/>
  <c r="CS489" i="5" s="1"/>
  <c r="M489" i="5"/>
  <c r="CR489" i="5" s="1"/>
  <c r="AB427" i="5"/>
  <c r="CT427" i="5" s="1"/>
  <c r="T427" i="5"/>
  <c r="CS427" i="5" s="1"/>
  <c r="M427" i="5"/>
  <c r="CR427" i="5" s="1"/>
  <c r="AB443" i="5"/>
  <c r="CT443" i="5" s="1"/>
  <c r="T443" i="5"/>
  <c r="CS443" i="5" s="1"/>
  <c r="M443" i="5"/>
  <c r="CR443" i="5" s="1"/>
  <c r="AB421" i="5"/>
  <c r="CT421" i="5" s="1"/>
  <c r="T421" i="5"/>
  <c r="CS421" i="5" s="1"/>
  <c r="M421" i="5"/>
  <c r="CR421" i="5" s="1"/>
  <c r="AB419" i="5"/>
  <c r="CT419" i="5" s="1"/>
  <c r="T419" i="5"/>
  <c r="CS419" i="5" s="1"/>
  <c r="M419" i="5"/>
  <c r="CR419" i="5" s="1"/>
  <c r="AB408" i="5"/>
  <c r="CT408" i="5" s="1"/>
  <c r="T408" i="5"/>
  <c r="CS408" i="5" s="1"/>
  <c r="M408" i="5"/>
  <c r="CR408" i="5" s="1"/>
  <c r="AB416" i="5"/>
  <c r="CT416" i="5" s="1"/>
  <c r="T416" i="5"/>
  <c r="CS416" i="5" s="1"/>
  <c r="M416" i="5"/>
  <c r="CR416" i="5" s="1"/>
  <c r="AB404" i="5"/>
  <c r="CT404" i="5" s="1"/>
  <c r="T404" i="5"/>
  <c r="CS404" i="5" s="1"/>
  <c r="M404" i="5"/>
  <c r="CR404" i="5" s="1"/>
  <c r="AB336" i="5"/>
  <c r="CT336" i="5" s="1"/>
  <c r="T336" i="5"/>
  <c r="CS336" i="5" s="1"/>
  <c r="M336" i="5"/>
  <c r="CR336" i="5" s="1"/>
  <c r="AB412" i="5"/>
  <c r="CT412" i="5" s="1"/>
  <c r="T412" i="5"/>
  <c r="CS412" i="5" s="1"/>
  <c r="M412" i="5"/>
  <c r="CR412" i="5" s="1"/>
  <c r="AB430" i="5"/>
  <c r="CT430" i="5" s="1"/>
  <c r="T430" i="5"/>
  <c r="CS430" i="5" s="1"/>
  <c r="M430" i="5"/>
  <c r="CR430" i="5" s="1"/>
  <c r="AB199" i="5"/>
  <c r="CT199" i="5" s="1"/>
  <c r="T199" i="5"/>
  <c r="CS199" i="5" s="1"/>
  <c r="M199" i="5"/>
  <c r="CR199" i="5" s="1"/>
  <c r="AB417" i="5"/>
  <c r="CT417" i="5" s="1"/>
  <c r="T417" i="5"/>
  <c r="CS417" i="5" s="1"/>
  <c r="M417" i="5"/>
  <c r="CR417" i="5" s="1"/>
  <c r="AB409" i="5"/>
  <c r="CT409" i="5" s="1"/>
  <c r="T409" i="5"/>
  <c r="CS409" i="5" s="1"/>
  <c r="M409" i="5"/>
  <c r="CR409" i="5" s="1"/>
  <c r="AB423" i="5"/>
  <c r="CT423" i="5" s="1"/>
  <c r="T423" i="5"/>
  <c r="CS423" i="5" s="1"/>
  <c r="M423" i="5"/>
  <c r="CR423" i="5" s="1"/>
  <c r="AB379" i="5"/>
  <c r="CT379" i="5" s="1"/>
  <c r="T379" i="5"/>
  <c r="CS379" i="5" s="1"/>
  <c r="M379" i="5"/>
  <c r="CR379" i="5" s="1"/>
  <c r="AB426" i="5"/>
  <c r="CT426" i="5" s="1"/>
  <c r="T426" i="5"/>
  <c r="CS426" i="5" s="1"/>
  <c r="M426" i="5"/>
  <c r="CR426" i="5" s="1"/>
  <c r="AB481" i="5"/>
  <c r="CT481" i="5" s="1"/>
  <c r="T481" i="5"/>
  <c r="CS481" i="5" s="1"/>
  <c r="M481" i="5"/>
  <c r="CR481" i="5" s="1"/>
  <c r="AB401" i="5"/>
  <c r="CT401" i="5" s="1"/>
  <c r="T401" i="5"/>
  <c r="CS401" i="5" s="1"/>
  <c r="M401" i="5"/>
  <c r="CR401" i="5" s="1"/>
  <c r="AB220" i="5"/>
  <c r="CT220" i="5" s="1"/>
  <c r="T220" i="5"/>
  <c r="CS220" i="5" s="1"/>
  <c r="M220" i="5"/>
  <c r="CR220" i="5" s="1"/>
  <c r="AB413" i="5"/>
  <c r="CT413" i="5" s="1"/>
  <c r="T413" i="5"/>
  <c r="CS413" i="5" s="1"/>
  <c r="M413" i="5"/>
  <c r="CR413" i="5" s="1"/>
  <c r="AB399" i="5"/>
  <c r="CT399" i="5" s="1"/>
  <c r="T399" i="5"/>
  <c r="CS399" i="5" s="1"/>
  <c r="M399" i="5"/>
  <c r="CR399" i="5" s="1"/>
  <c r="AB414" i="5"/>
  <c r="CT414" i="5" s="1"/>
  <c r="T414" i="5"/>
  <c r="CS414" i="5" s="1"/>
  <c r="M414" i="5"/>
  <c r="CR414" i="5" s="1"/>
  <c r="AB398" i="5"/>
  <c r="CT398" i="5" s="1"/>
  <c r="T398" i="5"/>
  <c r="CS398" i="5" s="1"/>
  <c r="M398" i="5"/>
  <c r="CR398" i="5" s="1"/>
  <c r="AB415" i="5"/>
  <c r="CT415" i="5" s="1"/>
  <c r="T415" i="5"/>
  <c r="CS415" i="5" s="1"/>
  <c r="M415" i="5"/>
  <c r="CR415" i="5" s="1"/>
  <c r="AB397" i="5"/>
  <c r="CT397" i="5" s="1"/>
  <c r="T397" i="5"/>
  <c r="CS397" i="5" s="1"/>
  <c r="M397" i="5"/>
  <c r="CR397" i="5" s="1"/>
  <c r="AB465" i="5"/>
  <c r="CT465" i="5" s="1"/>
  <c r="T465" i="5"/>
  <c r="CS465" i="5" s="1"/>
  <c r="M465" i="5"/>
  <c r="CR465" i="5" s="1"/>
  <c r="AB390" i="5"/>
  <c r="CT390" i="5" s="1"/>
  <c r="T390" i="5"/>
  <c r="CS390" i="5" s="1"/>
  <c r="M390" i="5"/>
  <c r="CR390" i="5" s="1"/>
  <c r="AB332" i="5"/>
  <c r="CT332" i="5" s="1"/>
  <c r="T332" i="5"/>
  <c r="CS332" i="5" s="1"/>
  <c r="M332" i="5"/>
  <c r="CR332" i="5" s="1"/>
  <c r="AB535" i="5"/>
  <c r="CT535" i="5" s="1"/>
  <c r="T535" i="5"/>
  <c r="CS535" i="5" s="1"/>
  <c r="M535" i="5"/>
  <c r="CR535" i="5" s="1"/>
  <c r="AB380" i="5"/>
  <c r="CT380" i="5" s="1"/>
  <c r="T380" i="5"/>
  <c r="CS380" i="5" s="1"/>
  <c r="M380" i="5"/>
  <c r="CR380" i="5" s="1"/>
  <c r="AB394" i="5"/>
  <c r="CT394" i="5" s="1"/>
  <c r="T394" i="5"/>
  <c r="CS394" i="5" s="1"/>
  <c r="M394" i="5"/>
  <c r="CR394" i="5" s="1"/>
  <c r="AB425" i="5"/>
  <c r="CT425" i="5" s="1"/>
  <c r="T425" i="5"/>
  <c r="CS425" i="5" s="1"/>
  <c r="M425" i="5"/>
  <c r="CR425" i="5" s="1"/>
  <c r="AB393" i="5"/>
  <c r="CT393" i="5" s="1"/>
  <c r="T393" i="5"/>
  <c r="CS393" i="5" s="1"/>
  <c r="M393" i="5"/>
  <c r="CR393" i="5" s="1"/>
  <c r="AB392" i="5"/>
  <c r="CT392" i="5" s="1"/>
  <c r="T392" i="5"/>
  <c r="CS392" i="5" s="1"/>
  <c r="M392" i="5"/>
  <c r="CR392" i="5" s="1"/>
  <c r="AB385" i="5"/>
  <c r="CT385" i="5" s="1"/>
  <c r="T385" i="5"/>
  <c r="CS385" i="5" s="1"/>
  <c r="M385" i="5"/>
  <c r="CR385" i="5" s="1"/>
  <c r="AB563" i="5"/>
  <c r="CT563" i="5" s="1"/>
  <c r="T563" i="5"/>
  <c r="CS563" i="5" s="1"/>
  <c r="M563" i="5"/>
  <c r="CR563" i="5" s="1"/>
  <c r="AB469" i="5"/>
  <c r="CT469" i="5" s="1"/>
  <c r="T469" i="5"/>
  <c r="CS469" i="5" s="1"/>
  <c r="M469" i="5"/>
  <c r="CR469" i="5" s="1"/>
  <c r="AB329" i="5"/>
  <c r="CT329" i="5" s="1"/>
  <c r="T329" i="5"/>
  <c r="CS329" i="5" s="1"/>
  <c r="M329" i="5"/>
  <c r="CR329" i="5" s="1"/>
  <c r="AB369" i="5"/>
  <c r="CT369" i="5" s="1"/>
  <c r="T369" i="5"/>
  <c r="CS369" i="5" s="1"/>
  <c r="M369" i="5"/>
  <c r="CR369" i="5" s="1"/>
  <c r="AB383" i="5"/>
  <c r="CT383" i="5" s="1"/>
  <c r="T383" i="5"/>
  <c r="CS383" i="5" s="1"/>
  <c r="M383" i="5"/>
  <c r="CR383" i="5" s="1"/>
  <c r="AB326" i="5"/>
  <c r="CT326" i="5" s="1"/>
  <c r="T326" i="5"/>
  <c r="CS326" i="5" s="1"/>
  <c r="M326" i="5"/>
  <c r="CR326" i="5" s="1"/>
  <c r="AB386" i="5"/>
  <c r="CT386" i="5" s="1"/>
  <c r="T386" i="5"/>
  <c r="CS386" i="5" s="1"/>
  <c r="M386" i="5"/>
  <c r="CR386" i="5" s="1"/>
  <c r="AB355" i="5"/>
  <c r="CT355" i="5" s="1"/>
  <c r="T355" i="5"/>
  <c r="CS355" i="5" s="1"/>
  <c r="M355" i="5"/>
  <c r="CR355" i="5" s="1"/>
  <c r="AB356" i="5"/>
  <c r="CT356" i="5" s="1"/>
  <c r="T356" i="5"/>
  <c r="CS356" i="5" s="1"/>
  <c r="M356" i="5"/>
  <c r="CR356" i="5" s="1"/>
  <c r="AB431" i="5"/>
  <c r="CT431" i="5" s="1"/>
  <c r="T431" i="5"/>
  <c r="CS431" i="5" s="1"/>
  <c r="M431" i="5"/>
  <c r="CR431" i="5" s="1"/>
  <c r="AB365" i="5"/>
  <c r="CT365" i="5" s="1"/>
  <c r="T365" i="5"/>
  <c r="CS365" i="5" s="1"/>
  <c r="M365" i="5"/>
  <c r="CR365" i="5" s="1"/>
  <c r="AB400" i="5"/>
  <c r="CT400" i="5" s="1"/>
  <c r="T400" i="5"/>
  <c r="CS400" i="5" s="1"/>
  <c r="M400" i="5"/>
  <c r="CR400" i="5" s="1"/>
  <c r="AB603" i="5"/>
  <c r="CT603" i="5" s="1"/>
  <c r="T603" i="5"/>
  <c r="CS603" i="5" s="1"/>
  <c r="M603" i="5"/>
  <c r="CR603" i="5" s="1"/>
  <c r="AB374" i="5"/>
  <c r="CT374" i="5" s="1"/>
  <c r="T374" i="5"/>
  <c r="CS374" i="5" s="1"/>
  <c r="M374" i="5"/>
  <c r="CR374" i="5" s="1"/>
  <c r="AB420" i="5"/>
  <c r="CT420" i="5" s="1"/>
  <c r="T420" i="5"/>
  <c r="CS420" i="5" s="1"/>
  <c r="M420" i="5"/>
  <c r="CR420" i="5" s="1"/>
  <c r="AB391" i="5"/>
  <c r="CT391" i="5" s="1"/>
  <c r="T391" i="5"/>
  <c r="CS391" i="5" s="1"/>
  <c r="M391" i="5"/>
  <c r="CR391" i="5" s="1"/>
  <c r="AB378" i="5"/>
  <c r="CT378" i="5" s="1"/>
  <c r="T378" i="5"/>
  <c r="CS378" i="5" s="1"/>
  <c r="M378" i="5"/>
  <c r="CR378" i="5" s="1"/>
  <c r="AB363" i="5"/>
  <c r="CT363" i="5" s="1"/>
  <c r="T363" i="5"/>
  <c r="CS363" i="5" s="1"/>
  <c r="M363" i="5"/>
  <c r="CR363" i="5" s="1"/>
  <c r="AB377" i="5"/>
  <c r="CT377" i="5" s="1"/>
  <c r="T377" i="5"/>
  <c r="CS377" i="5" s="1"/>
  <c r="M377" i="5"/>
  <c r="CR377" i="5" s="1"/>
  <c r="AB605" i="5"/>
  <c r="CT605" i="5" s="1"/>
  <c r="T605" i="5"/>
  <c r="CS605" i="5" s="1"/>
  <c r="M605" i="5"/>
  <c r="CR605" i="5" s="1"/>
  <c r="AB347" i="5"/>
  <c r="CT347" i="5" s="1"/>
  <c r="T347" i="5"/>
  <c r="CS347" i="5" s="1"/>
  <c r="M347" i="5"/>
  <c r="CR347" i="5" s="1"/>
  <c r="AB366" i="5"/>
  <c r="CT366" i="5" s="1"/>
  <c r="T366" i="5"/>
  <c r="CS366" i="5" s="1"/>
  <c r="M366" i="5"/>
  <c r="CR366" i="5" s="1"/>
  <c r="AB362" i="5"/>
  <c r="CT362" i="5" s="1"/>
  <c r="T362" i="5"/>
  <c r="CS362" i="5" s="1"/>
  <c r="M362" i="5"/>
  <c r="CR362" i="5" s="1"/>
  <c r="AB382" i="5"/>
  <c r="CT382" i="5" s="1"/>
  <c r="T382" i="5"/>
  <c r="CS382" i="5" s="1"/>
  <c r="M382" i="5"/>
  <c r="CR382" i="5" s="1"/>
  <c r="AB371" i="5"/>
  <c r="CT371" i="5" s="1"/>
  <c r="T371" i="5"/>
  <c r="CS371" i="5" s="1"/>
  <c r="M371" i="5"/>
  <c r="CR371" i="5" s="1"/>
  <c r="AB359" i="5"/>
  <c r="CT359" i="5" s="1"/>
  <c r="T359" i="5"/>
  <c r="CS359" i="5" s="1"/>
  <c r="M359" i="5"/>
  <c r="CR359" i="5" s="1"/>
  <c r="AB358" i="5"/>
  <c r="CT358" i="5" s="1"/>
  <c r="T358" i="5"/>
  <c r="CS358" i="5" s="1"/>
  <c r="M358" i="5"/>
  <c r="CR358" i="5" s="1"/>
  <c r="AB353" i="5"/>
  <c r="CT353" i="5" s="1"/>
  <c r="T353" i="5"/>
  <c r="CS353" i="5" s="1"/>
  <c r="M353" i="5"/>
  <c r="CR353" i="5" s="1"/>
  <c r="AB357" i="5"/>
  <c r="CT357" i="5" s="1"/>
  <c r="T357" i="5"/>
  <c r="CS357" i="5" s="1"/>
  <c r="M357" i="5"/>
  <c r="CR357" i="5" s="1"/>
  <c r="AB373" i="5"/>
  <c r="CT373" i="5" s="1"/>
  <c r="T373" i="5"/>
  <c r="CS373" i="5" s="1"/>
  <c r="M373" i="5"/>
  <c r="CR373" i="5" s="1"/>
  <c r="AB624" i="5"/>
  <c r="CT624" i="5" s="1"/>
  <c r="T624" i="5"/>
  <c r="CS624" i="5" s="1"/>
  <c r="M624" i="5"/>
  <c r="CR624" i="5" s="1"/>
  <c r="AB319" i="5"/>
  <c r="CT319" i="5" s="1"/>
  <c r="T319" i="5"/>
  <c r="CS319" i="5" s="1"/>
  <c r="M319" i="5"/>
  <c r="CR319" i="5" s="1"/>
  <c r="AB376" i="5"/>
  <c r="CT376" i="5" s="1"/>
  <c r="T376" i="5"/>
  <c r="CS376" i="5" s="1"/>
  <c r="M376" i="5"/>
  <c r="CR376" i="5" s="1"/>
  <c r="AB351" i="5"/>
  <c r="CT351" i="5" s="1"/>
  <c r="T351" i="5"/>
  <c r="CS351" i="5" s="1"/>
  <c r="M351" i="5"/>
  <c r="CR351" i="5" s="1"/>
  <c r="AB325" i="5"/>
  <c r="CT325" i="5" s="1"/>
  <c r="T325" i="5"/>
  <c r="CS325" i="5" s="1"/>
  <c r="M325" i="5"/>
  <c r="CR325" i="5" s="1"/>
  <c r="AB330" i="5"/>
  <c r="CT330" i="5" s="1"/>
  <c r="T330" i="5"/>
  <c r="CS330" i="5" s="1"/>
  <c r="M330" i="5"/>
  <c r="CR330" i="5" s="1"/>
  <c r="AB395" i="5"/>
  <c r="CT395" i="5" s="1"/>
  <c r="T395" i="5"/>
  <c r="CS395" i="5" s="1"/>
  <c r="M395" i="5"/>
  <c r="CR395" i="5" s="1"/>
  <c r="AB368" i="5"/>
  <c r="CT368" i="5" s="1"/>
  <c r="T368" i="5"/>
  <c r="CS368" i="5" s="1"/>
  <c r="M368" i="5"/>
  <c r="CR368" i="5" s="1"/>
  <c r="AB354" i="5"/>
  <c r="CT354" i="5" s="1"/>
  <c r="T354" i="5"/>
  <c r="CS354" i="5" s="1"/>
  <c r="M354" i="5"/>
  <c r="CR354" i="5" s="1"/>
  <c r="AB279" i="5"/>
  <c r="CT279" i="5" s="1"/>
  <c r="T279" i="5"/>
  <c r="CS279" i="5" s="1"/>
  <c r="M279" i="5"/>
  <c r="CR279" i="5" s="1"/>
  <c r="AB352" i="5"/>
  <c r="CT352" i="5" s="1"/>
  <c r="T352" i="5"/>
  <c r="CS352" i="5" s="1"/>
  <c r="M352" i="5"/>
  <c r="CR352" i="5" s="1"/>
  <c r="AB350" i="5"/>
  <c r="CT350" i="5" s="1"/>
  <c r="T350" i="5"/>
  <c r="CS350" i="5" s="1"/>
  <c r="M350" i="5"/>
  <c r="CR350" i="5" s="1"/>
  <c r="AB349" i="5"/>
  <c r="CT349" i="5" s="1"/>
  <c r="T349" i="5"/>
  <c r="CS349" i="5" s="1"/>
  <c r="M349" i="5"/>
  <c r="CR349" i="5" s="1"/>
  <c r="AB320" i="5"/>
  <c r="CT320" i="5" s="1"/>
  <c r="T320" i="5"/>
  <c r="CS320" i="5" s="1"/>
  <c r="M320" i="5"/>
  <c r="CR320" i="5" s="1"/>
  <c r="AB334" i="5"/>
  <c r="CT334" i="5" s="1"/>
  <c r="T334" i="5"/>
  <c r="CS334" i="5" s="1"/>
  <c r="M334" i="5"/>
  <c r="CR334" i="5" s="1"/>
  <c r="AB389" i="5"/>
  <c r="CT389" i="5" s="1"/>
  <c r="T389" i="5"/>
  <c r="CS389" i="5" s="1"/>
  <c r="M389" i="5"/>
  <c r="CR389" i="5" s="1"/>
  <c r="AB344" i="5"/>
  <c r="CT344" i="5" s="1"/>
  <c r="T344" i="5"/>
  <c r="CS344" i="5" s="1"/>
  <c r="M344" i="5"/>
  <c r="CR344" i="5" s="1"/>
  <c r="AB433" i="5"/>
  <c r="CT433" i="5" s="1"/>
  <c r="T433" i="5"/>
  <c r="CS433" i="5" s="1"/>
  <c r="M433" i="5"/>
  <c r="CR433" i="5" s="1"/>
  <c r="AB331" i="5"/>
  <c r="CT331" i="5" s="1"/>
  <c r="T331" i="5"/>
  <c r="CS331" i="5" s="1"/>
  <c r="M331" i="5"/>
  <c r="CR331" i="5" s="1"/>
  <c r="AB284" i="5"/>
  <c r="CT284" i="5" s="1"/>
  <c r="T284" i="5"/>
  <c r="CS284" i="5" s="1"/>
  <c r="M284" i="5"/>
  <c r="CR284" i="5" s="1"/>
  <c r="AB322" i="5"/>
  <c r="CT322" i="5" s="1"/>
  <c r="T322" i="5"/>
  <c r="CS322" i="5" s="1"/>
  <c r="M322" i="5"/>
  <c r="CR322" i="5" s="1"/>
  <c r="AB346" i="5"/>
  <c r="CT346" i="5" s="1"/>
  <c r="T346" i="5"/>
  <c r="CS346" i="5" s="1"/>
  <c r="M346" i="5"/>
  <c r="CR346" i="5" s="1"/>
  <c r="AB290" i="5"/>
  <c r="CT290" i="5" s="1"/>
  <c r="T290" i="5"/>
  <c r="CS290" i="5" s="1"/>
  <c r="M290" i="5"/>
  <c r="CR290" i="5" s="1"/>
  <c r="AB296" i="5"/>
  <c r="CT296" i="5" s="1"/>
  <c r="T296" i="5"/>
  <c r="CS296" i="5" s="1"/>
  <c r="M296" i="5"/>
  <c r="CR296" i="5" s="1"/>
  <c r="AB300" i="5"/>
  <c r="CT300" i="5" s="1"/>
  <c r="T300" i="5"/>
  <c r="CS300" i="5" s="1"/>
  <c r="M300" i="5"/>
  <c r="CR300" i="5" s="1"/>
  <c r="AB309" i="5"/>
  <c r="CT309" i="5" s="1"/>
  <c r="T309" i="5"/>
  <c r="CS309" i="5" s="1"/>
  <c r="M309" i="5"/>
  <c r="CR309" i="5" s="1"/>
  <c r="AB335" i="5"/>
  <c r="CT335" i="5" s="1"/>
  <c r="T335" i="5"/>
  <c r="CS335" i="5" s="1"/>
  <c r="M335" i="5"/>
  <c r="CR335" i="5" s="1"/>
  <c r="AB328" i="5"/>
  <c r="CT328" i="5" s="1"/>
  <c r="T328" i="5"/>
  <c r="CS328" i="5" s="1"/>
  <c r="M328" i="5"/>
  <c r="CR328" i="5" s="1"/>
  <c r="AB327" i="5"/>
  <c r="CT327" i="5" s="1"/>
  <c r="T327" i="5"/>
  <c r="CS327" i="5" s="1"/>
  <c r="M327" i="5"/>
  <c r="CR327" i="5" s="1"/>
  <c r="AB293" i="5"/>
  <c r="CT293" i="5" s="1"/>
  <c r="T293" i="5"/>
  <c r="CS293" i="5" s="1"/>
  <c r="M293" i="5"/>
  <c r="CR293" i="5" s="1"/>
  <c r="AB339" i="5"/>
  <c r="CT339" i="5" s="1"/>
  <c r="T339" i="5"/>
  <c r="CS339" i="5" s="1"/>
  <c r="M339" i="5"/>
  <c r="CR339" i="5" s="1"/>
  <c r="AB749" i="5"/>
  <c r="CT749" i="5" s="1"/>
  <c r="T749" i="5"/>
  <c r="CS749" i="5" s="1"/>
  <c r="M749" i="5"/>
  <c r="CR749" i="5" s="1"/>
  <c r="AB273" i="5"/>
  <c r="CT273" i="5" s="1"/>
  <c r="T273" i="5"/>
  <c r="CS273" i="5" s="1"/>
  <c r="M273" i="5"/>
  <c r="CR273" i="5" s="1"/>
  <c r="AB324" i="5"/>
  <c r="CT324" i="5" s="1"/>
  <c r="T324" i="5"/>
  <c r="CS324" i="5" s="1"/>
  <c r="M324" i="5"/>
  <c r="CR324" i="5" s="1"/>
  <c r="AB407" i="5"/>
  <c r="CT407" i="5" s="1"/>
  <c r="T407" i="5"/>
  <c r="CS407" i="5" s="1"/>
  <c r="M407" i="5"/>
  <c r="CR407" i="5" s="1"/>
  <c r="AB306" i="5"/>
  <c r="CT306" i="5" s="1"/>
  <c r="T306" i="5"/>
  <c r="CS306" i="5" s="1"/>
  <c r="M306" i="5"/>
  <c r="CR306" i="5" s="1"/>
  <c r="AB348" i="5"/>
  <c r="CT348" i="5" s="1"/>
  <c r="T348" i="5"/>
  <c r="CS348" i="5" s="1"/>
  <c r="M348" i="5"/>
  <c r="CR348" i="5" s="1"/>
  <c r="AB360" i="5"/>
  <c r="CT360" i="5" s="1"/>
  <c r="T360" i="5"/>
  <c r="CS360" i="5" s="1"/>
  <c r="M360" i="5"/>
  <c r="CR360" i="5" s="1"/>
  <c r="AB317" i="5"/>
  <c r="CT317" i="5" s="1"/>
  <c r="T317" i="5"/>
  <c r="CS317" i="5" s="1"/>
  <c r="M317" i="5"/>
  <c r="CR317" i="5" s="1"/>
  <c r="AB314" i="5"/>
  <c r="CT314" i="5" s="1"/>
  <c r="T314" i="5"/>
  <c r="CS314" i="5" s="1"/>
  <c r="M314" i="5"/>
  <c r="CR314" i="5" s="1"/>
  <c r="AB333" i="5"/>
  <c r="CT333" i="5" s="1"/>
  <c r="T333" i="5"/>
  <c r="CS333" i="5" s="1"/>
  <c r="M333" i="5"/>
  <c r="CR333" i="5" s="1"/>
  <c r="AB315" i="5"/>
  <c r="CT315" i="5" s="1"/>
  <c r="T315" i="5"/>
  <c r="CS315" i="5" s="1"/>
  <c r="M315" i="5"/>
  <c r="CR315" i="5" s="1"/>
  <c r="AB299" i="5"/>
  <c r="CT299" i="5" s="1"/>
  <c r="T299" i="5"/>
  <c r="CS299" i="5" s="1"/>
  <c r="M299" i="5"/>
  <c r="CR299" i="5" s="1"/>
  <c r="AB310" i="5"/>
  <c r="CT310" i="5" s="1"/>
  <c r="T310" i="5"/>
  <c r="CS310" i="5" s="1"/>
  <c r="M310" i="5"/>
  <c r="CR310" i="5" s="1"/>
  <c r="AB318" i="5"/>
  <c r="CT318" i="5" s="1"/>
  <c r="T318" i="5"/>
  <c r="CS318" i="5" s="1"/>
  <c r="M318" i="5"/>
  <c r="CR318" i="5" s="1"/>
  <c r="AB302" i="5"/>
  <c r="CT302" i="5" s="1"/>
  <c r="T302" i="5"/>
  <c r="CS302" i="5" s="1"/>
  <c r="M302" i="5"/>
  <c r="CR302" i="5" s="1"/>
  <c r="AB313" i="5"/>
  <c r="CT313" i="5" s="1"/>
  <c r="T313" i="5"/>
  <c r="CS313" i="5" s="1"/>
  <c r="M313" i="5"/>
  <c r="CR313" i="5" s="1"/>
  <c r="AB305" i="5"/>
  <c r="CT305" i="5" s="1"/>
  <c r="T305" i="5"/>
  <c r="CS305" i="5" s="1"/>
  <c r="M305" i="5"/>
  <c r="CR305" i="5" s="1"/>
  <c r="AB303" i="5"/>
  <c r="CT303" i="5" s="1"/>
  <c r="T303" i="5"/>
  <c r="CS303" i="5" s="1"/>
  <c r="M303" i="5"/>
  <c r="CR303" i="5" s="1"/>
  <c r="AB287" i="5"/>
  <c r="CT287" i="5" s="1"/>
  <c r="T287" i="5"/>
  <c r="CS287" i="5" s="1"/>
  <c r="M287" i="5"/>
  <c r="CR287" i="5" s="1"/>
  <c r="AB372" i="5"/>
  <c r="CT372" i="5" s="1"/>
  <c r="T372" i="5"/>
  <c r="CS372" i="5" s="1"/>
  <c r="M372" i="5"/>
  <c r="CR372" i="5" s="1"/>
  <c r="AB301" i="5"/>
  <c r="CT301" i="5" s="1"/>
  <c r="T301" i="5"/>
  <c r="CS301" i="5" s="1"/>
  <c r="M301" i="5"/>
  <c r="CR301" i="5" s="1"/>
  <c r="AB298" i="5"/>
  <c r="CT298" i="5" s="1"/>
  <c r="T298" i="5"/>
  <c r="CS298" i="5" s="1"/>
  <c r="M298" i="5"/>
  <c r="CR298" i="5" s="1"/>
  <c r="AB436" i="5"/>
  <c r="CT436" i="5" s="1"/>
  <c r="T436" i="5"/>
  <c r="CS436" i="5" s="1"/>
  <c r="M436" i="5"/>
  <c r="CR436" i="5" s="1"/>
  <c r="AB308" i="5"/>
  <c r="CT308" i="5" s="1"/>
  <c r="T308" i="5"/>
  <c r="CS308" i="5" s="1"/>
  <c r="M308" i="5"/>
  <c r="CR308" i="5" s="1"/>
  <c r="AB297" i="5"/>
  <c r="CT297" i="5" s="1"/>
  <c r="T297" i="5"/>
  <c r="CS297" i="5" s="1"/>
  <c r="M297" i="5"/>
  <c r="CR297" i="5" s="1"/>
  <c r="AB282" i="5"/>
  <c r="CT282" i="5" s="1"/>
  <c r="T282" i="5"/>
  <c r="CS282" i="5" s="1"/>
  <c r="M282" i="5"/>
  <c r="CR282" i="5" s="1"/>
  <c r="AB367" i="5"/>
  <c r="CT367" i="5" s="1"/>
  <c r="T367" i="5"/>
  <c r="CS367" i="5" s="1"/>
  <c r="M367" i="5"/>
  <c r="CR367" i="5" s="1"/>
  <c r="AB294" i="5"/>
  <c r="CT294" i="5" s="1"/>
  <c r="T294" i="5"/>
  <c r="CS294" i="5" s="1"/>
  <c r="M294" i="5"/>
  <c r="CR294" i="5" s="1"/>
  <c r="AB292" i="5"/>
  <c r="CT292" i="5" s="1"/>
  <c r="T292" i="5"/>
  <c r="CS292" i="5" s="1"/>
  <c r="M292" i="5"/>
  <c r="CR292" i="5" s="1"/>
  <c r="AB280" i="5"/>
  <c r="CT280" i="5" s="1"/>
  <c r="T280" i="5"/>
  <c r="CS280" i="5" s="1"/>
  <c r="M280" i="5"/>
  <c r="CR280" i="5" s="1"/>
  <c r="AB316" i="5"/>
  <c r="CT316" i="5" s="1"/>
  <c r="T316" i="5"/>
  <c r="CS316" i="5" s="1"/>
  <c r="M316" i="5"/>
  <c r="CR316" i="5" s="1"/>
  <c r="AB291" i="5"/>
  <c r="CT291" i="5" s="1"/>
  <c r="T291" i="5"/>
  <c r="CS291" i="5" s="1"/>
  <c r="M291" i="5"/>
  <c r="CR291" i="5" s="1"/>
  <c r="AB288" i="5"/>
  <c r="CT288" i="5" s="1"/>
  <c r="T288" i="5"/>
  <c r="CS288" i="5" s="1"/>
  <c r="M288" i="5"/>
  <c r="CR288" i="5" s="1"/>
  <c r="AB271" i="5"/>
  <c r="CT271" i="5" s="1"/>
  <c r="T271" i="5"/>
  <c r="CS271" i="5" s="1"/>
  <c r="M271" i="5"/>
  <c r="CR271" i="5" s="1"/>
  <c r="AB370" i="5"/>
  <c r="CT370" i="5" s="1"/>
  <c r="T370" i="5"/>
  <c r="CS370" i="5" s="1"/>
  <c r="M370" i="5"/>
  <c r="CR370" i="5" s="1"/>
  <c r="AB337" i="5"/>
  <c r="CT337" i="5" s="1"/>
  <c r="T337" i="5"/>
  <c r="CS337" i="5" s="1"/>
  <c r="M337" i="5"/>
  <c r="CR337" i="5" s="1"/>
  <c r="AB304" i="5"/>
  <c r="CT304" i="5" s="1"/>
  <c r="T304" i="5"/>
  <c r="CS304" i="5" s="1"/>
  <c r="M304" i="5"/>
  <c r="CR304" i="5" s="1"/>
  <c r="AB262" i="5"/>
  <c r="CT262" i="5" s="1"/>
  <c r="T262" i="5"/>
  <c r="CS262" i="5" s="1"/>
  <c r="M262" i="5"/>
  <c r="CR262" i="5" s="1"/>
  <c r="AB286" i="5"/>
  <c r="CT286" i="5" s="1"/>
  <c r="T286" i="5"/>
  <c r="CS286" i="5" s="1"/>
  <c r="M286" i="5"/>
  <c r="CR286" i="5" s="1"/>
  <c r="AB285" i="5"/>
  <c r="CT285" i="5" s="1"/>
  <c r="T285" i="5"/>
  <c r="CS285" i="5" s="1"/>
  <c r="M285" i="5"/>
  <c r="CR285" i="5" s="1"/>
  <c r="AB311" i="5"/>
  <c r="CT311" i="5" s="1"/>
  <c r="T311" i="5"/>
  <c r="CS311" i="5" s="1"/>
  <c r="M311" i="5"/>
  <c r="CR311" i="5" s="1"/>
  <c r="AB276" i="5"/>
  <c r="CT276" i="5" s="1"/>
  <c r="T276" i="5"/>
  <c r="CS276" i="5" s="1"/>
  <c r="M276" i="5"/>
  <c r="CR276" i="5" s="1"/>
  <c r="AB323" i="5"/>
  <c r="CT323" i="5" s="1"/>
  <c r="T323" i="5"/>
  <c r="CS323" i="5" s="1"/>
  <c r="M323" i="5"/>
  <c r="CR323" i="5" s="1"/>
  <c r="AB275" i="5"/>
  <c r="CT275" i="5" s="1"/>
  <c r="T275" i="5"/>
  <c r="CS275" i="5" s="1"/>
  <c r="M275" i="5"/>
  <c r="CR275" i="5" s="1"/>
  <c r="AB245" i="5"/>
  <c r="CT245" i="5" s="1"/>
  <c r="T245" i="5"/>
  <c r="CS245" i="5" s="1"/>
  <c r="M245" i="5"/>
  <c r="CR245" i="5" s="1"/>
  <c r="AB268" i="5"/>
  <c r="CT268" i="5" s="1"/>
  <c r="T268" i="5"/>
  <c r="CS268" i="5" s="1"/>
  <c r="M268" i="5"/>
  <c r="CR268" i="5" s="1"/>
  <c r="AB272" i="5"/>
  <c r="CT272" i="5" s="1"/>
  <c r="T272" i="5"/>
  <c r="CS272" i="5" s="1"/>
  <c r="M272" i="5"/>
  <c r="CR272" i="5" s="1"/>
  <c r="AB406" i="5"/>
  <c r="CT406" i="5" s="1"/>
  <c r="T406" i="5"/>
  <c r="CS406" i="5" s="1"/>
  <c r="M406" i="5"/>
  <c r="CR406" i="5" s="1"/>
  <c r="AB338" i="5"/>
  <c r="CT338" i="5" s="1"/>
  <c r="T338" i="5"/>
  <c r="CS338" i="5" s="1"/>
  <c r="M338" i="5"/>
  <c r="CR338" i="5" s="1"/>
  <c r="AB266" i="5"/>
  <c r="CT266" i="5" s="1"/>
  <c r="T266" i="5"/>
  <c r="CS266" i="5" s="1"/>
  <c r="M266" i="5"/>
  <c r="CR266" i="5" s="1"/>
  <c r="AB672" i="5"/>
  <c r="CT672" i="5" s="1"/>
  <c r="T672" i="5"/>
  <c r="CS672" i="5" s="1"/>
  <c r="M672" i="5"/>
  <c r="CR672" i="5" s="1"/>
  <c r="AB270" i="5"/>
  <c r="CT270" i="5" s="1"/>
  <c r="T270" i="5"/>
  <c r="CS270" i="5" s="1"/>
  <c r="M270" i="5"/>
  <c r="CR270" i="5" s="1"/>
  <c r="AB307" i="5"/>
  <c r="CT307" i="5" s="1"/>
  <c r="T307" i="5"/>
  <c r="CS307" i="5" s="1"/>
  <c r="M307" i="5"/>
  <c r="CR307" i="5" s="1"/>
  <c r="AB264" i="5"/>
  <c r="CT264" i="5" s="1"/>
  <c r="T264" i="5"/>
  <c r="CS264" i="5" s="1"/>
  <c r="M264" i="5"/>
  <c r="CR264" i="5" s="1"/>
  <c r="AB244" i="5"/>
  <c r="CT244" i="5" s="1"/>
  <c r="T244" i="5"/>
  <c r="CS244" i="5" s="1"/>
  <c r="M244" i="5"/>
  <c r="CR244" i="5" s="1"/>
  <c r="AB263" i="5"/>
  <c r="CT263" i="5" s="1"/>
  <c r="T263" i="5"/>
  <c r="CS263" i="5" s="1"/>
  <c r="M263" i="5"/>
  <c r="CR263" i="5" s="1"/>
  <c r="AB202" i="5"/>
  <c r="CT202" i="5" s="1"/>
  <c r="T202" i="5"/>
  <c r="CS202" i="5" s="1"/>
  <c r="M202" i="5"/>
  <c r="CR202" i="5" s="1"/>
  <c r="AB259" i="5"/>
  <c r="CT259" i="5" s="1"/>
  <c r="T259" i="5"/>
  <c r="CS259" i="5" s="1"/>
  <c r="M259" i="5"/>
  <c r="CR259" i="5" s="1"/>
  <c r="AB258" i="5"/>
  <c r="CT258" i="5" s="1"/>
  <c r="T258" i="5"/>
  <c r="CS258" i="5" s="1"/>
  <c r="M258" i="5"/>
  <c r="CR258" i="5" s="1"/>
  <c r="AB250" i="5"/>
  <c r="CT250" i="5" s="1"/>
  <c r="T250" i="5"/>
  <c r="CS250" i="5" s="1"/>
  <c r="M250" i="5"/>
  <c r="CR250" i="5" s="1"/>
  <c r="AB256" i="5"/>
  <c r="CT256" i="5" s="1"/>
  <c r="T256" i="5"/>
  <c r="CS256" i="5" s="1"/>
  <c r="M256" i="5"/>
  <c r="CR256" i="5" s="1"/>
  <c r="AB261" i="5"/>
  <c r="CT261" i="5" s="1"/>
  <c r="T261" i="5"/>
  <c r="CS261" i="5" s="1"/>
  <c r="M261" i="5"/>
  <c r="CR261" i="5" s="1"/>
  <c r="AB253" i="5"/>
  <c r="CT253" i="5" s="1"/>
  <c r="T253" i="5"/>
  <c r="CS253" i="5" s="1"/>
  <c r="M253" i="5"/>
  <c r="CR253" i="5" s="1"/>
  <c r="AB255" i="5"/>
  <c r="CT255" i="5" s="1"/>
  <c r="T255" i="5"/>
  <c r="CS255" i="5" s="1"/>
  <c r="M255" i="5"/>
  <c r="CR255" i="5" s="1"/>
  <c r="AB252" i="5"/>
  <c r="CT252" i="5" s="1"/>
  <c r="T252" i="5"/>
  <c r="CS252" i="5" s="1"/>
  <c r="M252" i="5"/>
  <c r="CR252" i="5" s="1"/>
  <c r="AB274" i="5"/>
  <c r="CT274" i="5" s="1"/>
  <c r="T274" i="5"/>
  <c r="CS274" i="5" s="1"/>
  <c r="M274" i="5"/>
  <c r="CR274" i="5" s="1"/>
  <c r="AB265" i="5"/>
  <c r="CT265" i="5" s="1"/>
  <c r="T265" i="5"/>
  <c r="CS265" i="5" s="1"/>
  <c r="M265" i="5"/>
  <c r="CR265" i="5" s="1"/>
  <c r="AB239" i="5"/>
  <c r="CT239" i="5" s="1"/>
  <c r="T239" i="5"/>
  <c r="CS239" i="5" s="1"/>
  <c r="M239" i="5"/>
  <c r="CR239" i="5" s="1"/>
  <c r="AB251" i="5"/>
  <c r="CT251" i="5" s="1"/>
  <c r="T251" i="5"/>
  <c r="CS251" i="5" s="1"/>
  <c r="M251" i="5"/>
  <c r="CR251" i="5" s="1"/>
  <c r="AB248" i="5"/>
  <c r="CT248" i="5" s="1"/>
  <c r="T248" i="5"/>
  <c r="CS248" i="5" s="1"/>
  <c r="M248" i="5"/>
  <c r="CR248" i="5" s="1"/>
  <c r="AB193" i="5"/>
  <c r="CT193" i="5" s="1"/>
  <c r="T193" i="5"/>
  <c r="CS193" i="5" s="1"/>
  <c r="M193" i="5"/>
  <c r="CR193" i="5" s="1"/>
  <c r="AB224" i="5"/>
  <c r="CT224" i="5" s="1"/>
  <c r="T224" i="5"/>
  <c r="CS224" i="5" s="1"/>
  <c r="M224" i="5"/>
  <c r="CR224" i="5" s="1"/>
  <c r="AB243" i="5"/>
  <c r="CT243" i="5" s="1"/>
  <c r="T243" i="5"/>
  <c r="CS243" i="5" s="1"/>
  <c r="M243" i="5"/>
  <c r="CR243" i="5" s="1"/>
  <c r="AB242" i="5"/>
  <c r="CT242" i="5" s="1"/>
  <c r="T242" i="5"/>
  <c r="CS242" i="5" s="1"/>
  <c r="M242" i="5"/>
  <c r="CR242" i="5" s="1"/>
  <c r="AB247" i="5"/>
  <c r="CT247" i="5" s="1"/>
  <c r="T247" i="5"/>
  <c r="CS247" i="5" s="1"/>
  <c r="M247" i="5"/>
  <c r="CR247" i="5" s="1"/>
  <c r="AB208" i="5"/>
  <c r="CT208" i="5" s="1"/>
  <c r="T208" i="5"/>
  <c r="CS208" i="5" s="1"/>
  <c r="M208" i="5"/>
  <c r="CR208" i="5" s="1"/>
  <c r="AB229" i="5"/>
  <c r="CT229" i="5" s="1"/>
  <c r="T229" i="5"/>
  <c r="CS229" i="5" s="1"/>
  <c r="M229" i="5"/>
  <c r="CR229" i="5" s="1"/>
  <c r="AB241" i="5"/>
  <c r="CT241" i="5" s="1"/>
  <c r="T241" i="5"/>
  <c r="CS241" i="5" s="1"/>
  <c r="M241" i="5"/>
  <c r="CR241" i="5" s="1"/>
  <c r="AB269" i="5"/>
  <c r="CT269" i="5" s="1"/>
  <c r="T269" i="5"/>
  <c r="CS269" i="5" s="1"/>
  <c r="M269" i="5"/>
  <c r="CR269" i="5" s="1"/>
  <c r="AB295" i="5"/>
  <c r="CT295" i="5" s="1"/>
  <c r="T295" i="5"/>
  <c r="CS295" i="5" s="1"/>
  <c r="M295" i="5"/>
  <c r="CR295" i="5" s="1"/>
  <c r="AB189" i="5"/>
  <c r="CT189" i="5" s="1"/>
  <c r="T189" i="5"/>
  <c r="CS189" i="5" s="1"/>
  <c r="M189" i="5"/>
  <c r="CR189" i="5" s="1"/>
  <c r="AB283" i="5"/>
  <c r="CT283" i="5" s="1"/>
  <c r="T283" i="5"/>
  <c r="CS283" i="5" s="1"/>
  <c r="M283" i="5"/>
  <c r="CR283" i="5" s="1"/>
  <c r="AB232" i="5"/>
  <c r="CT232" i="5" s="1"/>
  <c r="T232" i="5"/>
  <c r="CS232" i="5" s="1"/>
  <c r="M232" i="5"/>
  <c r="CR232" i="5" s="1"/>
  <c r="AB228" i="5"/>
  <c r="CT228" i="5" s="1"/>
  <c r="T228" i="5"/>
  <c r="CS228" i="5" s="1"/>
  <c r="M228" i="5"/>
  <c r="CR228" i="5" s="1"/>
  <c r="AB227" i="5"/>
  <c r="CT227" i="5" s="1"/>
  <c r="T227" i="5"/>
  <c r="CS227" i="5" s="1"/>
  <c r="M227" i="5"/>
  <c r="CR227" i="5" s="1"/>
  <c r="AB164" i="5"/>
  <c r="CT164" i="5" s="1"/>
  <c r="T164" i="5"/>
  <c r="CS164" i="5" s="1"/>
  <c r="M164" i="5"/>
  <c r="CR164" i="5" s="1"/>
  <c r="AB260" i="5"/>
  <c r="CT260" i="5" s="1"/>
  <c r="T260" i="5"/>
  <c r="CS260" i="5" s="1"/>
  <c r="M260" i="5"/>
  <c r="CR260" i="5" s="1"/>
  <c r="AB233" i="5"/>
  <c r="CT233" i="5" s="1"/>
  <c r="T233" i="5"/>
  <c r="CS233" i="5" s="1"/>
  <c r="M233" i="5"/>
  <c r="CR233" i="5" s="1"/>
  <c r="AB267" i="5"/>
  <c r="CT267" i="5" s="1"/>
  <c r="T267" i="5"/>
  <c r="CS267" i="5" s="1"/>
  <c r="M267" i="5"/>
  <c r="CR267" i="5" s="1"/>
  <c r="AB235" i="5"/>
  <c r="CT235" i="5" s="1"/>
  <c r="T235" i="5"/>
  <c r="CS235" i="5" s="1"/>
  <c r="M235" i="5"/>
  <c r="CR235" i="5" s="1"/>
  <c r="AB226" i="5"/>
  <c r="CT226" i="5" s="1"/>
  <c r="T226" i="5"/>
  <c r="CS226" i="5" s="1"/>
  <c r="M226" i="5"/>
  <c r="CR226" i="5" s="1"/>
  <c r="AB257" i="5"/>
  <c r="CT257" i="5" s="1"/>
  <c r="T257" i="5"/>
  <c r="CS257" i="5" s="1"/>
  <c r="M257" i="5"/>
  <c r="CR257" i="5" s="1"/>
  <c r="AB218" i="5"/>
  <c r="CT218" i="5" s="1"/>
  <c r="T218" i="5"/>
  <c r="CS218" i="5" s="1"/>
  <c r="M218" i="5"/>
  <c r="CR218" i="5" s="1"/>
  <c r="AB234" i="5"/>
  <c r="CT234" i="5" s="1"/>
  <c r="T234" i="5"/>
  <c r="CS234" i="5" s="1"/>
  <c r="M234" i="5"/>
  <c r="CR234" i="5" s="1"/>
  <c r="AB212" i="5"/>
  <c r="CT212" i="5" s="1"/>
  <c r="T212" i="5"/>
  <c r="CS212" i="5" s="1"/>
  <c r="M212" i="5"/>
  <c r="CR212" i="5" s="1"/>
  <c r="AB219" i="5"/>
  <c r="CT219" i="5" s="1"/>
  <c r="T219" i="5"/>
  <c r="CS219" i="5" s="1"/>
  <c r="M219" i="5"/>
  <c r="CR219" i="5" s="1"/>
  <c r="AB230" i="5"/>
  <c r="CT230" i="5" s="1"/>
  <c r="T230" i="5"/>
  <c r="CS230" i="5" s="1"/>
  <c r="M230" i="5"/>
  <c r="CR230" i="5" s="1"/>
  <c r="AB215" i="5"/>
  <c r="CT215" i="5" s="1"/>
  <c r="T215" i="5"/>
  <c r="CS215" i="5" s="1"/>
  <c r="M215" i="5"/>
  <c r="CR215" i="5" s="1"/>
  <c r="AB238" i="5"/>
  <c r="CT238" i="5" s="1"/>
  <c r="T238" i="5"/>
  <c r="CS238" i="5" s="1"/>
  <c r="M238" i="5"/>
  <c r="CR238" i="5" s="1"/>
  <c r="AB222" i="5"/>
  <c r="CT222" i="5" s="1"/>
  <c r="T222" i="5"/>
  <c r="CS222" i="5" s="1"/>
  <c r="M222" i="5"/>
  <c r="CR222" i="5" s="1"/>
  <c r="AB211" i="5"/>
  <c r="CT211" i="5" s="1"/>
  <c r="T211" i="5"/>
  <c r="CS211" i="5" s="1"/>
  <c r="M211" i="5"/>
  <c r="CR211" i="5" s="1"/>
  <c r="AB179" i="5"/>
  <c r="CT179" i="5" s="1"/>
  <c r="T179" i="5"/>
  <c r="CS179" i="5" s="1"/>
  <c r="M179" i="5"/>
  <c r="CR179" i="5" s="1"/>
  <c r="AB204" i="5"/>
  <c r="CT204" i="5" s="1"/>
  <c r="T204" i="5"/>
  <c r="CS204" i="5" s="1"/>
  <c r="M204" i="5"/>
  <c r="CR204" i="5" s="1"/>
  <c r="AB214" i="5"/>
  <c r="CT214" i="5" s="1"/>
  <c r="T214" i="5"/>
  <c r="CS214" i="5" s="1"/>
  <c r="M214" i="5"/>
  <c r="CR214" i="5" s="1"/>
  <c r="AB225" i="5"/>
  <c r="CT225" i="5" s="1"/>
  <c r="T225" i="5"/>
  <c r="CS225" i="5" s="1"/>
  <c r="M225" i="5"/>
  <c r="CR225" i="5" s="1"/>
  <c r="AB213" i="5"/>
  <c r="CT213" i="5" s="1"/>
  <c r="T213" i="5"/>
  <c r="CS213" i="5" s="1"/>
  <c r="M213" i="5"/>
  <c r="CR213" i="5" s="1"/>
  <c r="AB159" i="5"/>
  <c r="CT159" i="5" s="1"/>
  <c r="T159" i="5"/>
  <c r="CS159" i="5" s="1"/>
  <c r="M159" i="5"/>
  <c r="CR159" i="5" s="1"/>
  <c r="AB205" i="5"/>
  <c r="CT205" i="5" s="1"/>
  <c r="T205" i="5"/>
  <c r="CS205" i="5" s="1"/>
  <c r="M205" i="5"/>
  <c r="CR205" i="5" s="1"/>
  <c r="AB169" i="5"/>
  <c r="CT169" i="5" s="1"/>
  <c r="T169" i="5"/>
  <c r="CS169" i="5" s="1"/>
  <c r="M169" i="5"/>
  <c r="CR169" i="5" s="1"/>
  <c r="AB203" i="5"/>
  <c r="CT203" i="5" s="1"/>
  <c r="T203" i="5"/>
  <c r="CS203" i="5" s="1"/>
  <c r="M203" i="5"/>
  <c r="CR203" i="5" s="1"/>
  <c r="AB167" i="5"/>
  <c r="CT167" i="5" s="1"/>
  <c r="T167" i="5"/>
  <c r="CS167" i="5" s="1"/>
  <c r="M167" i="5"/>
  <c r="CR167" i="5" s="1"/>
  <c r="AB188" i="5"/>
  <c r="CT188" i="5" s="1"/>
  <c r="T188" i="5"/>
  <c r="CS188" i="5" s="1"/>
  <c r="M188" i="5"/>
  <c r="CR188" i="5" s="1"/>
  <c r="AB198" i="5"/>
  <c r="CT198" i="5" s="1"/>
  <c r="T198" i="5"/>
  <c r="CS198" i="5" s="1"/>
  <c r="M198" i="5"/>
  <c r="CR198" i="5" s="1"/>
  <c r="AB187" i="5"/>
  <c r="CT187" i="5" s="1"/>
  <c r="T187" i="5"/>
  <c r="CS187" i="5" s="1"/>
  <c r="M187" i="5"/>
  <c r="CR187" i="5" s="1"/>
  <c r="AB195" i="5"/>
  <c r="CT195" i="5" s="1"/>
  <c r="T195" i="5"/>
  <c r="CS195" i="5" s="1"/>
  <c r="M195" i="5"/>
  <c r="CR195" i="5" s="1"/>
  <c r="AB201" i="5"/>
  <c r="CT201" i="5" s="1"/>
  <c r="T201" i="5"/>
  <c r="CS201" i="5" s="1"/>
  <c r="M201" i="5"/>
  <c r="CR201" i="5" s="1"/>
  <c r="AB223" i="5"/>
  <c r="CT223" i="5" s="1"/>
  <c r="T223" i="5"/>
  <c r="CS223" i="5" s="1"/>
  <c r="M223" i="5"/>
  <c r="CR223" i="5" s="1"/>
  <c r="AB176" i="5"/>
  <c r="CT176" i="5" s="1"/>
  <c r="T176" i="5"/>
  <c r="CS176" i="5" s="1"/>
  <c r="M176" i="5"/>
  <c r="CR176" i="5" s="1"/>
  <c r="AB197" i="5"/>
  <c r="CT197" i="5" s="1"/>
  <c r="T197" i="5"/>
  <c r="CS197" i="5" s="1"/>
  <c r="M197" i="5"/>
  <c r="CR197" i="5" s="1"/>
  <c r="AB185" i="5"/>
  <c r="CT185" i="5" s="1"/>
  <c r="T185" i="5"/>
  <c r="CS185" i="5" s="1"/>
  <c r="M185" i="5"/>
  <c r="CR185" i="5" s="1"/>
  <c r="AB108" i="5"/>
  <c r="CT108" i="5" s="1"/>
  <c r="T108" i="5"/>
  <c r="CS108" i="5" s="1"/>
  <c r="M108" i="5"/>
  <c r="CR108" i="5" s="1"/>
  <c r="AB129" i="5"/>
  <c r="CT129" i="5" s="1"/>
  <c r="T129" i="5"/>
  <c r="CS129" i="5" s="1"/>
  <c r="M129" i="5"/>
  <c r="CR129" i="5" s="1"/>
  <c r="AB206" i="5"/>
  <c r="CT206" i="5" s="1"/>
  <c r="T206" i="5"/>
  <c r="CS206" i="5" s="1"/>
  <c r="M206" i="5"/>
  <c r="CR206" i="5" s="1"/>
  <c r="AB237" i="5"/>
  <c r="CT237" i="5" s="1"/>
  <c r="T237" i="5"/>
  <c r="CS237" i="5" s="1"/>
  <c r="M237" i="5"/>
  <c r="CR237" i="5" s="1"/>
  <c r="AB192" i="5"/>
  <c r="CT192" i="5" s="1"/>
  <c r="T192" i="5"/>
  <c r="CS192" i="5" s="1"/>
  <c r="M192" i="5"/>
  <c r="CR192" i="5" s="1"/>
  <c r="AB216" i="5"/>
  <c r="CT216" i="5" s="1"/>
  <c r="T216" i="5"/>
  <c r="CS216" i="5" s="1"/>
  <c r="M216" i="5"/>
  <c r="CR216" i="5" s="1"/>
  <c r="AB177" i="5"/>
  <c r="CT177" i="5" s="1"/>
  <c r="T177" i="5"/>
  <c r="CS177" i="5" s="1"/>
  <c r="M177" i="5"/>
  <c r="CR177" i="5" s="1"/>
  <c r="AB171" i="5"/>
  <c r="CT171" i="5" s="1"/>
  <c r="T171" i="5"/>
  <c r="CS171" i="5" s="1"/>
  <c r="M171" i="5"/>
  <c r="CR171" i="5" s="1"/>
  <c r="AB190" i="5"/>
  <c r="CT190" i="5" s="1"/>
  <c r="T190" i="5"/>
  <c r="CS190" i="5" s="1"/>
  <c r="M190" i="5"/>
  <c r="CR190" i="5" s="1"/>
  <c r="AB387" i="5"/>
  <c r="CT387" i="5" s="1"/>
  <c r="T387" i="5"/>
  <c r="CS387" i="5" s="1"/>
  <c r="M387" i="5"/>
  <c r="CR387" i="5" s="1"/>
  <c r="AB246" i="5"/>
  <c r="CT246" i="5" s="1"/>
  <c r="T246" i="5"/>
  <c r="CS246" i="5" s="1"/>
  <c r="M246" i="5"/>
  <c r="CR246" i="5" s="1"/>
  <c r="AB196" i="5"/>
  <c r="CT196" i="5" s="1"/>
  <c r="T196" i="5"/>
  <c r="CS196" i="5" s="1"/>
  <c r="M196" i="5"/>
  <c r="CR196" i="5" s="1"/>
  <c r="AB194" i="5"/>
  <c r="CT194" i="5" s="1"/>
  <c r="T194" i="5"/>
  <c r="CS194" i="5" s="1"/>
  <c r="M194" i="5"/>
  <c r="CR194" i="5" s="1"/>
  <c r="AB186" i="5"/>
  <c r="CT186" i="5" s="1"/>
  <c r="T186" i="5"/>
  <c r="CS186" i="5" s="1"/>
  <c r="M186" i="5"/>
  <c r="CR186" i="5" s="1"/>
  <c r="AB91" i="5"/>
  <c r="CT91" i="5" s="1"/>
  <c r="T91" i="5"/>
  <c r="CS91" i="5" s="1"/>
  <c r="M91" i="5"/>
  <c r="CR91" i="5" s="1"/>
  <c r="AB166" i="5"/>
  <c r="CT166" i="5" s="1"/>
  <c r="T166" i="5"/>
  <c r="CS166" i="5" s="1"/>
  <c r="M166" i="5"/>
  <c r="CR166" i="5" s="1"/>
  <c r="AB180" i="5"/>
  <c r="CT180" i="5" s="1"/>
  <c r="T180" i="5"/>
  <c r="CS180" i="5" s="1"/>
  <c r="M180" i="5"/>
  <c r="CR180" i="5" s="1"/>
  <c r="AB153" i="5"/>
  <c r="CT153" i="5" s="1"/>
  <c r="T153" i="5"/>
  <c r="CS153" i="5" s="1"/>
  <c r="M153" i="5"/>
  <c r="CR153" i="5" s="1"/>
  <c r="AB183" i="5"/>
  <c r="CT183" i="5" s="1"/>
  <c r="T183" i="5"/>
  <c r="CS183" i="5" s="1"/>
  <c r="M183" i="5"/>
  <c r="CR183" i="5" s="1"/>
  <c r="AB175" i="5"/>
  <c r="CT175" i="5" s="1"/>
  <c r="T175" i="5"/>
  <c r="CS175" i="5" s="1"/>
  <c r="M175" i="5"/>
  <c r="CR175" i="5" s="1"/>
  <c r="AB145" i="5"/>
  <c r="CT145" i="5" s="1"/>
  <c r="T145" i="5"/>
  <c r="CS145" i="5" s="1"/>
  <c r="M145" i="5"/>
  <c r="CR145" i="5" s="1"/>
  <c r="AB249" i="5"/>
  <c r="CT249" i="5" s="1"/>
  <c r="T249" i="5"/>
  <c r="CS249" i="5" s="1"/>
  <c r="M249" i="5"/>
  <c r="CR249" i="5" s="1"/>
  <c r="AB181" i="5"/>
  <c r="CT181" i="5" s="1"/>
  <c r="T181" i="5"/>
  <c r="CS181" i="5" s="1"/>
  <c r="M181" i="5"/>
  <c r="CR181" i="5" s="1"/>
  <c r="AB165" i="5"/>
  <c r="CT165" i="5" s="1"/>
  <c r="T165" i="5"/>
  <c r="CS165" i="5" s="1"/>
  <c r="M165" i="5"/>
  <c r="CR165" i="5" s="1"/>
  <c r="AB152" i="5"/>
  <c r="CT152" i="5" s="1"/>
  <c r="T152" i="5"/>
  <c r="CS152" i="5" s="1"/>
  <c r="M152" i="5"/>
  <c r="CR152" i="5" s="1"/>
  <c r="AB209" i="5"/>
  <c r="CT209" i="5" s="1"/>
  <c r="T209" i="5"/>
  <c r="CS209" i="5" s="1"/>
  <c r="M209" i="5"/>
  <c r="CR209" i="5" s="1"/>
  <c r="AB146" i="5"/>
  <c r="CT146" i="5" s="1"/>
  <c r="T146" i="5"/>
  <c r="CS146" i="5" s="1"/>
  <c r="M146" i="5"/>
  <c r="CR146" i="5" s="1"/>
  <c r="AB162" i="5"/>
  <c r="CT162" i="5" s="1"/>
  <c r="T162" i="5"/>
  <c r="CS162" i="5" s="1"/>
  <c r="M162" i="5"/>
  <c r="CR162" i="5" s="1"/>
  <c r="AB163" i="5"/>
  <c r="CT163" i="5" s="1"/>
  <c r="T163" i="5"/>
  <c r="CS163" i="5" s="1"/>
  <c r="M163" i="5"/>
  <c r="CR163" i="5" s="1"/>
  <c r="AB168" i="5"/>
  <c r="CT168" i="5" s="1"/>
  <c r="T168" i="5"/>
  <c r="CS168" i="5" s="1"/>
  <c r="M168" i="5"/>
  <c r="CR168" i="5" s="1"/>
  <c r="AB121" i="5"/>
  <c r="CT121" i="5" s="1"/>
  <c r="T121" i="5"/>
  <c r="CS121" i="5" s="1"/>
  <c r="M121" i="5"/>
  <c r="CR121" i="5" s="1"/>
  <c r="AB184" i="5"/>
  <c r="CT184" i="5" s="1"/>
  <c r="T184" i="5"/>
  <c r="CS184" i="5" s="1"/>
  <c r="M184" i="5"/>
  <c r="CR184" i="5" s="1"/>
  <c r="AB114" i="5"/>
  <c r="CT114" i="5" s="1"/>
  <c r="T114" i="5"/>
  <c r="CS114" i="5" s="1"/>
  <c r="M114" i="5"/>
  <c r="CR114" i="5" s="1"/>
  <c r="AB221" i="5"/>
  <c r="CT221" i="5" s="1"/>
  <c r="T221" i="5"/>
  <c r="CS221" i="5" s="1"/>
  <c r="M221" i="5"/>
  <c r="CR221" i="5" s="1"/>
  <c r="AB200" i="5"/>
  <c r="CT200" i="5" s="1"/>
  <c r="T200" i="5"/>
  <c r="CS200" i="5" s="1"/>
  <c r="M200" i="5"/>
  <c r="CR200" i="5" s="1"/>
  <c r="AB84" i="5"/>
  <c r="CT84" i="5" s="1"/>
  <c r="T84" i="5"/>
  <c r="CS84" i="5" s="1"/>
  <c r="M84" i="5"/>
  <c r="CR84" i="5" s="1"/>
  <c r="AB158" i="5"/>
  <c r="CT158" i="5" s="1"/>
  <c r="T158" i="5"/>
  <c r="CS158" i="5" s="1"/>
  <c r="M158" i="5"/>
  <c r="CR158" i="5" s="1"/>
  <c r="AB100" i="5"/>
  <c r="CT100" i="5" s="1"/>
  <c r="T100" i="5"/>
  <c r="CS100" i="5" s="1"/>
  <c r="M100" i="5"/>
  <c r="CR100" i="5" s="1"/>
  <c r="AB117" i="5"/>
  <c r="CT117" i="5" s="1"/>
  <c r="T117" i="5"/>
  <c r="CS117" i="5" s="1"/>
  <c r="M117" i="5"/>
  <c r="CR117" i="5" s="1"/>
  <c r="AB131" i="5"/>
  <c r="CT131" i="5" s="1"/>
  <c r="T131" i="5"/>
  <c r="CS131" i="5" s="1"/>
  <c r="M131" i="5"/>
  <c r="CR131" i="5" s="1"/>
  <c r="AB134" i="5"/>
  <c r="CT134" i="5" s="1"/>
  <c r="T134" i="5"/>
  <c r="CS134" i="5" s="1"/>
  <c r="M134" i="5"/>
  <c r="CR134" i="5" s="1"/>
  <c r="AB136" i="5"/>
  <c r="CT136" i="5" s="1"/>
  <c r="T136" i="5"/>
  <c r="CS136" i="5" s="1"/>
  <c r="M136" i="5"/>
  <c r="CR136" i="5" s="1"/>
  <c r="AB140" i="5"/>
  <c r="CT140" i="5" s="1"/>
  <c r="T140" i="5"/>
  <c r="CS140" i="5" s="1"/>
  <c r="M140" i="5"/>
  <c r="CR140" i="5" s="1"/>
  <c r="AB150" i="5"/>
  <c r="CT150" i="5" s="1"/>
  <c r="T150" i="5"/>
  <c r="CS150" i="5" s="1"/>
  <c r="M150" i="5"/>
  <c r="CR150" i="5" s="1"/>
  <c r="AB148" i="5"/>
  <c r="CT148" i="5" s="1"/>
  <c r="T148" i="5"/>
  <c r="CS148" i="5" s="1"/>
  <c r="M148" i="5"/>
  <c r="CR148" i="5" s="1"/>
  <c r="AB142" i="5"/>
  <c r="CT142" i="5" s="1"/>
  <c r="T142" i="5"/>
  <c r="CS142" i="5" s="1"/>
  <c r="M142" i="5"/>
  <c r="CR142" i="5" s="1"/>
  <c r="AB147" i="5"/>
  <c r="CT147" i="5" s="1"/>
  <c r="T147" i="5"/>
  <c r="CS147" i="5" s="1"/>
  <c r="M147" i="5"/>
  <c r="CR147" i="5" s="1"/>
  <c r="AB119" i="5"/>
  <c r="CT119" i="5" s="1"/>
  <c r="T119" i="5"/>
  <c r="CS119" i="5" s="1"/>
  <c r="M119" i="5"/>
  <c r="CR119" i="5" s="1"/>
  <c r="AB135" i="5"/>
  <c r="CT135" i="5" s="1"/>
  <c r="T135" i="5"/>
  <c r="CS135" i="5" s="1"/>
  <c r="M135" i="5"/>
  <c r="CR135" i="5" s="1"/>
  <c r="AB112" i="5"/>
  <c r="CT112" i="5" s="1"/>
  <c r="T112" i="5"/>
  <c r="CS112" i="5" s="1"/>
  <c r="M112" i="5"/>
  <c r="CR112" i="5" s="1"/>
  <c r="AB127" i="5"/>
  <c r="CT127" i="5" s="1"/>
  <c r="T127" i="5"/>
  <c r="CS127" i="5" s="1"/>
  <c r="M127" i="5"/>
  <c r="CR127" i="5" s="1"/>
  <c r="AB123" i="5"/>
  <c r="CT123" i="5" s="1"/>
  <c r="T123" i="5"/>
  <c r="CS123" i="5" s="1"/>
  <c r="M123" i="5"/>
  <c r="CR123" i="5" s="1"/>
  <c r="AB143" i="5"/>
  <c r="CT143" i="5" s="1"/>
  <c r="T143" i="5"/>
  <c r="CS143" i="5" s="1"/>
  <c r="M143" i="5"/>
  <c r="CR143" i="5" s="1"/>
  <c r="AB217" i="5"/>
  <c r="CT217" i="5" s="1"/>
  <c r="T217" i="5"/>
  <c r="CS217" i="5" s="1"/>
  <c r="M217" i="5"/>
  <c r="CR217" i="5" s="1"/>
  <c r="AB141" i="5"/>
  <c r="CT141" i="5" s="1"/>
  <c r="T141" i="5"/>
  <c r="CS141" i="5" s="1"/>
  <c r="M141" i="5"/>
  <c r="CR141" i="5" s="1"/>
  <c r="AB128" i="5"/>
  <c r="CT128" i="5" s="1"/>
  <c r="T128" i="5"/>
  <c r="CS128" i="5" s="1"/>
  <c r="M128" i="5"/>
  <c r="CR128" i="5" s="1"/>
  <c r="AB133" i="5"/>
  <c r="CT133" i="5" s="1"/>
  <c r="T133" i="5"/>
  <c r="CS133" i="5" s="1"/>
  <c r="M133" i="5"/>
  <c r="CR133" i="5" s="1"/>
  <c r="AB120" i="5"/>
  <c r="CT120" i="5" s="1"/>
  <c r="T120" i="5"/>
  <c r="CS120" i="5" s="1"/>
  <c r="M120" i="5"/>
  <c r="CR120" i="5" s="1"/>
  <c r="AB137" i="5"/>
  <c r="CT137" i="5" s="1"/>
  <c r="T137" i="5"/>
  <c r="CS137" i="5" s="1"/>
  <c r="M137" i="5"/>
  <c r="CR137" i="5" s="1"/>
  <c r="AB161" i="5"/>
  <c r="CT161" i="5" s="1"/>
  <c r="T161" i="5"/>
  <c r="CS161" i="5" s="1"/>
  <c r="M161" i="5"/>
  <c r="CR161" i="5" s="1"/>
  <c r="AB113" i="5"/>
  <c r="CT113" i="5" s="1"/>
  <c r="T113" i="5"/>
  <c r="CS113" i="5" s="1"/>
  <c r="M113" i="5"/>
  <c r="CR113" i="5" s="1"/>
  <c r="AB170" i="5"/>
  <c r="CT170" i="5" s="1"/>
  <c r="T170" i="5"/>
  <c r="CS170" i="5" s="1"/>
  <c r="M170" i="5"/>
  <c r="CR170" i="5" s="1"/>
  <c r="AB138" i="5"/>
  <c r="CT138" i="5" s="1"/>
  <c r="T138" i="5"/>
  <c r="CS138" i="5" s="1"/>
  <c r="M138" i="5"/>
  <c r="CR138" i="5" s="1"/>
  <c r="AB85" i="5"/>
  <c r="CT85" i="5" s="1"/>
  <c r="T85" i="5"/>
  <c r="CS85" i="5" s="1"/>
  <c r="M85" i="5"/>
  <c r="CR85" i="5" s="1"/>
  <c r="AB104" i="5"/>
  <c r="CT104" i="5" s="1"/>
  <c r="T104" i="5"/>
  <c r="CS104" i="5" s="1"/>
  <c r="M104" i="5"/>
  <c r="CR104" i="5" s="1"/>
  <c r="AB125" i="5"/>
  <c r="CT125" i="5" s="1"/>
  <c r="T125" i="5"/>
  <c r="CS125" i="5" s="1"/>
  <c r="M125" i="5"/>
  <c r="CR125" i="5" s="1"/>
  <c r="AB130" i="5"/>
  <c r="CT130" i="5" s="1"/>
  <c r="T130" i="5"/>
  <c r="CS130" i="5" s="1"/>
  <c r="M130" i="5"/>
  <c r="CR130" i="5" s="1"/>
  <c r="AB178" i="5"/>
  <c r="CT178" i="5" s="1"/>
  <c r="T178" i="5"/>
  <c r="CS178" i="5" s="1"/>
  <c r="M178" i="5"/>
  <c r="CR178" i="5" s="1"/>
  <c r="AB50" i="5"/>
  <c r="CT50" i="5" s="1"/>
  <c r="T50" i="5"/>
  <c r="CS50" i="5" s="1"/>
  <c r="M50" i="5"/>
  <c r="CR50" i="5" s="1"/>
  <c r="AB106" i="5"/>
  <c r="CT106" i="5" s="1"/>
  <c r="T106" i="5"/>
  <c r="CS106" i="5" s="1"/>
  <c r="M106" i="5"/>
  <c r="CR106" i="5" s="1"/>
  <c r="AB110" i="5"/>
  <c r="CT110" i="5" s="1"/>
  <c r="T110" i="5"/>
  <c r="CS110" i="5" s="1"/>
  <c r="M110" i="5"/>
  <c r="CR110" i="5" s="1"/>
  <c r="AB144" i="5"/>
  <c r="CT144" i="5" s="1"/>
  <c r="T144" i="5"/>
  <c r="CS144" i="5" s="1"/>
  <c r="M144" i="5"/>
  <c r="CR144" i="5" s="1"/>
  <c r="AB115" i="5"/>
  <c r="CT115" i="5" s="1"/>
  <c r="T115" i="5"/>
  <c r="CS115" i="5" s="1"/>
  <c r="M115" i="5"/>
  <c r="CR115" i="5" s="1"/>
  <c r="AB174" i="5"/>
  <c r="CT174" i="5" s="1"/>
  <c r="T174" i="5"/>
  <c r="CS174" i="5" s="1"/>
  <c r="M174" i="5"/>
  <c r="CR174" i="5" s="1"/>
  <c r="AB98" i="5"/>
  <c r="CT98" i="5" s="1"/>
  <c r="T98" i="5"/>
  <c r="CS98" i="5" s="1"/>
  <c r="M98" i="5"/>
  <c r="CR98" i="5" s="1"/>
  <c r="AB99" i="5"/>
  <c r="CT99" i="5" s="1"/>
  <c r="T99" i="5"/>
  <c r="CS99" i="5" s="1"/>
  <c r="M99" i="5"/>
  <c r="CR99" i="5" s="1"/>
  <c r="AB132" i="5"/>
  <c r="CT132" i="5" s="1"/>
  <c r="T132" i="5"/>
  <c r="CS132" i="5" s="1"/>
  <c r="M132" i="5"/>
  <c r="CR132" i="5" s="1"/>
  <c r="AB160" i="5"/>
  <c r="CT160" i="5" s="1"/>
  <c r="T160" i="5"/>
  <c r="CS160" i="5" s="1"/>
  <c r="M160" i="5"/>
  <c r="CR160" i="5" s="1"/>
  <c r="AB107" i="5"/>
  <c r="CT107" i="5" s="1"/>
  <c r="T107" i="5"/>
  <c r="CS107" i="5" s="1"/>
  <c r="M107" i="5"/>
  <c r="CR107" i="5" s="1"/>
  <c r="AB111" i="5"/>
  <c r="CT111" i="5" s="1"/>
  <c r="T111" i="5"/>
  <c r="CS111" i="5" s="1"/>
  <c r="M111" i="5"/>
  <c r="CR111" i="5" s="1"/>
  <c r="AB139" i="5"/>
  <c r="CT139" i="5" s="1"/>
  <c r="T139" i="5"/>
  <c r="CS139" i="5" s="1"/>
  <c r="M139" i="5"/>
  <c r="CR139" i="5" s="1"/>
  <c r="AB122" i="5"/>
  <c r="CT122" i="5" s="1"/>
  <c r="T122" i="5"/>
  <c r="CS122" i="5" s="1"/>
  <c r="M122" i="5"/>
  <c r="CR122" i="5" s="1"/>
  <c r="AB92" i="5"/>
  <c r="CT92" i="5" s="1"/>
  <c r="T92" i="5"/>
  <c r="CS92" i="5" s="1"/>
  <c r="M92" i="5"/>
  <c r="CR92" i="5" s="1"/>
  <c r="AB105" i="5"/>
  <c r="CT105" i="5" s="1"/>
  <c r="T105" i="5"/>
  <c r="CS105" i="5" s="1"/>
  <c r="M105" i="5"/>
  <c r="CR105" i="5" s="1"/>
  <c r="AB151" i="5"/>
  <c r="CT151" i="5" s="1"/>
  <c r="T151" i="5"/>
  <c r="CS151" i="5" s="1"/>
  <c r="M151" i="5"/>
  <c r="CR151" i="5" s="1"/>
  <c r="AB102" i="5"/>
  <c r="CT102" i="5" s="1"/>
  <c r="T102" i="5"/>
  <c r="CS102" i="5" s="1"/>
  <c r="M102" i="5"/>
  <c r="CR102" i="5" s="1"/>
  <c r="AB103" i="5"/>
  <c r="CT103" i="5" s="1"/>
  <c r="T103" i="5"/>
  <c r="CS103" i="5" s="1"/>
  <c r="M103" i="5"/>
  <c r="CR103" i="5" s="1"/>
  <c r="AB97" i="5"/>
  <c r="CT97" i="5" s="1"/>
  <c r="T97" i="5"/>
  <c r="CS97" i="5" s="1"/>
  <c r="M97" i="5"/>
  <c r="CR97" i="5" s="1"/>
  <c r="AB109" i="5"/>
  <c r="CT109" i="5" s="1"/>
  <c r="T109" i="5"/>
  <c r="CS109" i="5" s="1"/>
  <c r="M109" i="5"/>
  <c r="CR109" i="5" s="1"/>
  <c r="AB149" i="5"/>
  <c r="CT149" i="5" s="1"/>
  <c r="T149" i="5"/>
  <c r="CS149" i="5" s="1"/>
  <c r="M149" i="5"/>
  <c r="CR149" i="5" s="1"/>
  <c r="AB126" i="5"/>
  <c r="CT126" i="5" s="1"/>
  <c r="T126" i="5"/>
  <c r="CS126" i="5" s="1"/>
  <c r="M126" i="5"/>
  <c r="CR126" i="5" s="1"/>
  <c r="AB81" i="5"/>
  <c r="CT81" i="5" s="1"/>
  <c r="T81" i="5"/>
  <c r="CS81" i="5" s="1"/>
  <c r="M81" i="5"/>
  <c r="CR81" i="5" s="1"/>
  <c r="AB96" i="5"/>
  <c r="CT96" i="5" s="1"/>
  <c r="T96" i="5"/>
  <c r="CS96" i="5" s="1"/>
  <c r="M96" i="5"/>
  <c r="CR96" i="5" s="1"/>
  <c r="AB94" i="5"/>
  <c r="CT94" i="5" s="1"/>
  <c r="T94" i="5"/>
  <c r="CS94" i="5" s="1"/>
  <c r="M94" i="5"/>
  <c r="CR94" i="5" s="1"/>
  <c r="AB93" i="5"/>
  <c r="CT93" i="5" s="1"/>
  <c r="T93" i="5"/>
  <c r="CS93" i="5" s="1"/>
  <c r="M93" i="5"/>
  <c r="CR93" i="5" s="1"/>
  <c r="AB86" i="5"/>
  <c r="CT86" i="5" s="1"/>
  <c r="T86" i="5"/>
  <c r="CS86" i="5" s="1"/>
  <c r="M86" i="5"/>
  <c r="CR86" i="5" s="1"/>
  <c r="AB156" i="5"/>
  <c r="CT156" i="5" s="1"/>
  <c r="T156" i="5"/>
  <c r="CS156" i="5" s="1"/>
  <c r="M156" i="5"/>
  <c r="CR156" i="5" s="1"/>
  <c r="AB72" i="5"/>
  <c r="CT72" i="5" s="1"/>
  <c r="T72" i="5"/>
  <c r="CS72" i="5" s="1"/>
  <c r="M72" i="5"/>
  <c r="CR72" i="5" s="1"/>
  <c r="AB124" i="5"/>
  <c r="CT124" i="5" s="1"/>
  <c r="T124" i="5"/>
  <c r="CS124" i="5" s="1"/>
  <c r="M124" i="5"/>
  <c r="CR124" i="5" s="1"/>
  <c r="AB89" i="5"/>
  <c r="CT89" i="5" s="1"/>
  <c r="T89" i="5"/>
  <c r="CS89" i="5" s="1"/>
  <c r="M89" i="5"/>
  <c r="CR89" i="5" s="1"/>
  <c r="AB101" i="5"/>
  <c r="CT101" i="5" s="1"/>
  <c r="T101" i="5"/>
  <c r="CS101" i="5" s="1"/>
  <c r="M101" i="5"/>
  <c r="CR101" i="5" s="1"/>
  <c r="AB88" i="5"/>
  <c r="CT88" i="5" s="1"/>
  <c r="T88" i="5"/>
  <c r="CS88" i="5" s="1"/>
  <c r="M88" i="5"/>
  <c r="CR88" i="5" s="1"/>
  <c r="AB90" i="5"/>
  <c r="CT90" i="5" s="1"/>
  <c r="T90" i="5"/>
  <c r="CS90" i="5" s="1"/>
  <c r="M90" i="5"/>
  <c r="CR90" i="5" s="1"/>
  <c r="AB69" i="5"/>
  <c r="CT69" i="5" s="1"/>
  <c r="T69" i="5"/>
  <c r="CS69" i="5" s="1"/>
  <c r="M69" i="5"/>
  <c r="CR69" i="5" s="1"/>
  <c r="AB83" i="5"/>
  <c r="CT83" i="5" s="1"/>
  <c r="T83" i="5"/>
  <c r="CS83" i="5" s="1"/>
  <c r="M83" i="5"/>
  <c r="CR83" i="5" s="1"/>
  <c r="AB95" i="5"/>
  <c r="CT95" i="5" s="1"/>
  <c r="T95" i="5"/>
  <c r="CS95" i="5" s="1"/>
  <c r="M95" i="5"/>
  <c r="CR95" i="5" s="1"/>
  <c r="AB71" i="5"/>
  <c r="CT71" i="5" s="1"/>
  <c r="T71" i="5"/>
  <c r="CS71" i="5" s="1"/>
  <c r="M71" i="5"/>
  <c r="CR71" i="5" s="1"/>
  <c r="AB80" i="5"/>
  <c r="CT80" i="5" s="1"/>
  <c r="T80" i="5"/>
  <c r="CS80" i="5" s="1"/>
  <c r="M80" i="5"/>
  <c r="CR80" i="5" s="1"/>
  <c r="AB64" i="5"/>
  <c r="CT64" i="5" s="1"/>
  <c r="T64" i="5"/>
  <c r="CS64" i="5" s="1"/>
  <c r="M64" i="5"/>
  <c r="CR64" i="5" s="1"/>
  <c r="AB75" i="5"/>
  <c r="CT75" i="5" s="1"/>
  <c r="T75" i="5"/>
  <c r="CS75" i="5" s="1"/>
  <c r="M75" i="5"/>
  <c r="CR75" i="5" s="1"/>
  <c r="AB82" i="5"/>
  <c r="CT82" i="5" s="1"/>
  <c r="T82" i="5"/>
  <c r="CS82" i="5" s="1"/>
  <c r="M82" i="5"/>
  <c r="CR82" i="5" s="1"/>
  <c r="AB63" i="5"/>
  <c r="CT63" i="5" s="1"/>
  <c r="T63" i="5"/>
  <c r="CS63" i="5" s="1"/>
  <c r="M63" i="5"/>
  <c r="CR63" i="5" s="1"/>
  <c r="AB65" i="5"/>
  <c r="CT65" i="5" s="1"/>
  <c r="T65" i="5"/>
  <c r="CS65" i="5" s="1"/>
  <c r="M65" i="5"/>
  <c r="CR65" i="5" s="1"/>
  <c r="AB73" i="5"/>
  <c r="CT73" i="5" s="1"/>
  <c r="T73" i="5"/>
  <c r="CS73" i="5" s="1"/>
  <c r="M73" i="5"/>
  <c r="CR73" i="5" s="1"/>
  <c r="AB78" i="5"/>
  <c r="CT78" i="5" s="1"/>
  <c r="T78" i="5"/>
  <c r="CS78" i="5" s="1"/>
  <c r="M78" i="5"/>
  <c r="CR78" i="5" s="1"/>
  <c r="AB54" i="5"/>
  <c r="CT54" i="5" s="1"/>
  <c r="T54" i="5"/>
  <c r="CS54" i="5" s="1"/>
  <c r="M54" i="5"/>
  <c r="CR54" i="5" s="1"/>
  <c r="AB57" i="5"/>
  <c r="CT57" i="5" s="1"/>
  <c r="T57" i="5"/>
  <c r="CS57" i="5" s="1"/>
  <c r="M57" i="5"/>
  <c r="CR57" i="5" s="1"/>
  <c r="AB74" i="5"/>
  <c r="CT74" i="5" s="1"/>
  <c r="T74" i="5"/>
  <c r="CS74" i="5" s="1"/>
  <c r="M74" i="5"/>
  <c r="CR74" i="5" s="1"/>
  <c r="AB66" i="5"/>
  <c r="CT66" i="5" s="1"/>
  <c r="T66" i="5"/>
  <c r="CS66" i="5" s="1"/>
  <c r="M66" i="5"/>
  <c r="CR66" i="5" s="1"/>
  <c r="AB62" i="5"/>
  <c r="CT62" i="5" s="1"/>
  <c r="T62" i="5"/>
  <c r="CS62" i="5" s="1"/>
  <c r="M62" i="5"/>
  <c r="CR62" i="5" s="1"/>
  <c r="AB52" i="5"/>
  <c r="CT52" i="5" s="1"/>
  <c r="T52" i="5"/>
  <c r="CS52" i="5" s="1"/>
  <c r="M52" i="5"/>
  <c r="CR52" i="5" s="1"/>
  <c r="AB61" i="5"/>
  <c r="CT61" i="5" s="1"/>
  <c r="T61" i="5"/>
  <c r="CS61" i="5" s="1"/>
  <c r="M61" i="5"/>
  <c r="CR61" i="5" s="1"/>
  <c r="AB68" i="5"/>
  <c r="CT68" i="5" s="1"/>
  <c r="T68" i="5"/>
  <c r="CS68" i="5" s="1"/>
  <c r="M68" i="5"/>
  <c r="CR68" i="5" s="1"/>
  <c r="AB55" i="5"/>
  <c r="CT55" i="5" s="1"/>
  <c r="T55" i="5"/>
  <c r="CS55" i="5" s="1"/>
  <c r="M55" i="5"/>
  <c r="CR55" i="5" s="1"/>
  <c r="AB70" i="5"/>
  <c r="CT70" i="5" s="1"/>
  <c r="T70" i="5"/>
  <c r="CS70" i="5" s="1"/>
  <c r="M70" i="5"/>
  <c r="CR70" i="5" s="1"/>
  <c r="AB77" i="5"/>
  <c r="CT77" i="5" s="1"/>
  <c r="T77" i="5"/>
  <c r="CS77" i="5" s="1"/>
  <c r="M77" i="5"/>
  <c r="CR77" i="5" s="1"/>
  <c r="AB76" i="5"/>
  <c r="CT76" i="5" s="1"/>
  <c r="T76" i="5"/>
  <c r="CS76" i="5" s="1"/>
  <c r="M76" i="5"/>
  <c r="CR76" i="5" s="1"/>
  <c r="AB42" i="5"/>
  <c r="CT42" i="5" s="1"/>
  <c r="T42" i="5"/>
  <c r="CS42" i="5" s="1"/>
  <c r="M42" i="5"/>
  <c r="CR42" i="5" s="1"/>
  <c r="AB79" i="5"/>
  <c r="CT79" i="5" s="1"/>
  <c r="T79" i="5"/>
  <c r="CS79" i="5" s="1"/>
  <c r="M79" i="5"/>
  <c r="CR79" i="5" s="1"/>
  <c r="AB60" i="5"/>
  <c r="CT60" i="5" s="1"/>
  <c r="T60" i="5"/>
  <c r="CS60" i="5" s="1"/>
  <c r="M60" i="5"/>
  <c r="CR60" i="5" s="1"/>
  <c r="AB38" i="5"/>
  <c r="CT38" i="5" s="1"/>
  <c r="T38" i="5"/>
  <c r="CS38" i="5" s="1"/>
  <c r="M38" i="5"/>
  <c r="CR38" i="5" s="1"/>
  <c r="AB56" i="5"/>
  <c r="CT56" i="5" s="1"/>
  <c r="T56" i="5"/>
  <c r="CS56" i="5" s="1"/>
  <c r="M56" i="5"/>
  <c r="CR56" i="5" s="1"/>
  <c r="AB44" i="5"/>
  <c r="CT44" i="5" s="1"/>
  <c r="T44" i="5"/>
  <c r="CS44" i="5" s="1"/>
  <c r="M44" i="5"/>
  <c r="CR44" i="5" s="1"/>
  <c r="AB51" i="5"/>
  <c r="CT51" i="5" s="1"/>
  <c r="T51" i="5"/>
  <c r="CS51" i="5" s="1"/>
  <c r="M51" i="5"/>
  <c r="CR51" i="5" s="1"/>
  <c r="AB46" i="5"/>
  <c r="CT46" i="5" s="1"/>
  <c r="T46" i="5"/>
  <c r="CS46" i="5" s="1"/>
  <c r="M46" i="5"/>
  <c r="CR46" i="5" s="1"/>
  <c r="AB47" i="5"/>
  <c r="CT47" i="5" s="1"/>
  <c r="T47" i="5"/>
  <c r="CS47" i="5" s="1"/>
  <c r="M47" i="5"/>
  <c r="CR47" i="5" s="1"/>
  <c r="AB39" i="5"/>
  <c r="CT39" i="5" s="1"/>
  <c r="T39" i="5"/>
  <c r="CS39" i="5" s="1"/>
  <c r="M39" i="5"/>
  <c r="CR39" i="5" s="1"/>
  <c r="AB45" i="5"/>
  <c r="CT45" i="5" s="1"/>
  <c r="T45" i="5"/>
  <c r="CS45" i="5" s="1"/>
  <c r="M45" i="5"/>
  <c r="CR45" i="5" s="1"/>
  <c r="AB53" i="5"/>
  <c r="CT53" i="5" s="1"/>
  <c r="T53" i="5"/>
  <c r="CS53" i="5" s="1"/>
  <c r="M53" i="5"/>
  <c r="CR53" i="5" s="1"/>
  <c r="AB43" i="5"/>
  <c r="CT43" i="5" s="1"/>
  <c r="T43" i="5"/>
  <c r="CS43" i="5" s="1"/>
  <c r="M43" i="5"/>
  <c r="CR43" i="5" s="1"/>
  <c r="AB48" i="5"/>
  <c r="CT48" i="5" s="1"/>
  <c r="T48" i="5"/>
  <c r="CS48" i="5" s="1"/>
  <c r="M48" i="5"/>
  <c r="CR48" i="5" s="1"/>
  <c r="AB25" i="5"/>
  <c r="CT25" i="5" s="1"/>
  <c r="T25" i="5"/>
  <c r="CS25" i="5" s="1"/>
  <c r="M25" i="5"/>
  <c r="CR25" i="5" s="1"/>
  <c r="AB49" i="5"/>
  <c r="CT49" i="5" s="1"/>
  <c r="T49" i="5"/>
  <c r="CS49" i="5" s="1"/>
  <c r="M49" i="5"/>
  <c r="CR49" i="5" s="1"/>
  <c r="AB40" i="5"/>
  <c r="CT40" i="5" s="1"/>
  <c r="T40" i="5"/>
  <c r="CS40" i="5" s="1"/>
  <c r="M40" i="5"/>
  <c r="CR40" i="5" s="1"/>
  <c r="AB31" i="5"/>
  <c r="CT31" i="5" s="1"/>
  <c r="T31" i="5"/>
  <c r="CS31" i="5" s="1"/>
  <c r="M31" i="5"/>
  <c r="CR31" i="5" s="1"/>
  <c r="AB33" i="5"/>
  <c r="CT33" i="5" s="1"/>
  <c r="T33" i="5"/>
  <c r="CS33" i="5" s="1"/>
  <c r="M33" i="5"/>
  <c r="CR33" i="5" s="1"/>
  <c r="AB35" i="5"/>
  <c r="CT35" i="5" s="1"/>
  <c r="T35" i="5"/>
  <c r="CS35" i="5" s="1"/>
  <c r="M35" i="5"/>
  <c r="CR35" i="5" s="1"/>
  <c r="AB41" i="5"/>
  <c r="CT41" i="5" s="1"/>
  <c r="T41" i="5"/>
  <c r="CS41" i="5" s="1"/>
  <c r="M41" i="5"/>
  <c r="CR41" i="5" s="1"/>
  <c r="AB28" i="5"/>
  <c r="CT28" i="5" s="1"/>
  <c r="T28" i="5"/>
  <c r="CS28" i="5" s="1"/>
  <c r="M28" i="5"/>
  <c r="CR28" i="5" s="1"/>
  <c r="AB34" i="5"/>
  <c r="CT34" i="5" s="1"/>
  <c r="T34" i="5"/>
  <c r="CS34" i="5" s="1"/>
  <c r="M34" i="5"/>
  <c r="CR34" i="5" s="1"/>
  <c r="AB32" i="5"/>
  <c r="CT32" i="5" s="1"/>
  <c r="T32" i="5"/>
  <c r="CS32" i="5" s="1"/>
  <c r="M32" i="5"/>
  <c r="CR32" i="5" s="1"/>
  <c r="AB24" i="5"/>
  <c r="CT24" i="5" s="1"/>
  <c r="T24" i="5"/>
  <c r="CS24" i="5" s="1"/>
  <c r="M24" i="5"/>
  <c r="CR24" i="5" s="1"/>
  <c r="AB36" i="5"/>
  <c r="CT36" i="5" s="1"/>
  <c r="T36" i="5"/>
  <c r="CS36" i="5" s="1"/>
  <c r="M36" i="5"/>
  <c r="CR36" i="5" s="1"/>
  <c r="AB13" i="5"/>
  <c r="CT13" i="5" s="1"/>
  <c r="T13" i="5"/>
  <c r="CS13" i="5" s="1"/>
  <c r="M13" i="5"/>
  <c r="CR13" i="5" s="1"/>
  <c r="AB29" i="5"/>
  <c r="CT29" i="5" s="1"/>
  <c r="T29" i="5"/>
  <c r="CS29" i="5" s="1"/>
  <c r="M29" i="5"/>
  <c r="CR29" i="5" s="1"/>
  <c r="AB18" i="5"/>
  <c r="CT18" i="5" s="1"/>
  <c r="T18" i="5"/>
  <c r="CS18" i="5" s="1"/>
  <c r="M18" i="5"/>
  <c r="CR18" i="5" s="1"/>
  <c r="AB21" i="5"/>
  <c r="CT21" i="5" s="1"/>
  <c r="T21" i="5"/>
  <c r="CS21" i="5" s="1"/>
  <c r="M21" i="5"/>
  <c r="CR21" i="5" s="1"/>
  <c r="AB20" i="5"/>
  <c r="CT20" i="5" s="1"/>
  <c r="T20" i="5"/>
  <c r="CS20" i="5" s="1"/>
  <c r="M20" i="5"/>
  <c r="CR20" i="5" s="1"/>
  <c r="AB23" i="5"/>
  <c r="CT23" i="5" s="1"/>
  <c r="T23" i="5"/>
  <c r="CS23" i="5" s="1"/>
  <c r="M23" i="5"/>
  <c r="CR23" i="5" s="1"/>
  <c r="AB22" i="5"/>
  <c r="CT22" i="5" s="1"/>
  <c r="T22" i="5"/>
  <c r="CS22" i="5" s="1"/>
  <c r="M22" i="5"/>
  <c r="CR22" i="5" s="1"/>
  <c r="AB16" i="5"/>
  <c r="CT16" i="5" s="1"/>
  <c r="T16" i="5"/>
  <c r="CS16" i="5" s="1"/>
  <c r="M16" i="5"/>
  <c r="CR16" i="5" s="1"/>
  <c r="AB15" i="5"/>
  <c r="CT15" i="5" s="1"/>
  <c r="T15" i="5"/>
  <c r="CS15" i="5" s="1"/>
  <c r="M15" i="5"/>
  <c r="CR15" i="5" s="1"/>
  <c r="AB14" i="5"/>
  <c r="CT14" i="5" s="1"/>
  <c r="T14" i="5"/>
  <c r="CS14" i="5" s="1"/>
  <c r="M14" i="5"/>
  <c r="CR14" i="5" s="1"/>
  <c r="AB19" i="5"/>
  <c r="CT19" i="5" s="1"/>
  <c r="T19" i="5"/>
  <c r="CS19" i="5" s="1"/>
  <c r="M19" i="5"/>
  <c r="CR19" i="5" s="1"/>
  <c r="AB11" i="5"/>
  <c r="CT11" i="5" s="1"/>
  <c r="T11" i="5"/>
  <c r="CS11" i="5" s="1"/>
  <c r="M11" i="5"/>
  <c r="CR11" i="5" s="1"/>
  <c r="AB17" i="5"/>
  <c r="CT17" i="5" s="1"/>
  <c r="T17" i="5"/>
  <c r="CS17" i="5" s="1"/>
  <c r="M17" i="5"/>
  <c r="CR17" i="5" s="1"/>
  <c r="AB12" i="5"/>
  <c r="CT12" i="5" s="1"/>
  <c r="T12" i="5"/>
  <c r="CS12" i="5" s="1"/>
  <c r="M12" i="5"/>
  <c r="CR12" i="5" s="1"/>
  <c r="AB10" i="5"/>
  <c r="CT10" i="5" s="1"/>
  <c r="T10" i="5"/>
  <c r="CS10" i="5" s="1"/>
  <c r="M10" i="5"/>
  <c r="CR10" i="5" s="1"/>
  <c r="AB9" i="5"/>
  <c r="CT9" i="5" s="1"/>
  <c r="T9" i="5"/>
  <c r="CS9" i="5" s="1"/>
  <c r="M9" i="5"/>
  <c r="CR9" i="5" s="1"/>
  <c r="AB8" i="5"/>
  <c r="CT8" i="5" s="1"/>
  <c r="T8" i="5"/>
  <c r="CS8" i="5" s="1"/>
  <c r="M8" i="5"/>
  <c r="CR8" i="5" s="1"/>
  <c r="AB7" i="5"/>
  <c r="CT7" i="5" s="1"/>
  <c r="T7" i="5"/>
  <c r="CS7" i="5" s="1"/>
  <c r="M7" i="5"/>
  <c r="CR7" i="5" s="1"/>
  <c r="AB6" i="5"/>
  <c r="CT6" i="5" s="1"/>
  <c r="T6" i="5"/>
  <c r="CS6" i="5" s="1"/>
  <c r="M6" i="5"/>
  <c r="CR6" i="5" s="1"/>
  <c r="AB5" i="5"/>
  <c r="CT5" i="5" s="1"/>
  <c r="T5" i="5"/>
  <c r="CS5" i="5" s="1"/>
  <c r="M5" i="5"/>
  <c r="CR5" i="5" s="1"/>
  <c r="AB4" i="5"/>
  <c r="CT4" i="5" s="1"/>
  <c r="T4" i="5"/>
  <c r="CS4" i="5" s="1"/>
  <c r="M4" i="5"/>
  <c r="CR4" i="5" s="1"/>
  <c r="AB3" i="5"/>
  <c r="CT3" i="5" s="1"/>
  <c r="T3" i="5"/>
  <c r="CS3" i="5" s="1"/>
  <c r="M3" i="5"/>
  <c r="CR3" i="5" s="1"/>
  <c r="AB2" i="5"/>
  <c r="CT2" i="5" s="1"/>
  <c r="T2" i="5"/>
  <c r="CS2" i="5" s="1"/>
  <c r="M2" i="5"/>
  <c r="CR2" i="5" s="1"/>
  <c r="H57" i="6" a="1"/>
  <c r="CU4" i="5" l="1"/>
  <c r="CU6" i="5"/>
  <c r="CU11" i="5"/>
  <c r="CU20" i="5"/>
  <c r="CU13" i="5"/>
  <c r="CU35" i="5"/>
  <c r="CU40" i="5"/>
  <c r="CU43" i="5"/>
  <c r="CU47" i="5"/>
  <c r="CU56" i="5"/>
  <c r="CU42" i="5"/>
  <c r="CU70" i="5"/>
  <c r="CU52" i="5"/>
  <c r="CU57" i="5"/>
  <c r="CU65" i="5"/>
  <c r="CU64" i="5"/>
  <c r="CU71" i="5"/>
  <c r="CU90" i="5"/>
  <c r="CU124" i="5"/>
  <c r="CU93" i="5"/>
  <c r="CU126" i="5"/>
  <c r="CU103" i="5"/>
  <c r="CU92" i="5"/>
  <c r="CU99" i="5"/>
  <c r="CU144" i="5"/>
  <c r="CU178" i="5"/>
  <c r="CU85" i="5"/>
  <c r="CU161" i="5"/>
  <c r="CU128" i="5"/>
  <c r="CU123" i="5"/>
  <c r="CU119" i="5"/>
  <c r="CU150" i="5"/>
  <c r="CU131" i="5"/>
  <c r="CU84" i="5"/>
  <c r="CU184" i="5"/>
  <c r="CU162" i="5"/>
  <c r="CU165" i="5"/>
  <c r="CU145" i="5"/>
  <c r="CU180" i="5"/>
  <c r="CU194" i="5"/>
  <c r="CU190" i="5"/>
  <c r="CU192" i="5"/>
  <c r="CU108" i="5"/>
  <c r="CU187" i="5"/>
  <c r="CU203" i="5"/>
  <c r="CU213" i="5"/>
  <c r="CU179" i="5"/>
  <c r="CU215" i="5"/>
  <c r="CU212" i="5"/>
  <c r="CU218" i="5"/>
  <c r="CU267" i="5"/>
  <c r="CU227" i="5"/>
  <c r="CU189" i="5"/>
  <c r="CU229" i="5"/>
  <c r="CU243" i="5"/>
  <c r="CU251" i="5"/>
  <c r="CU256" i="5"/>
  <c r="CU202" i="5"/>
  <c r="CU307" i="5"/>
  <c r="CU266" i="5"/>
  <c r="CU272" i="5"/>
  <c r="CU323" i="5"/>
  <c r="CU286" i="5"/>
  <c r="CU370" i="5"/>
  <c r="CU316" i="5"/>
  <c r="CU367" i="5"/>
  <c r="CU436" i="5"/>
  <c r="CU287" i="5"/>
  <c r="CU313" i="5"/>
  <c r="CU299" i="5"/>
  <c r="CU348" i="5"/>
  <c r="CU273" i="5"/>
  <c r="CU327" i="5"/>
  <c r="CU322" i="5"/>
  <c r="CU433" i="5"/>
  <c r="CU334" i="5"/>
  <c r="CU352" i="5"/>
  <c r="CU395" i="5"/>
  <c r="CU376" i="5"/>
  <c r="CU357" i="5"/>
  <c r="CU371" i="5"/>
  <c r="CU366" i="5"/>
  <c r="CU363" i="5"/>
  <c r="CU374" i="5"/>
  <c r="CU431" i="5"/>
  <c r="CU329" i="5"/>
  <c r="CU392" i="5"/>
  <c r="CU380" i="5"/>
  <c r="CU465" i="5"/>
  <c r="CU414" i="5"/>
  <c r="CU401" i="5"/>
  <c r="CU199" i="5"/>
  <c r="CU404" i="5"/>
  <c r="CU421" i="5"/>
  <c r="CU429" i="5"/>
  <c r="CU540" i="5"/>
  <c r="CU452" i="5"/>
  <c r="CU439" i="5"/>
  <c r="CU343" i="5"/>
  <c r="CU441" i="5"/>
  <c r="CU210" i="5"/>
  <c r="CU601" i="5"/>
  <c r="CU410" i="5"/>
  <c r="CU207" i="5"/>
  <c r="CU463" i="5"/>
  <c r="CU488" i="5"/>
  <c r="CU514" i="5"/>
  <c r="CU422" i="5"/>
  <c r="CU464" i="5"/>
  <c r="CU466" i="5"/>
  <c r="CU595" i="5"/>
  <c r="CU461" i="5"/>
  <c r="CU857" i="5"/>
  <c r="CU502" i="5"/>
  <c r="CU475" i="5"/>
  <c r="CU531" i="5"/>
  <c r="CU470" i="5"/>
  <c r="CU472" i="5"/>
  <c r="CU513" i="5"/>
  <c r="CU451" i="5"/>
  <c r="CU555" i="5"/>
  <c r="CU547" i="5"/>
  <c r="CU530" i="5"/>
  <c r="CU533" i="5"/>
  <c r="CU107" i="5"/>
  <c r="CU558" i="5"/>
  <c r="CU568" i="5"/>
  <c r="CU574" i="5"/>
  <c r="CU619" i="5"/>
  <c r="CU592" i="5"/>
  <c r="CU732" i="5"/>
  <c r="CU634" i="5"/>
  <c r="CU396" i="5"/>
  <c r="CU504" i="5"/>
  <c r="CU625" i="5"/>
  <c r="CU621" i="5"/>
  <c r="CU640" i="5"/>
  <c r="CU718" i="5"/>
  <c r="CU654" i="5"/>
  <c r="CU661" i="5"/>
  <c r="CU694" i="5"/>
  <c r="CU728" i="5"/>
  <c r="CU1001" i="5"/>
  <c r="CU534" i="5"/>
  <c r="CU845" i="5"/>
  <c r="CU700" i="5"/>
  <c r="CU893" i="5"/>
  <c r="CU646" i="5"/>
  <c r="CU731" i="5"/>
  <c r="CU1008" i="5"/>
  <c r="CU729" i="5"/>
  <c r="CU675" i="5"/>
  <c r="CU788" i="5"/>
  <c r="CU657" i="5"/>
  <c r="CU790" i="5"/>
  <c r="CU766" i="5"/>
  <c r="CU660" i="5"/>
  <c r="CU800" i="5"/>
  <c r="CU812" i="5"/>
  <c r="CU815" i="5"/>
  <c r="CU1023" i="5"/>
  <c r="CU902" i="5"/>
  <c r="CU869" i="5"/>
  <c r="CU873" i="5"/>
  <c r="CU894" i="5"/>
  <c r="CU948" i="5"/>
  <c r="CU974" i="5"/>
  <c r="CU956" i="5"/>
  <c r="CU1039" i="5"/>
  <c r="CU985" i="5"/>
  <c r="CU905" i="5"/>
  <c r="CU889" i="5"/>
  <c r="CU1006" i="5"/>
  <c r="CU1044" i="5"/>
  <c r="CU1057" i="5"/>
  <c r="CU887" i="5"/>
  <c r="CU699" i="5"/>
  <c r="CU562" i="5"/>
  <c r="CU364" i="5"/>
  <c r="CU278" i="5"/>
  <c r="CU155" i="5"/>
  <c r="CU37" i="5"/>
  <c r="CU3" i="8"/>
  <c r="CU5" i="8"/>
  <c r="CU11" i="8"/>
  <c r="CU13" i="8"/>
  <c r="CU7" i="8"/>
  <c r="CU4" i="8"/>
  <c r="CU6" i="8"/>
  <c r="CU12" i="8"/>
  <c r="CU14" i="8"/>
  <c r="CU501" i="5"/>
  <c r="CU9" i="5"/>
  <c r="CU17" i="5"/>
  <c r="CU15" i="5"/>
  <c r="CU23" i="5"/>
  <c r="CU29" i="5"/>
  <c r="CU32" i="5"/>
  <c r="CU41" i="5"/>
  <c r="CU31" i="5"/>
  <c r="CU48" i="5"/>
  <c r="CU39" i="5"/>
  <c r="CU44" i="5"/>
  <c r="CU79" i="5"/>
  <c r="CU61" i="5"/>
  <c r="CU74" i="5"/>
  <c r="CU73" i="5"/>
  <c r="CU75" i="5"/>
  <c r="CU80" i="5"/>
  <c r="CU69" i="5"/>
  <c r="CU89" i="5"/>
  <c r="CU86" i="5"/>
  <c r="CU114" i="5"/>
  <c r="CU2" i="5"/>
  <c r="CU14" i="5"/>
  <c r="CU22" i="5"/>
  <c r="CU28" i="5"/>
  <c r="CU51" i="5"/>
  <c r="CU60" i="5"/>
  <c r="CU66" i="5"/>
  <c r="CU83" i="5"/>
  <c r="CU101" i="5"/>
  <c r="CU109" i="5"/>
  <c r="CU174" i="5"/>
  <c r="CU106" i="5"/>
  <c r="CU120" i="5"/>
  <c r="CU136" i="5"/>
  <c r="CU100" i="5"/>
  <c r="CU209" i="5"/>
  <c r="CU246" i="5"/>
  <c r="CU177" i="5"/>
  <c r="CU201" i="5"/>
  <c r="CU222" i="5"/>
  <c r="CU219" i="5"/>
  <c r="CU260" i="5"/>
  <c r="CU193" i="5"/>
  <c r="CU265" i="5"/>
  <c r="CU244" i="5"/>
  <c r="CU311" i="5"/>
  <c r="CU304" i="5"/>
  <c r="CU297" i="5"/>
  <c r="CU317" i="5"/>
  <c r="CU339" i="5"/>
  <c r="CU290" i="5"/>
  <c r="CU344" i="5"/>
  <c r="CU354" i="5"/>
  <c r="CU358" i="5"/>
  <c r="CU400" i="5"/>
  <c r="CU355" i="5"/>
  <c r="CU563" i="5"/>
  <c r="CU332" i="5"/>
  <c r="CU413" i="5"/>
  <c r="CU426" i="5"/>
  <c r="CU409" i="5"/>
  <c r="CU454" i="5"/>
  <c r="CU438" i="5"/>
  <c r="CU449" i="5"/>
  <c r="CU459" i="5"/>
  <c r="CU518" i="5"/>
  <c r="CU460" i="5"/>
  <c r="CU525" i="5"/>
  <c r="CU519" i="5"/>
  <c r="CU856" i="5"/>
  <c r="CU695" i="5"/>
  <c r="CU546" i="5"/>
  <c r="CU492" i="5"/>
  <c r="CU604" i="5"/>
  <c r="CU549" i="5"/>
  <c r="CU554" i="5"/>
  <c r="CU559" i="5"/>
  <c r="CU564" i="5"/>
  <c r="CU575" i="5"/>
  <c r="CU610" i="5"/>
  <c r="CU581" i="5"/>
  <c r="CU701" i="5"/>
  <c r="CU629" i="5"/>
  <c r="CU369" i="5"/>
  <c r="CU644" i="5"/>
  <c r="CU9" i="8"/>
  <c r="CU405" i="5"/>
  <c r="CU493" i="5"/>
  <c r="CU495" i="5"/>
  <c r="CU458" i="5"/>
  <c r="CU557" i="5"/>
  <c r="CU552" i="5"/>
  <c r="CU566" i="5"/>
  <c r="CU573" i="5"/>
  <c r="CU578" i="5"/>
  <c r="CU479" i="5"/>
  <c r="CU588" i="5"/>
  <c r="CU591" i="5"/>
  <c r="CU635" i="5"/>
  <c r="CU633" i="5"/>
  <c r="CU579" i="5"/>
  <c r="CU663" i="5"/>
  <c r="CU556" i="5"/>
  <c r="CU651" i="5"/>
  <c r="CU618" i="5"/>
  <c r="CU668" i="5"/>
  <c r="CU641" i="5"/>
  <c r="CU645" i="5"/>
  <c r="CU648" i="5"/>
  <c r="CU656" i="5"/>
  <c r="CU705" i="5"/>
  <c r="CU696" i="5"/>
  <c r="CU702" i="5"/>
  <c r="CU671" i="5"/>
  <c r="CU803" i="5"/>
  <c r="CU680" i="5"/>
  <c r="CU713" i="5"/>
  <c r="CU586" i="5"/>
  <c r="CU693" i="5"/>
  <c r="CU712" i="5"/>
  <c r="CU1072" i="5"/>
  <c r="CU758" i="5"/>
  <c r="CU707" i="5"/>
  <c r="CU723" i="5"/>
  <c r="CU717" i="5"/>
  <c r="CU719" i="5"/>
  <c r="CU676" i="5"/>
  <c r="CU725" i="5"/>
  <c r="CU743" i="5"/>
  <c r="CU748" i="5"/>
  <c r="CU744" i="5"/>
  <c r="CU753" i="5"/>
  <c r="CU778" i="5"/>
  <c r="CU741" i="5"/>
  <c r="CU684" i="5"/>
  <c r="CU776" i="5"/>
  <c r="CU799" i="5"/>
  <c r="CU708" i="5"/>
  <c r="CU710" i="5"/>
  <c r="CU773" i="5"/>
  <c r="CU768" i="5"/>
  <c r="CU850" i="5"/>
  <c r="CU714" i="5"/>
  <c r="CU771" i="5"/>
  <c r="CU810" i="5"/>
  <c r="CU811" i="5"/>
  <c r="CU736" i="5"/>
  <c r="CU826" i="5"/>
  <c r="CU780" i="5"/>
  <c r="CU1026" i="5"/>
  <c r="CU829" i="5"/>
  <c r="CU770" i="5"/>
  <c r="CU876" i="5"/>
  <c r="CU864" i="5"/>
  <c r="CU878" i="5"/>
  <c r="CU806" i="5"/>
  <c r="CU917" i="5"/>
  <c r="CU361" i="5"/>
  <c r="CU368" i="5"/>
  <c r="CU81" i="5"/>
  <c r="CU97" i="5"/>
  <c r="CU105" i="5"/>
  <c r="CU111" i="5"/>
  <c r="CU132" i="5"/>
  <c r="CU115" i="5"/>
  <c r="CU50" i="5"/>
  <c r="CU104" i="5"/>
  <c r="CU113" i="5"/>
  <c r="CU133" i="5"/>
  <c r="CU143" i="5"/>
  <c r="CU135" i="5"/>
  <c r="CU148" i="5"/>
  <c r="CU134" i="5"/>
  <c r="CU158" i="5"/>
  <c r="CU163" i="5"/>
  <c r="CU152" i="5"/>
  <c r="CU249" i="5"/>
  <c r="CU153" i="5"/>
  <c r="CU186" i="5"/>
  <c r="CU387" i="5"/>
  <c r="CU216" i="5"/>
  <c r="CU129" i="5"/>
  <c r="CU176" i="5"/>
  <c r="CU195" i="5"/>
  <c r="CU167" i="5"/>
  <c r="CU159" i="5"/>
  <c r="CU204" i="5"/>
  <c r="CU238" i="5"/>
  <c r="CU234" i="5"/>
  <c r="CU235" i="5"/>
  <c r="CU283" i="5"/>
  <c r="CU241" i="5"/>
  <c r="CU242" i="5"/>
  <c r="CU248" i="5"/>
  <c r="CU274" i="5"/>
  <c r="CU261" i="5"/>
  <c r="CU259" i="5"/>
  <c r="CU264" i="5"/>
  <c r="CU672" i="5"/>
  <c r="CU406" i="5"/>
  <c r="CU275" i="5"/>
  <c r="CU285" i="5"/>
  <c r="CU337" i="5"/>
  <c r="CU291" i="5"/>
  <c r="CU294" i="5"/>
  <c r="CU372" i="5"/>
  <c r="CU305" i="5"/>
  <c r="CU310" i="5"/>
  <c r="CU333" i="5"/>
  <c r="CU360" i="5"/>
  <c r="CU324" i="5"/>
  <c r="CU293" i="5"/>
  <c r="CU309" i="5"/>
  <c r="CU346" i="5"/>
  <c r="CU331" i="5"/>
  <c r="CU389" i="5"/>
  <c r="CU350" i="5"/>
  <c r="CU351" i="5"/>
  <c r="CU373" i="5"/>
  <c r="CU359" i="5"/>
  <c r="CU377" i="5"/>
  <c r="CU420" i="5"/>
  <c r="CU365" i="5"/>
  <c r="CU386" i="5"/>
  <c r="CU474" i="5"/>
  <c r="CU576" i="5"/>
  <c r="CU630" i="5"/>
  <c r="CU569" i="5"/>
  <c r="CU638" i="5"/>
  <c r="CU609" i="5"/>
  <c r="CU721" i="5"/>
  <c r="CU615" i="5"/>
  <c r="CU626" i="5"/>
  <c r="CU600" i="5"/>
  <c r="CU637" i="5"/>
  <c r="CU643" i="5"/>
  <c r="CU691" i="5"/>
  <c r="CU611" i="5"/>
  <c r="CU587" i="5"/>
  <c r="CU666" i="5"/>
  <c r="CU669" i="5"/>
  <c r="CU627" i="5"/>
  <c r="CU678" i="5"/>
  <c r="CU664" i="5"/>
  <c r="CU683" i="5"/>
  <c r="CU689" i="5"/>
  <c r="CU720" i="5"/>
  <c r="CU801" i="5"/>
  <c r="CU727" i="5"/>
  <c r="CU796" i="5"/>
  <c r="CU711" i="5"/>
  <c r="CU724" i="5"/>
  <c r="CU735" i="5"/>
  <c r="CU745" i="5"/>
  <c r="CU734" i="5"/>
  <c r="CU739" i="5"/>
  <c r="CU747" i="5"/>
  <c r="CU789" i="5"/>
  <c r="CU757" i="5"/>
  <c r="CU840" i="5"/>
  <c r="CU798" i="5"/>
  <c r="CU764" i="5"/>
  <c r="CU791" i="5"/>
  <c r="CU783" i="5"/>
  <c r="CU807" i="5"/>
  <c r="CU885" i="5"/>
  <c r="CU1038" i="5"/>
  <c r="CU763" i="5"/>
  <c r="CU787" i="5"/>
  <c r="CU819" i="5"/>
  <c r="CU781" i="5"/>
  <c r="CU825" i="5"/>
  <c r="CU836" i="5"/>
  <c r="CU848" i="5"/>
  <c r="CU491" i="5"/>
  <c r="CU911" i="5"/>
  <c r="CU868" i="5"/>
  <c r="CU970" i="5"/>
  <c r="CU846" i="5"/>
  <c r="CU881" i="5"/>
  <c r="CU872" i="5"/>
  <c r="CU946" i="5"/>
  <c r="CU903" i="5"/>
  <c r="CU922" i="5"/>
  <c r="CU918" i="5"/>
  <c r="CU935" i="5"/>
  <c r="CU955" i="5"/>
  <c r="CU854" i="5"/>
  <c r="CU967" i="5"/>
  <c r="CU954" i="5"/>
  <c r="CU879" i="5"/>
  <c r="CU1067" i="5"/>
  <c r="CU995" i="5"/>
  <c r="CU1004" i="5"/>
  <c r="CU1013" i="5"/>
  <c r="CU1073" i="5"/>
  <c r="CU1035" i="5"/>
  <c r="CU942" i="5"/>
  <c r="CU1041" i="5"/>
  <c r="CU1045" i="5"/>
  <c r="CU1054" i="5"/>
  <c r="CU1068" i="5"/>
  <c r="CU1034" i="5"/>
  <c r="CU428" i="5"/>
  <c r="CU786" i="5"/>
  <c r="CU761" i="5"/>
  <c r="CU667" i="5"/>
  <c r="CU583" i="5"/>
  <c r="CU522" i="5"/>
  <c r="CU448" i="5"/>
  <c r="CU342" i="5"/>
  <c r="CU289" i="5"/>
  <c r="CU254" i="5"/>
  <c r="CU172" i="5"/>
  <c r="CU157" i="5"/>
  <c r="CU67" i="5"/>
  <c r="CU30" i="5"/>
  <c r="CU594" i="5"/>
  <c r="CU508" i="5"/>
  <c r="CU875" i="5"/>
  <c r="CU866" i="5"/>
  <c r="CU958" i="5"/>
  <c r="CU897" i="5"/>
  <c r="CU861" i="5"/>
  <c r="CU913" i="5"/>
  <c r="CU909" i="5"/>
  <c r="CU880" i="5"/>
  <c r="CU883" i="5"/>
  <c r="CU859" i="5"/>
  <c r="CU939" i="5"/>
  <c r="CU901" i="5"/>
  <c r="CU908" i="5"/>
  <c r="CU976" i="5"/>
  <c r="CU920" i="5"/>
  <c r="CU923" i="5"/>
  <c r="CU927" i="5"/>
  <c r="CU930" i="5"/>
  <c r="CU934" i="5"/>
  <c r="CU938" i="5"/>
  <c r="CU949" i="5"/>
  <c r="CU1032" i="5"/>
  <c r="CU961" i="5"/>
  <c r="CU835" i="5"/>
  <c r="CU969" i="5"/>
  <c r="CU957" i="5"/>
  <c r="CU977" i="5"/>
  <c r="CU982" i="5"/>
  <c r="CU992" i="5"/>
  <c r="CU987" i="5"/>
  <c r="CU989" i="5"/>
  <c r="CU1031" i="5"/>
  <c r="CU994" i="5"/>
  <c r="CU998" i="5"/>
  <c r="CU993" i="5"/>
  <c r="CU1012" i="5"/>
  <c r="CU1007" i="5"/>
  <c r="CU963" i="5"/>
  <c r="CU1028" i="5"/>
  <c r="CU980" i="5"/>
  <c r="CU1020" i="5"/>
  <c r="CU1040" i="5"/>
  <c r="CU1043" i="5"/>
  <c r="CU1069" i="5"/>
  <c r="CU1047" i="5"/>
  <c r="CU1052" i="5"/>
  <c r="CU1056" i="5"/>
  <c r="CU1060" i="5"/>
  <c r="CU1062" i="5"/>
  <c r="CU236" i="5"/>
  <c r="CU1003" i="5"/>
  <c r="CU613" i="5"/>
  <c r="CU340" i="5"/>
  <c r="CU116" i="5"/>
  <c r="CU394" i="5"/>
  <c r="CU390" i="5"/>
  <c r="CU398" i="5"/>
  <c r="CU379" i="5"/>
  <c r="CU417" i="5"/>
  <c r="CU336" i="5"/>
  <c r="CU489" i="5"/>
  <c r="CU402" i="5"/>
  <c r="CU447" i="5"/>
  <c r="CU550" i="5"/>
  <c r="CU444" i="5"/>
  <c r="CU424" i="5"/>
  <c r="CU446" i="5"/>
  <c r="CU450" i="5"/>
  <c r="CU462" i="5"/>
  <c r="CU467" i="5"/>
  <c r="CU388" i="5"/>
  <c r="CU476" i="5"/>
  <c r="CU517" i="5"/>
  <c r="CU507" i="5"/>
  <c r="CU737" i="5"/>
  <c r="CU520" i="5"/>
  <c r="CU432" i="5"/>
  <c r="CU506" i="5"/>
  <c r="CU510" i="5"/>
  <c r="CU496" i="5"/>
  <c r="CU512" i="5"/>
  <c r="CU543" i="5"/>
  <c r="CU665" i="5"/>
  <c r="CU524" i="5"/>
  <c r="CU523" i="5"/>
  <c r="CU551" i="5"/>
  <c r="CU536" i="5"/>
  <c r="CU528" i="5"/>
  <c r="CU542" i="5"/>
  <c r="CU561" i="5"/>
  <c r="CU565" i="5"/>
  <c r="CU572" i="5"/>
  <c r="CU599" i="5"/>
  <c r="CU628" i="5"/>
  <c r="CU590" i="5"/>
  <c r="CU570" i="5"/>
  <c r="CU598" i="5"/>
  <c r="CU607" i="5"/>
  <c r="CU612" i="5"/>
  <c r="CU617" i="5"/>
  <c r="CU709" i="5"/>
  <c r="CU620" i="5"/>
  <c r="CU659" i="5"/>
  <c r="CU650" i="5"/>
  <c r="CU639" i="5"/>
  <c r="CU670" i="5"/>
  <c r="CU655" i="5"/>
  <c r="CU649" i="5"/>
  <c r="CU584" i="5"/>
  <c r="CU658" i="5"/>
  <c r="CU698" i="5"/>
  <c r="CU674" i="5"/>
  <c r="CU704" i="5"/>
  <c r="CU682" i="5"/>
  <c r="CU652" i="5"/>
  <c r="CU690" i="5"/>
  <c r="CU715" i="5"/>
  <c r="CU841" i="5"/>
  <c r="CU722" i="5"/>
  <c r="CU706" i="5"/>
  <c r="CU726" i="5"/>
  <c r="CU716" i="5"/>
  <c r="CU740" i="5"/>
  <c r="CU877" i="5"/>
  <c r="CU782" i="5"/>
  <c r="CU742" i="5"/>
  <c r="CU805" i="5"/>
  <c r="CU751" i="5"/>
  <c r="CU679" i="5"/>
  <c r="CU697" i="5"/>
  <c r="CU765" i="5"/>
  <c r="CU785" i="5"/>
  <c r="CU779" i="5"/>
  <c r="CU792" i="5"/>
  <c r="CU685" i="5"/>
  <c r="CU797" i="5"/>
  <c r="CU802" i="5"/>
  <c r="CU804" i="5"/>
  <c r="CU767" i="5"/>
  <c r="CU814" i="5"/>
  <c r="CU692" i="5"/>
  <c r="CU842" i="5"/>
  <c r="CU816" i="5"/>
  <c r="CU817" i="5"/>
  <c r="CU871" i="5"/>
  <c r="CU828" i="5"/>
  <c r="CU833" i="5"/>
  <c r="CU831" i="5"/>
  <c r="CU862" i="5"/>
  <c r="CU849" i="5"/>
  <c r="CU852" i="5"/>
  <c r="CU853" i="5"/>
  <c r="CU860" i="5"/>
  <c r="CU904" i="5"/>
  <c r="CU867" i="5"/>
  <c r="CU870" i="5"/>
  <c r="CU916" i="5"/>
  <c r="CU784" i="5"/>
  <c r="CU827" i="5"/>
  <c r="CU882" i="5"/>
  <c r="CU730" i="5"/>
  <c r="CU892" i="5"/>
  <c r="CU933" i="5"/>
  <c r="CU863" i="5"/>
  <c r="CU907" i="5"/>
  <c r="CU940" i="5"/>
  <c r="CU919" i="5"/>
  <c r="CU865" i="5"/>
  <c r="CU925" i="5"/>
  <c r="CU952" i="5"/>
  <c r="CU943" i="5"/>
  <c r="CU936" i="5"/>
  <c r="CU947" i="5"/>
  <c r="CU1033" i="5"/>
  <c r="CU1014" i="5"/>
  <c r="CU960" i="5"/>
  <c r="CU964" i="5"/>
  <c r="CU968" i="5"/>
  <c r="CU823" i="5"/>
  <c r="CU822" i="5"/>
  <c r="CU978" i="5"/>
  <c r="CU981" i="5"/>
  <c r="CU986" i="5"/>
  <c r="CU988" i="5"/>
  <c r="CU991" i="5"/>
  <c r="CU997" i="5"/>
  <c r="CU855" i="5"/>
  <c r="CU999" i="5"/>
  <c r="CU1011" i="5"/>
  <c r="CU1015" i="5"/>
  <c r="CU1017" i="5"/>
  <c r="CU1022" i="5"/>
  <c r="CU1025" i="5"/>
  <c r="CU973" i="5"/>
  <c r="CU1029" i="5"/>
  <c r="CU965" i="5"/>
  <c r="CU1037" i="5"/>
  <c r="CU1042" i="5"/>
  <c r="CU1046" i="5"/>
  <c r="CU1051" i="5"/>
  <c r="CU1055" i="5"/>
  <c r="CU1059" i="5"/>
  <c r="CU1070" i="5"/>
  <c r="CU1066" i="5"/>
  <c r="CU321" i="5"/>
  <c r="CU760" i="5"/>
  <c r="CU937" i="5"/>
  <c r="CU774" i="5"/>
  <c r="CU752" i="5"/>
  <c r="CU653" i="5"/>
  <c r="CU577" i="5"/>
  <c r="CU497" i="5"/>
  <c r="CU403" i="5"/>
  <c r="CU345" i="5"/>
  <c r="CU281" i="5"/>
  <c r="CU240" i="5"/>
  <c r="CU173" i="5"/>
  <c r="CU118" i="5"/>
  <c r="CU58" i="5"/>
  <c r="CU26" i="5"/>
  <c r="CU490" i="5"/>
  <c r="CU750" i="5"/>
  <c r="CU777" i="5"/>
  <c r="CU793" i="5"/>
  <c r="CU809" i="5"/>
  <c r="CU813" i="5"/>
  <c r="CU837" i="5"/>
  <c r="CU832" i="5"/>
  <c r="CU687" i="5"/>
  <c r="CU839" i="5"/>
  <c r="CU858" i="5"/>
  <c r="CU1019" i="5"/>
  <c r="CU808" i="5"/>
  <c r="CU623" i="5"/>
  <c r="CU915" i="5"/>
  <c r="CU896" i="5"/>
  <c r="CU818" i="5"/>
  <c r="CU906" i="5"/>
  <c r="CU891" i="5"/>
  <c r="CU924" i="5"/>
  <c r="CU932" i="5"/>
  <c r="CU945" i="5"/>
  <c r="CU1030" i="5"/>
  <c r="CU951" i="5"/>
  <c r="CU662" i="5"/>
  <c r="CU1005" i="5"/>
  <c r="CU959" i="5"/>
  <c r="CU990" i="5"/>
  <c r="CU1071" i="5"/>
  <c r="CU1010" i="5"/>
  <c r="CU1016" i="5"/>
  <c r="CU898" i="5"/>
  <c r="CU929" i="5"/>
  <c r="CU1036" i="5"/>
  <c r="CU1048" i="5"/>
  <c r="CU1050" i="5"/>
  <c r="CU1058" i="5"/>
  <c r="CU1064" i="5"/>
  <c r="CU384" i="5"/>
  <c r="CU762" i="5"/>
  <c r="CU593" i="5"/>
  <c r="CU484" i="5"/>
  <c r="CU312" i="5"/>
  <c r="CU182" i="5"/>
  <c r="CU87" i="5"/>
  <c r="CU349" i="5"/>
  <c r="CU391" i="5"/>
  <c r="CU427" i="5"/>
  <c r="CU411" i="5"/>
  <c r="CU509" i="5"/>
  <c r="CU494" i="5"/>
  <c r="CU538" i="5"/>
  <c r="CU614" i="5"/>
  <c r="CU632" i="5"/>
  <c r="CU647" i="5"/>
  <c r="CU681" i="5"/>
  <c r="CU843" i="5"/>
  <c r="CU746" i="5"/>
  <c r="CU738" i="5"/>
  <c r="CU972" i="5"/>
  <c r="CU794" i="5"/>
  <c r="CU755" i="5"/>
  <c r="CU754" i="5"/>
  <c r="CU795" i="5"/>
  <c r="CU759" i="5"/>
  <c r="CU772" i="5"/>
  <c r="CU834" i="5"/>
  <c r="CU821" i="5"/>
  <c r="CU769" i="5"/>
  <c r="CU824" i="5"/>
  <c r="CU830" i="5"/>
  <c r="CU838" i="5"/>
  <c r="CU847" i="5"/>
  <c r="CU851" i="5"/>
  <c r="CU886" i="5"/>
  <c r="CU890" i="5"/>
  <c r="CU820" i="5"/>
  <c r="CU900" i="5"/>
  <c r="CU895" i="5"/>
  <c r="CU874" i="5"/>
  <c r="CU950" i="5"/>
  <c r="CU971" i="5"/>
  <c r="CU884" i="5"/>
  <c r="CU888" i="5"/>
  <c r="CU899" i="5"/>
  <c r="CU844" i="5"/>
  <c r="CU910" i="5"/>
  <c r="CU921" i="5"/>
  <c r="CU912" i="5"/>
  <c r="CU928" i="5"/>
  <c r="CU941" i="5"/>
  <c r="CU953" i="5"/>
  <c r="CU962" i="5"/>
  <c r="CU966" i="5"/>
  <c r="CU975" i="5"/>
  <c r="CU914" i="5"/>
  <c r="CU983" i="5"/>
  <c r="CU756" i="5"/>
  <c r="CU979" i="5"/>
  <c r="CU996" i="5"/>
  <c r="CU931" i="5"/>
  <c r="CU1009" i="5"/>
  <c r="CU944" i="5"/>
  <c r="CU1021" i="5"/>
  <c r="CU1065" i="5"/>
  <c r="CU1027" i="5"/>
  <c r="CU1024" i="5"/>
  <c r="CU1018" i="5"/>
  <c r="CU1000" i="5"/>
  <c r="CU984" i="5"/>
  <c r="CU1049" i="5"/>
  <c r="CU1053" i="5"/>
  <c r="CU1061" i="5"/>
  <c r="CU1063" i="5"/>
  <c r="CU1002" i="5"/>
  <c r="CU926" i="5"/>
  <c r="CU775" i="5"/>
  <c r="CU703" i="5"/>
  <c r="CU560" i="5"/>
  <c r="CU500" i="5"/>
  <c r="CU381" i="5"/>
  <c r="CU277" i="5"/>
  <c r="CU231" i="5"/>
  <c r="CU154" i="5"/>
  <c r="CU59" i="5"/>
  <c r="CU27" i="5"/>
  <c r="CU521" i="5"/>
  <c r="CU606" i="5"/>
  <c r="CU385" i="5"/>
  <c r="CU220" i="5"/>
  <c r="CU419" i="5"/>
  <c r="CU191" i="5"/>
  <c r="CU480" i="5"/>
  <c r="CU252" i="5"/>
  <c r="CU300" i="5"/>
  <c r="CU608" i="5"/>
  <c r="CU597" i="5"/>
  <c r="CU571" i="5"/>
  <c r="CU498" i="5"/>
  <c r="CU532" i="5"/>
  <c r="CU482" i="5"/>
  <c r="CU487" i="5"/>
  <c r="CU425" i="5"/>
  <c r="CU362" i="5"/>
  <c r="CU624" i="5"/>
  <c r="CU301" i="5"/>
  <c r="CU188" i="5"/>
  <c r="CU217" i="5"/>
  <c r="CU151" i="5"/>
  <c r="CU5" i="5"/>
  <c r="CU3" i="5"/>
  <c r="CU164" i="5"/>
  <c r="CU45" i="5"/>
  <c r="CU77" i="5"/>
  <c r="CU68" i="5"/>
  <c r="CU82" i="5"/>
  <c r="CU156" i="5"/>
  <c r="CU96" i="5"/>
  <c r="CU139" i="5"/>
  <c r="CU125" i="5"/>
  <c r="CU170" i="5"/>
  <c r="CU112" i="5"/>
  <c r="CU142" i="5"/>
  <c r="CU221" i="5"/>
  <c r="CU168" i="5"/>
  <c r="CU183" i="5"/>
  <c r="CU91" i="5"/>
  <c r="CU206" i="5"/>
  <c r="CU197" i="5"/>
  <c r="CU205" i="5"/>
  <c r="CU214" i="5"/>
  <c r="CU226" i="5"/>
  <c r="CU269" i="5"/>
  <c r="CU247" i="5"/>
  <c r="CU253" i="5"/>
  <c r="CU258" i="5"/>
  <c r="CU245" i="5"/>
  <c r="CU288" i="5"/>
  <c r="CU292" i="5"/>
  <c r="CU303" i="5"/>
  <c r="CU318" i="5"/>
  <c r="CU407" i="5"/>
  <c r="CU284" i="5"/>
  <c r="CU325" i="5"/>
  <c r="CU605" i="5"/>
  <c r="CU383" i="5"/>
  <c r="CU415" i="5"/>
  <c r="CU412" i="5"/>
  <c r="CU434" i="5"/>
  <c r="CU456" i="5"/>
  <c r="CU688" i="5"/>
  <c r="CU486" i="5"/>
  <c r="CU602" i="5"/>
  <c r="CU515" i="5"/>
  <c r="CU527" i="5"/>
  <c r="CU541" i="5"/>
  <c r="CU622" i="5"/>
  <c r="CU686" i="5"/>
  <c r="CU636" i="5"/>
  <c r="CU673" i="5"/>
  <c r="CU616" i="5"/>
  <c r="CU589" i="5"/>
  <c r="CU580" i="5"/>
  <c r="CU537" i="5"/>
  <c r="CU642" i="5"/>
  <c r="CU442" i="5"/>
  <c r="CU408" i="5"/>
  <c r="CU335" i="5"/>
  <c r="CU270" i="5"/>
  <c r="CU232" i="5"/>
  <c r="CU181" i="5"/>
  <c r="CU78" i="5"/>
  <c r="CU308" i="5"/>
  <c r="CU8" i="5"/>
  <c r="CU12" i="5"/>
  <c r="CU18" i="5"/>
  <c r="CU24" i="5"/>
  <c r="CU25" i="5"/>
  <c r="CU7" i="5"/>
  <c r="CU10" i="5"/>
  <c r="CU19" i="5"/>
  <c r="CU16" i="5"/>
  <c r="CU21" i="5"/>
  <c r="CU36" i="5"/>
  <c r="CU34" i="5"/>
  <c r="CU33" i="5"/>
  <c r="CU49" i="5"/>
  <c r="CU53" i="5"/>
  <c r="CU46" i="5"/>
  <c r="CU38" i="5"/>
  <c r="CU76" i="5"/>
  <c r="CU55" i="5"/>
  <c r="CU62" i="5"/>
  <c r="CU54" i="5"/>
  <c r="CU63" i="5"/>
  <c r="CU95" i="5"/>
  <c r="CU88" i="5"/>
  <c r="CU72" i="5"/>
  <c r="CU94" i="5"/>
  <c r="CU149" i="5"/>
  <c r="CU102" i="5"/>
  <c r="CU122" i="5"/>
  <c r="CU160" i="5"/>
  <c r="CU98" i="5"/>
  <c r="CU110" i="5"/>
  <c r="CU130" i="5"/>
  <c r="CU138" i="5"/>
  <c r="CU137" i="5"/>
  <c r="CU141" i="5"/>
  <c r="CU127" i="5"/>
  <c r="CU147" i="5"/>
  <c r="CU140" i="5"/>
  <c r="CU117" i="5"/>
  <c r="CU200" i="5"/>
  <c r="CU121" i="5"/>
  <c r="CU146" i="5"/>
  <c r="CU175" i="5"/>
  <c r="CU166" i="5"/>
  <c r="CU196" i="5"/>
  <c r="CU171" i="5"/>
  <c r="CU237" i="5"/>
  <c r="CU185" i="5"/>
  <c r="CU223" i="5"/>
  <c r="CU198" i="5"/>
  <c r="CU169" i="5"/>
  <c r="CU225" i="5"/>
  <c r="CU211" i="5"/>
  <c r="CU230" i="5"/>
  <c r="CU257" i="5"/>
  <c r="CU233" i="5"/>
  <c r="CU228" i="5"/>
  <c r="CU295" i="5"/>
  <c r="CU208" i="5"/>
  <c r="CU224" i="5"/>
  <c r="CU239" i="5"/>
  <c r="CU255" i="5"/>
  <c r="CU250" i="5"/>
  <c r="CU263" i="5"/>
  <c r="CU338" i="5"/>
  <c r="CU268" i="5"/>
  <c r="CU276" i="5"/>
  <c r="CU262" i="5"/>
  <c r="CU271" i="5"/>
  <c r="CU280" i="5"/>
  <c r="CU282" i="5"/>
  <c r="CU298" i="5"/>
  <c r="CU302" i="5"/>
  <c r="CU315" i="5"/>
  <c r="CU314" i="5"/>
  <c r="CU306" i="5"/>
  <c r="CU749" i="5"/>
  <c r="CU328" i="5"/>
  <c r="CU296" i="5"/>
  <c r="CU320" i="5"/>
  <c r="CU279" i="5"/>
  <c r="CU330" i="5"/>
  <c r="CU319" i="5"/>
  <c r="CU353" i="5"/>
  <c r="CU382" i="5"/>
  <c r="CU347" i="5"/>
  <c r="CU378" i="5"/>
  <c r="CU603" i="5"/>
  <c r="CU356" i="5"/>
  <c r="CU326" i="5"/>
  <c r="CU469" i="5"/>
  <c r="CU393" i="5"/>
  <c r="CU535" i="5"/>
  <c r="CU397" i="5"/>
  <c r="CU399" i="5"/>
  <c r="CU481" i="5"/>
  <c r="CU423" i="5"/>
  <c r="CU430" i="5"/>
  <c r="CU416" i="5"/>
  <c r="CU443" i="5"/>
  <c r="CU631" i="5"/>
  <c r="CU435" i="5"/>
  <c r="CU471" i="5"/>
  <c r="CU437" i="5"/>
  <c r="CU468" i="5"/>
  <c r="CU418" i="5"/>
  <c r="CU375" i="5"/>
  <c r="CU477" i="5"/>
  <c r="CU511" i="5"/>
  <c r="CU453" i="5"/>
  <c r="CU545" i="5"/>
  <c r="CU445" i="5"/>
  <c r="CU473" i="5"/>
  <c r="CU585" i="5"/>
  <c r="CU478" i="5"/>
  <c r="CU341" i="5"/>
  <c r="CU516" i="5"/>
  <c r="CU483" i="5"/>
  <c r="CU596" i="5"/>
  <c r="CU499" i="5"/>
  <c r="CU505" i="5"/>
  <c r="CU582" i="5"/>
  <c r="CU677" i="5"/>
  <c r="CU529" i="5"/>
  <c r="CU455" i="5"/>
  <c r="CU485" i="5"/>
  <c r="CU440" i="5"/>
  <c r="CU733" i="5"/>
  <c r="CU457" i="5"/>
  <c r="CU526" i="5"/>
  <c r="CU544" i="5"/>
  <c r="CU503" i="5"/>
  <c r="CU567" i="5"/>
  <c r="CU539" i="5"/>
  <c r="CU548" i="5"/>
  <c r="CU553" i="5"/>
  <c r="H57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<sst xmlns="http://schemas.openxmlformats.org/spreadsheetml/2006/main" count="24277" uniqueCount="3153">
  <si>
    <t>calorimetry_method</t>
  </si>
  <si>
    <t>cas_reg_no</t>
  </si>
  <si>
    <t>citation</t>
  </si>
  <si>
    <t>composition__Ag</t>
  </si>
  <si>
    <t>composition__Sc</t>
  </si>
  <si>
    <t>enthalpy_formation</t>
  </si>
  <si>
    <t>formula</t>
  </si>
  <si>
    <t>id</t>
  </si>
  <si>
    <t>materials_project__mp_e_above_hull__001</t>
  </si>
  <si>
    <t>materials_project__mp_e_above_hull__002</t>
  </si>
  <si>
    <t>materials_project__mp_formation_energy__001</t>
  </si>
  <si>
    <t>materials_project__mp_formation_energy__002</t>
  </si>
  <si>
    <t>materials_project__mp_id</t>
  </si>
  <si>
    <t>notes</t>
  </si>
  <si>
    <t>oqmd__oqmd_e_above_hull__001</t>
  </si>
  <si>
    <t>oqmd__oqmd_e_above_hull__002</t>
  </si>
  <si>
    <t>oqmd__oqmd_formation_energy__001</t>
  </si>
  <si>
    <t>oqmd__oqmd_formation_energy__002</t>
  </si>
  <si>
    <t>oqmd__oqmd_id</t>
  </si>
  <si>
    <t>pearson_symbol</t>
  </si>
  <si>
    <t>ref_temp</t>
  </si>
  <si>
    <t>space_group</t>
  </si>
  <si>
    <t>standard_enthalpy_formation__001</t>
  </si>
  <si>
    <t>standard_enthalpy_formation__002</t>
  </si>
  <si>
    <t>uncertainty__experimental_error</t>
  </si>
  <si>
    <t>uncertainty__standard_deviation__001</t>
  </si>
  <si>
    <t>uncertainty__standard_deviation__002</t>
  </si>
  <si>
    <t>uncertainty__standard_error</t>
  </si>
  <si>
    <t>composition__Y</t>
  </si>
  <si>
    <t>materials_project__mp_e_above_hull</t>
  </si>
  <si>
    <t>materials_project__mp_formation_energy</t>
  </si>
  <si>
    <t>oqmd__oqmd_e_above_hull</t>
  </si>
  <si>
    <t>oqmd__oqmd_formation_energy</t>
  </si>
  <si>
    <t>composition__La</t>
  </si>
  <si>
    <t>composition__Ce</t>
  </si>
  <si>
    <t>composition__Pr</t>
  </si>
  <si>
    <t>composition__Nd</t>
  </si>
  <si>
    <t>composition__Zr</t>
  </si>
  <si>
    <t>composition__Hf</t>
  </si>
  <si>
    <t>composition__Al</t>
  </si>
  <si>
    <t>composition__Ni</t>
  </si>
  <si>
    <t>composition__Fe</t>
  </si>
  <si>
    <t>composition__Nb</t>
  </si>
  <si>
    <t>composition__Ru</t>
  </si>
  <si>
    <t>composition__Co</t>
  </si>
  <si>
    <t>composition__Cu</t>
  </si>
  <si>
    <t>composition__Pt</t>
  </si>
  <si>
    <t>composition__Pd</t>
  </si>
  <si>
    <t>composition__Ti</t>
  </si>
  <si>
    <t>composition__Ir</t>
  </si>
  <si>
    <t>composition__Au</t>
  </si>
  <si>
    <t>composition__V</t>
  </si>
  <si>
    <t>composition__Ta</t>
  </si>
  <si>
    <t>composition__Rh</t>
  </si>
  <si>
    <t>composition__Dy</t>
  </si>
  <si>
    <t>composition__Er</t>
  </si>
  <si>
    <t>composition__Gd</t>
  </si>
  <si>
    <t>composition__Ho</t>
  </si>
  <si>
    <t>composition__Tb</t>
  </si>
  <si>
    <t>composition__Lu</t>
  </si>
  <si>
    <t>composition__Os</t>
  </si>
  <si>
    <t>composition__Sm</t>
  </si>
  <si>
    <t>composition__Tm</t>
  </si>
  <si>
    <t>composition__U</t>
  </si>
  <si>
    <t>composition__B</t>
  </si>
  <si>
    <t>composition__Mn</t>
  </si>
  <si>
    <t>composition__Mo</t>
  </si>
  <si>
    <t>composition__Re</t>
  </si>
  <si>
    <t>composition__C</t>
  </si>
  <si>
    <t>composition__Cr</t>
  </si>
  <si>
    <t>composition__W</t>
  </si>
  <si>
    <t>composition__Si</t>
  </si>
  <si>
    <t>composition__Ga</t>
  </si>
  <si>
    <t>composition__In</t>
  </si>
  <si>
    <t>composition__Ge</t>
  </si>
  <si>
    <t>composition__Zn</t>
  </si>
  <si>
    <t>uncertainty__experimental_error__001</t>
  </si>
  <si>
    <t>uncertainty__experimental_error__002</t>
  </si>
  <si>
    <t>uncertainty__standard_deviation</t>
  </si>
  <si>
    <t>composition__Sn</t>
  </si>
  <si>
    <t>enthalpy_formation__001</t>
  </si>
  <si>
    <t>enthalpy_formation__002</t>
  </si>
  <si>
    <t>standard_enthalpy_formation</t>
  </si>
  <si>
    <t>composition__Mg</t>
  </si>
  <si>
    <t>composition__Ba</t>
  </si>
  <si>
    <t>composition__Yb</t>
  </si>
  <si>
    <t>composition__Ca</t>
  </si>
  <si>
    <t>composition__Li</t>
  </si>
  <si>
    <t>composition__Pb</t>
  </si>
  <si>
    <t>uncertainty__standard_error__001</t>
  </si>
  <si>
    <t>uncertainty__standard_error__002</t>
  </si>
  <si>
    <t>Direct synthesis</t>
  </si>
  <si>
    <t>12271-33-9</t>
  </si>
  <si>
    <t>null</t>
  </si>
  <si>
    <t>ScAg2</t>
  </si>
  <si>
    <t>kJ/mol of atom</t>
  </si>
  <si>
    <t>mp-1018128</t>
  </si>
  <si>
    <t>tI6</t>
  </si>
  <si>
    <t>I4/mmm</t>
  </si>
  <si>
    <t>12041-14-4</t>
  </si>
  <si>
    <t>ScAg</t>
  </si>
  <si>
    <t>mp-11237</t>
  </si>
  <si>
    <t>cP2</t>
  </si>
  <si>
    <t>Pm-3m</t>
  </si>
  <si>
    <t>12511-00-1</t>
  </si>
  <si>
    <t>Ag51Y14</t>
  </si>
  <si>
    <t>hP68</t>
  </si>
  <si>
    <t>P6/m</t>
  </si>
  <si>
    <t>12002-93-6</t>
  </si>
  <si>
    <t>YAg</t>
  </si>
  <si>
    <t>mp-2474</t>
  </si>
  <si>
    <t>12510-95-1</t>
  </si>
  <si>
    <t>Ag51La14</t>
  </si>
  <si>
    <t>12041-03-1</t>
  </si>
  <si>
    <t>LaAg</t>
  </si>
  <si>
    <t>mp-1948</t>
  </si>
  <si>
    <t>12510-90-6</t>
  </si>
  <si>
    <t>Ag51Ce14</t>
  </si>
  <si>
    <t>12040-88-9</t>
  </si>
  <si>
    <t>CeAg</t>
  </si>
  <si>
    <t>mp-2756</t>
  </si>
  <si>
    <t>Indicative Result</t>
  </si>
  <si>
    <t>12510-97-3</t>
  </si>
  <si>
    <t>Ag51Pr14</t>
  </si>
  <si>
    <t>12002-83-4</t>
  </si>
  <si>
    <t>PrAg</t>
  </si>
  <si>
    <t>mp-2525</t>
  </si>
  <si>
    <t>12510-96-2</t>
  </si>
  <si>
    <t>Ag51Nd14</t>
  </si>
  <si>
    <t>12002-81-2</t>
  </si>
  <si>
    <t>NdAg</t>
  </si>
  <si>
    <t>mp-1236</t>
  </si>
  <si>
    <t>37381-02-5</t>
  </si>
  <si>
    <t>ZrAg</t>
  </si>
  <si>
    <t>mp-11239</t>
  </si>
  <si>
    <t>tP4</t>
  </si>
  <si>
    <t>P4/nmm</t>
  </si>
  <si>
    <t>37381-03-6</t>
  </si>
  <si>
    <t>Zr2Ag</t>
  </si>
  <si>
    <t>mp-2221</t>
  </si>
  <si>
    <t>90230-60-7</t>
  </si>
  <si>
    <t>HfAg</t>
  </si>
  <si>
    <t>mp-13156</t>
  </si>
  <si>
    <t>37189-93-8</t>
  </si>
  <si>
    <t>Nash, P., Su, H.N., Kleppa, O. J. Enthalpies of Formation of Compounds in the Al-Ni-Y System. Trans. Nonferrous Met. Soc. China 12, 754-758 (2002)</t>
  </si>
  <si>
    <t>Al0.67Ni0.17Y0.16</t>
  </si>
  <si>
    <t>oC24</t>
  </si>
  <si>
    <t>Cmcm</t>
  </si>
  <si>
    <t>37189-91-6</t>
  </si>
  <si>
    <t>YAl2Ni</t>
  </si>
  <si>
    <t>mp-13094</t>
  </si>
  <si>
    <t>oS16</t>
  </si>
  <si>
    <t>63705-64-6</t>
  </si>
  <si>
    <t>Al0.18Ni0.55Y0.27</t>
  </si>
  <si>
    <t>cI44</t>
  </si>
  <si>
    <t>Im-3m</t>
  </si>
  <si>
    <t>63705-67-9</t>
  </si>
  <si>
    <t>Al0.8Ni0.15Y0.05</t>
  </si>
  <si>
    <t>Al0.6Ni0.07Y0.33</t>
  </si>
  <si>
    <t>cF24</t>
  </si>
  <si>
    <t>Fd-3m</t>
  </si>
  <si>
    <t>12380-08-4</t>
  </si>
  <si>
    <t>YAlNi</t>
  </si>
  <si>
    <t>mp-13095</t>
  </si>
  <si>
    <t>hP9</t>
  </si>
  <si>
    <t>P-62m</t>
  </si>
  <si>
    <t>63705-65-7</t>
  </si>
  <si>
    <t>YAl3Ni2</t>
  </si>
  <si>
    <t>mp-5063</t>
  </si>
  <si>
    <t>hP18</t>
  </si>
  <si>
    <t>P6/mmm</t>
  </si>
  <si>
    <t>Al0.25Ni0.58Y0.17</t>
  </si>
  <si>
    <t>hP6</t>
  </si>
  <si>
    <t>73050-26-7</t>
  </si>
  <si>
    <t>Al0.15Ni0.68Y0.17</t>
  </si>
  <si>
    <t>Al0.05Ni0.78Y0.17</t>
  </si>
  <si>
    <t>63705-63-5</t>
  </si>
  <si>
    <t>Al0.08Ni0.67Y0.25</t>
  </si>
  <si>
    <t>hP24</t>
  </si>
  <si>
    <t>P63/mmc</t>
  </si>
  <si>
    <t>12251-64-8</t>
  </si>
  <si>
    <t>Hu, R., Nash, P. Review: Experimental enthalpies of formation of compounds in Al-Ni-X systems. J. Mater. SCI. 41, 631-641 (2006)</t>
  </si>
  <si>
    <t>HfAlNi2</t>
  </si>
  <si>
    <t>mp-5748</t>
  </si>
  <si>
    <t>cF16</t>
  </si>
  <si>
    <t>Fm-3m</t>
  </si>
  <si>
    <t>12254-02-3</t>
  </si>
  <si>
    <t>Su, H. THERMODYNAMIC MODELING OF AL AND NI BASED TERNARY ALLOY. (2004).</t>
  </si>
  <si>
    <t>Al0.82Fe0.09Ni0.09</t>
  </si>
  <si>
    <t>mP22</t>
  </si>
  <si>
    <t>P121/c1</t>
  </si>
  <si>
    <t>358721-89-8</t>
  </si>
  <si>
    <t>Al0.72Fe0.14Ni0.14</t>
  </si>
  <si>
    <t>Al0.18Fe0.07Ni0.75</t>
  </si>
  <si>
    <t>cP4</t>
  </si>
  <si>
    <t>12251-07-9</t>
  </si>
  <si>
    <t>AlFe2Ni</t>
  </si>
  <si>
    <t>110445-96-0</t>
  </si>
  <si>
    <t>AlFeNi2</t>
  </si>
  <si>
    <t>Al3Fe3Ni4</t>
  </si>
  <si>
    <t>Al0.33Fe0.57Ni0.1</t>
  </si>
  <si>
    <t>Al2Fe3Ni</t>
  </si>
  <si>
    <t>119187-05-2</t>
  </si>
  <si>
    <t>AlFeNi</t>
  </si>
  <si>
    <t>Al3Fe2Ni4</t>
  </si>
  <si>
    <t>Al2FeNi3</t>
  </si>
  <si>
    <t>Al0.33Fe0.1Ni0.57</t>
  </si>
  <si>
    <t>Al4Fe5Ni</t>
  </si>
  <si>
    <t>Al2Fe2Ni</t>
  </si>
  <si>
    <t>Al4Fe3Ni3</t>
  </si>
  <si>
    <t>Al2FeNi2</t>
  </si>
  <si>
    <t>Al4FeNi5</t>
  </si>
  <si>
    <t>Al5Fe4Ni</t>
  </si>
  <si>
    <t>12380-19-7</t>
  </si>
  <si>
    <t>Al2FeNi</t>
  </si>
  <si>
    <t>Al5FeNi4</t>
  </si>
  <si>
    <t>12399-52-9</t>
  </si>
  <si>
    <t>AlFe2</t>
  </si>
  <si>
    <t>251441-40-4</t>
  </si>
  <si>
    <t>Al2Fe3</t>
  </si>
  <si>
    <t xml:space="preserve">12042-17-0  </t>
  </si>
  <si>
    <t>AlFe</t>
  </si>
  <si>
    <t>mp-2658</t>
  </si>
  <si>
    <t>12251-78-4</t>
  </si>
  <si>
    <t>AlNbNi</t>
  </si>
  <si>
    <t>hP12</t>
  </si>
  <si>
    <t>12251-79-5</t>
  </si>
  <si>
    <t>NbAlNi2</t>
  </si>
  <si>
    <t>mp-4813</t>
  </si>
  <si>
    <t>Al0.27Nb0.33Ni0.4</t>
  </si>
  <si>
    <t>Al0.4Nb0.33Ni0.2</t>
  </si>
  <si>
    <t>Al0.2Nb0.04Ni0.76</t>
  </si>
  <si>
    <t>Su, H., Nash, P. Enthalpies of formation in the Al-Ni-Ru system by direct reaction synthesis calorimetry. Journal of Alloys and compounds 403 217-222 (2005)</t>
  </si>
  <si>
    <t>Al0.45Ni0.45Ru0.1</t>
  </si>
  <si>
    <t>Al2Ni2Ru</t>
  </si>
  <si>
    <t>Al5NiRu4</t>
  </si>
  <si>
    <t>Al5Ni2Ru3</t>
  </si>
  <si>
    <t>Al5Ni4Ru</t>
  </si>
  <si>
    <t>Al5Ni3Ru2</t>
  </si>
  <si>
    <t>Al0.45Ni0.1Ru0.45</t>
  </si>
  <si>
    <t>Al0.45Ni0.35Ru0.2</t>
  </si>
  <si>
    <t>Al0.45Ni0.2Ru0.35</t>
  </si>
  <si>
    <t>Al5CoNi4</t>
  </si>
  <si>
    <t>Al0.5Co0.2Ni0.3</t>
  </si>
  <si>
    <t>Al0.5Co0.3Ni0.2</t>
  </si>
  <si>
    <t>Al5Co4Ni</t>
  </si>
  <si>
    <t>12003-14-4</t>
  </si>
  <si>
    <t>AlCo</t>
  </si>
  <si>
    <t>mp-284</t>
  </si>
  <si>
    <t>Al4CoNi5</t>
  </si>
  <si>
    <t>Al2CoNi2</t>
  </si>
  <si>
    <t>289885-65-0</t>
  </si>
  <si>
    <t>Al4Co3Ni3</t>
  </si>
  <si>
    <t>Al0.5Co0.05Ni0.45</t>
  </si>
  <si>
    <t>Al2Co2Ni</t>
  </si>
  <si>
    <t>Al4Co5Ni</t>
  </si>
  <si>
    <t>54065-12-2</t>
  </si>
  <si>
    <t>Al2Co3</t>
  </si>
  <si>
    <t>Al0.55Co0.1Ni0.35</t>
  </si>
  <si>
    <t>Al0.52Co0.18Ni0.3</t>
  </si>
  <si>
    <t>Al0.4Co0.05Ni0.55</t>
  </si>
  <si>
    <t>Al0.33Co0.2Ni0.47</t>
  </si>
  <si>
    <t>Al0.25Co0.05Ni0.7</t>
  </si>
  <si>
    <t>cp4</t>
  </si>
  <si>
    <t>Al0.71Co0.25Ni0.04</t>
  </si>
  <si>
    <t>hP28</t>
  </si>
  <si>
    <t>12003-78-0</t>
  </si>
  <si>
    <t>Nash, P., Kleppa, O. J. Composition dependence of the enthalpies of formation of NiAl. Journal of Alloys and compounds 321, 228-231 (2001)</t>
  </si>
  <si>
    <t>AlNi</t>
  </si>
  <si>
    <t>mp-1487</t>
  </si>
  <si>
    <t>Hu, R., Su, H.N., Nash, P. Enthalpies of formation and lattice parameters of B2 phases in Al-Ni-X systems. Pure Appl. Chem. 79, 1653-1673 (2007)</t>
  </si>
  <si>
    <t>Al0.5Cu0.05Ni0.45</t>
  </si>
  <si>
    <t>Al5CuNi4</t>
  </si>
  <si>
    <t>Al0.5Cu0.15Ni0.35</t>
  </si>
  <si>
    <t>Al5Cu2Ni3</t>
  </si>
  <si>
    <t>37322-35-3</t>
  </si>
  <si>
    <t>Al2CuNi</t>
  </si>
  <si>
    <t>Al5Cu3Ni2</t>
  </si>
  <si>
    <t>54065-13-3</t>
  </si>
  <si>
    <t>Al2Ni3</t>
  </si>
  <si>
    <t>Al4CuNi5</t>
  </si>
  <si>
    <t>Al2CuNi2</t>
  </si>
  <si>
    <t>Al0.4Cu0.25Ni0.35</t>
  </si>
  <si>
    <t>Al4Cu3Ni3</t>
  </si>
  <si>
    <t>Al2Cu2Ni</t>
  </si>
  <si>
    <t>Al0.4Cu0.45Ni0.15</t>
  </si>
  <si>
    <t>Al0.55Cu0.15Ni0.3</t>
  </si>
  <si>
    <t>AlCu8Ni</t>
  </si>
  <si>
    <t>cF4</t>
  </si>
  <si>
    <t>Al3Cu5Ni2</t>
  </si>
  <si>
    <t>Al5Ni4Pt</t>
  </si>
  <si>
    <t>Al5Ni3Pt2</t>
  </si>
  <si>
    <t>Al0.45Ni0.45Pt0.1</t>
  </si>
  <si>
    <t>Al0.45Ni0.4Pt0.15</t>
  </si>
  <si>
    <t>Al0.5Ni0.45Pt0.05</t>
  </si>
  <si>
    <t>Al0.55Ni0.4Pt0.05</t>
  </si>
  <si>
    <t>Al6Ni3Pt</t>
  </si>
  <si>
    <t>hP5</t>
  </si>
  <si>
    <t>P-3m1</t>
  </si>
  <si>
    <t>Al3NiPt</t>
  </si>
  <si>
    <t>Al6NiPt3</t>
  </si>
  <si>
    <t>Al0.27Ni0.63Pt0.1</t>
  </si>
  <si>
    <t>Al0.27Ni0.68Pt0.05</t>
  </si>
  <si>
    <t>Al0.05Ni0.9Pt0.05</t>
  </si>
  <si>
    <t>Al0.9Ni0.05Pt0.05</t>
  </si>
  <si>
    <t>Al5Ni4Pd</t>
  </si>
  <si>
    <t>Al5Ni3Pd2</t>
  </si>
  <si>
    <t>Al5Ni2Pd3</t>
  </si>
  <si>
    <t>Al5NiPd4</t>
  </si>
  <si>
    <t>12003-88-2</t>
  </si>
  <si>
    <t>Jung, W. G., Kleppa, O. J., Topor, L. Standard molar enthalpies of formation of PdAl, PtAl, ScAl1.78, YAl2 and LaAl2. Journal of Alloys and Compounds 176, 309-318 (1991)</t>
  </si>
  <si>
    <t>AlPd</t>
  </si>
  <si>
    <t>mp-829</t>
  </si>
  <si>
    <t>Al4Ni5Pd</t>
  </si>
  <si>
    <t>Al2Ni2Pd</t>
  </si>
  <si>
    <t>Al4Ni3Pd3</t>
  </si>
  <si>
    <t>Al2NiPd2</t>
  </si>
  <si>
    <t>Hu, R., Nash, P., Chen, Q. Enthalpy of Formation in the Al-Ni-Ti System. Journal of Phase Equilibria and Diffusion 30, 559-563 (2009)</t>
  </si>
  <si>
    <t>Al0.54Ni0.46</t>
  </si>
  <si>
    <t>Al0.45Ni0.5Ti0.05</t>
  </si>
  <si>
    <t>Al4Ni5Ti</t>
  </si>
  <si>
    <t>Al0.45Ni0.55</t>
  </si>
  <si>
    <t>Al0.4Ni0.55Ti0.05</t>
  </si>
  <si>
    <t>Hu, R. THERMODYNAMIC MEASUREMENT OF AL-NI-X TERNARY SYSTEMS. Dissertation Abstracts International 70, 5095-5248 (2008)</t>
  </si>
  <si>
    <t>Al0.5Ni0.42Ti0.08</t>
  </si>
  <si>
    <t>Al3Ni5Ti2</t>
  </si>
  <si>
    <t>12042-50-1</t>
  </si>
  <si>
    <t>TiAlNi2</t>
  </si>
  <si>
    <t>mp-7187</t>
  </si>
  <si>
    <t>Al2Ni5Ti3</t>
  </si>
  <si>
    <t>Al0.05Ni0.5Ti0.45</t>
  </si>
  <si>
    <t>Al5Ni2Ti3</t>
  </si>
  <si>
    <t>cF144</t>
  </si>
  <si>
    <t>Al0.21Ni0.74Ti0.05</t>
  </si>
  <si>
    <t>Al0.16Ni0.74Ti0.1</t>
  </si>
  <si>
    <t>Al0.11Ni0.74Ti0.15</t>
  </si>
  <si>
    <t xml:space="preserve">11112-21-3  </t>
  </si>
  <si>
    <t>TiAl2Ni</t>
  </si>
  <si>
    <t>Al0.05Ni0.75Ti0.2</t>
  </si>
  <si>
    <t>hP16</t>
  </si>
  <si>
    <t>Al5IrNi4</t>
  </si>
  <si>
    <t>Al5Ir2Ni3</t>
  </si>
  <si>
    <t>Al5Ir4Ni</t>
  </si>
  <si>
    <t>12337-40-5</t>
  </si>
  <si>
    <t>AlIr</t>
  </si>
  <si>
    <t>mp-1885</t>
  </si>
  <si>
    <t>Al4IrNi5</t>
  </si>
  <si>
    <t>Al2IrNi2</t>
  </si>
  <si>
    <t>Al4Ir3Ni3</t>
  </si>
  <si>
    <t>Al2Ir2Ni</t>
  </si>
  <si>
    <t>12044-90-5</t>
  </si>
  <si>
    <t>ScAu</t>
  </si>
  <si>
    <t>mp-11256</t>
  </si>
  <si>
    <t>12256-59-6</t>
  </si>
  <si>
    <t>YAu</t>
  </si>
  <si>
    <t>mp-11261</t>
  </si>
  <si>
    <t>12429-32-2</t>
  </si>
  <si>
    <t>LaAu</t>
  </si>
  <si>
    <t>oP8</t>
  </si>
  <si>
    <t>Pnma</t>
  </si>
  <si>
    <t>154667-93-3</t>
  </si>
  <si>
    <t>Au51Ce14</t>
  </si>
  <si>
    <t>12349-95-0</t>
  </si>
  <si>
    <t>Au2Ce</t>
  </si>
  <si>
    <t>oI12</t>
  </si>
  <si>
    <t>Imma</t>
  </si>
  <si>
    <t>12408-82-1</t>
  </si>
  <si>
    <t>CeAu</t>
  </si>
  <si>
    <t>188055-93-8</t>
  </si>
  <si>
    <t>Au51Pr14</t>
  </si>
  <si>
    <t>11092-56-1</t>
  </si>
  <si>
    <t>PrAu2</t>
  </si>
  <si>
    <t>mp-30415</t>
  </si>
  <si>
    <t>12429-34-4</t>
  </si>
  <si>
    <t>PrAu</t>
  </si>
  <si>
    <t>228244-96-0</t>
  </si>
  <si>
    <t>Au51Nd14</t>
  </si>
  <si>
    <t>11092-55-0</t>
  </si>
  <si>
    <t>Au2Nd</t>
  </si>
  <si>
    <t>tP106</t>
  </si>
  <si>
    <t>12429-33-3</t>
  </si>
  <si>
    <t>NdAu</t>
  </si>
  <si>
    <t>12670-51-8</t>
  </si>
  <si>
    <t>TiAu2</t>
  </si>
  <si>
    <t>mp-1018123</t>
  </si>
  <si>
    <t>12670-50-7</t>
  </si>
  <si>
    <t>TiAu</t>
  </si>
  <si>
    <t>mp-998972</t>
  </si>
  <si>
    <t>12006-62-1</t>
  </si>
  <si>
    <t>Ti3Au</t>
  </si>
  <si>
    <t>mp-1786</t>
  </si>
  <si>
    <t>cP8</t>
  </si>
  <si>
    <t>Pm-3n</t>
  </si>
  <si>
    <t>37381-14-9</t>
  </si>
  <si>
    <t>ZrAu3</t>
  </si>
  <si>
    <t>Pmmn</t>
  </si>
  <si>
    <t>37381-13-8</t>
  </si>
  <si>
    <t>ZrAu2</t>
  </si>
  <si>
    <t>mp-1018103</t>
  </si>
  <si>
    <t>37381-16-1</t>
  </si>
  <si>
    <t>Au4Zr5</t>
  </si>
  <si>
    <t>mP32</t>
  </si>
  <si>
    <t>P12/m1</t>
  </si>
  <si>
    <t>37381-12-7</t>
  </si>
  <si>
    <t>Zr3Au</t>
  </si>
  <si>
    <t>mp-11263</t>
  </si>
  <si>
    <t>12322-62-2</t>
  </si>
  <si>
    <t>HfAu3</t>
  </si>
  <si>
    <t>12322-58-6</t>
  </si>
  <si>
    <t>HfAu2</t>
  </si>
  <si>
    <t>mp-1018153</t>
  </si>
  <si>
    <t>90992-83-9</t>
  </si>
  <si>
    <t>HfAu</t>
  </si>
  <si>
    <t>mp-1007755</t>
  </si>
  <si>
    <t>66103-86-4</t>
  </si>
  <si>
    <t>Hf2Au</t>
  </si>
  <si>
    <t>mp-30383</t>
  </si>
  <si>
    <t>12285-06-2</t>
  </si>
  <si>
    <t>Au4V</t>
  </si>
  <si>
    <t>66104-06-1</t>
  </si>
  <si>
    <t>Au2V</t>
  </si>
  <si>
    <t>143080-51-7</t>
  </si>
  <si>
    <t>AuV4</t>
  </si>
  <si>
    <t>39449-27-9</t>
  </si>
  <si>
    <t>Au2Nb</t>
  </si>
  <si>
    <t>108356-52-1</t>
  </si>
  <si>
    <t>Au2Ta3</t>
  </si>
  <si>
    <t>12014-73-2</t>
  </si>
  <si>
    <t>CeNi</t>
  </si>
  <si>
    <t>mp-21188</t>
  </si>
  <si>
    <t>oS8</t>
  </si>
  <si>
    <t>12323-63-6</t>
  </si>
  <si>
    <t>CeNi5</t>
  </si>
  <si>
    <t>mp-1910</t>
  </si>
  <si>
    <t>12050-64-5</t>
  </si>
  <si>
    <t>CeRu2</t>
  </si>
  <si>
    <t>mp-607</t>
  </si>
  <si>
    <t>CeRh2</t>
  </si>
  <si>
    <t>mp-951</t>
  </si>
  <si>
    <t>160732-21-8</t>
  </si>
  <si>
    <t>CeRh3</t>
  </si>
  <si>
    <t>mp-1518</t>
  </si>
  <si>
    <t>Ce5Rh4</t>
  </si>
  <si>
    <t>mp-680602</t>
  </si>
  <si>
    <t>oP36</t>
  </si>
  <si>
    <t>12292-14-7</t>
  </si>
  <si>
    <t>CePd</t>
  </si>
  <si>
    <t>mp-1018086</t>
  </si>
  <si>
    <t>12139-37-6</t>
  </si>
  <si>
    <t>CePd3</t>
  </si>
  <si>
    <t>mp-2092</t>
  </si>
  <si>
    <t>12258-84-3</t>
  </si>
  <si>
    <t>CeIr2</t>
  </si>
  <si>
    <t>mp-582</t>
  </si>
  <si>
    <t>12157-68-5</t>
  </si>
  <si>
    <t>CePt</t>
  </si>
  <si>
    <t>mp-21245</t>
  </si>
  <si>
    <t>12014-79-8</t>
  </si>
  <si>
    <t>CePt2</t>
  </si>
  <si>
    <t>mp-2109</t>
  </si>
  <si>
    <t>12157-57-2</t>
  </si>
  <si>
    <t>CeCu6</t>
  </si>
  <si>
    <t>mp-21708</t>
  </si>
  <si>
    <t>oP28</t>
  </si>
  <si>
    <t>12157-54-9</t>
  </si>
  <si>
    <t>CeCu2</t>
  </si>
  <si>
    <t>mp-2801</t>
  </si>
  <si>
    <t>12139-81-0</t>
  </si>
  <si>
    <t>TiCo</t>
  </si>
  <si>
    <t>mp-823</t>
  </si>
  <si>
    <t>12052-53-8</t>
  </si>
  <si>
    <t>ZrCo2</t>
  </si>
  <si>
    <t>mp-929</t>
  </si>
  <si>
    <t xml:space="preserve">12187-26-7  </t>
  </si>
  <si>
    <t>ZrCo</t>
  </si>
  <si>
    <t>mp-2283</t>
  </si>
  <si>
    <t>12187-27-8</t>
  </si>
  <si>
    <t>Zr2Co</t>
  </si>
  <si>
    <t>mp-628</t>
  </si>
  <si>
    <t>tI12</t>
  </si>
  <si>
    <t>I4/mcm</t>
  </si>
  <si>
    <t>12017-26-4</t>
  </si>
  <si>
    <t>HfCo2</t>
  </si>
  <si>
    <t>mp-2337</t>
  </si>
  <si>
    <t>Solute-solvent drop</t>
  </si>
  <si>
    <t>12016-78-3</t>
  </si>
  <si>
    <t>HfCo</t>
  </si>
  <si>
    <t>mp-2027</t>
  </si>
  <si>
    <t>73669-02-0</t>
  </si>
  <si>
    <t>Cu4Sc</t>
  </si>
  <si>
    <t>12273-09-5</t>
  </si>
  <si>
    <t>ScCu2</t>
  </si>
  <si>
    <t>mp-1018149</t>
  </si>
  <si>
    <t>Solution: Copper</t>
  </si>
  <si>
    <t>12019-20-4</t>
  </si>
  <si>
    <t>mp-1169</t>
  </si>
  <si>
    <t>66103-60-4</t>
  </si>
  <si>
    <t>Cu4Y</t>
  </si>
  <si>
    <t>54723-86-3</t>
  </si>
  <si>
    <t>YCu2</t>
  </si>
  <si>
    <t>mp-2698</t>
  </si>
  <si>
    <t>12019-26-0</t>
  </si>
  <si>
    <t>YCu</t>
  </si>
  <si>
    <t>mp-712</t>
  </si>
  <si>
    <t>39373-07-4</t>
  </si>
  <si>
    <t>LaCu6</t>
  </si>
  <si>
    <t>mp-636256</t>
  </si>
  <si>
    <t>12357-14-1</t>
  </si>
  <si>
    <t>LaCu2</t>
  </si>
  <si>
    <t>mp-2051</t>
  </si>
  <si>
    <t>hP3</t>
  </si>
  <si>
    <t>12507-16-3</t>
  </si>
  <si>
    <t>PrCu6</t>
  </si>
  <si>
    <t>mp-30698</t>
  </si>
  <si>
    <t>12310-79-1</t>
  </si>
  <si>
    <t>Cu2Pr</t>
  </si>
  <si>
    <t>12507-15-2</t>
  </si>
  <si>
    <t>Cu6Nd</t>
  </si>
  <si>
    <t>54723-84-1</t>
  </si>
  <si>
    <t>NdCu2</t>
  </si>
  <si>
    <t>mp-11852</t>
  </si>
  <si>
    <t>12019-24-8</t>
  </si>
  <si>
    <t>CuTi</t>
  </si>
  <si>
    <t>12054-27-2</t>
  </si>
  <si>
    <t>12159-00-1</t>
  </si>
  <si>
    <t>Cu3Zr2</t>
  </si>
  <si>
    <t>12158-68-8</t>
  </si>
  <si>
    <t>CuZr</t>
  </si>
  <si>
    <t>12019-28-2</t>
  </si>
  <si>
    <t>CuZr2</t>
  </si>
  <si>
    <t>83857-35-6</t>
  </si>
  <si>
    <t>53239-36-4</t>
  </si>
  <si>
    <t>Cu3Hf2</t>
  </si>
  <si>
    <t>53239-35-3</t>
  </si>
  <si>
    <t>12159-31-8</t>
  </si>
  <si>
    <t>DyNi</t>
  </si>
  <si>
    <t>mp-2738</t>
  </si>
  <si>
    <t>12159-32-9</t>
  </si>
  <si>
    <t>DyNi5</t>
  </si>
  <si>
    <t>mp-1179</t>
  </si>
  <si>
    <t>12060-24-1</t>
  </si>
  <si>
    <t>DyRu2</t>
  </si>
  <si>
    <t>12159-38-5</t>
  </si>
  <si>
    <t>DyRh</t>
  </si>
  <si>
    <t>mp-232</t>
  </si>
  <si>
    <t>12175-30-3</t>
  </si>
  <si>
    <t>DyRh2</t>
  </si>
  <si>
    <t>mp-1388</t>
  </si>
  <si>
    <t>39422-47-4</t>
  </si>
  <si>
    <t>Dy7Rh3</t>
  </si>
  <si>
    <t>39293-46-4</t>
  </si>
  <si>
    <t>DyPd</t>
  </si>
  <si>
    <t>Dy4Pd5</t>
  </si>
  <si>
    <t>12159-36-3</t>
  </si>
  <si>
    <t>DyPd3</t>
  </si>
  <si>
    <t>12060-74-1</t>
  </si>
  <si>
    <t>DyIr2</t>
  </si>
  <si>
    <t>mp-1358</t>
  </si>
  <si>
    <t>12159-37-4</t>
  </si>
  <si>
    <t>DyPt</t>
  </si>
  <si>
    <t>12060-22-9</t>
  </si>
  <si>
    <t>DyPt2</t>
  </si>
  <si>
    <t>12338-81-7</t>
  </si>
  <si>
    <t>DyPt3</t>
  </si>
  <si>
    <t>12159-55-6</t>
  </si>
  <si>
    <t>ErNi</t>
  </si>
  <si>
    <t>mp-567314</t>
  </si>
  <si>
    <t>12357-24-3</t>
  </si>
  <si>
    <t>ErNi5</t>
  </si>
  <si>
    <t>mp-853</t>
  </si>
  <si>
    <t>12133-13-0</t>
  </si>
  <si>
    <t>ErRu2</t>
  </si>
  <si>
    <t>mp-569220</t>
  </si>
  <si>
    <t>12159-61-4</t>
  </si>
  <si>
    <t>ErRh</t>
  </si>
  <si>
    <t>mp-2381</t>
  </si>
  <si>
    <t>11132-01-7</t>
  </si>
  <si>
    <t>ErRh2</t>
  </si>
  <si>
    <t>mp-1762</t>
  </si>
  <si>
    <t>39293-51-1</t>
  </si>
  <si>
    <t>ErPd</t>
  </si>
  <si>
    <t>mp-851</t>
  </si>
  <si>
    <t>Er3Pd4</t>
  </si>
  <si>
    <t>hR42</t>
  </si>
  <si>
    <t>R-3</t>
  </si>
  <si>
    <t>12159-59-0</t>
  </si>
  <si>
    <t>ErPd3</t>
  </si>
  <si>
    <t>mp-2825</t>
  </si>
  <si>
    <t>12331-92-9</t>
  </si>
  <si>
    <t>ErIr2</t>
  </si>
  <si>
    <t>mp-1495</t>
  </si>
  <si>
    <t>12159-60-3</t>
  </si>
  <si>
    <t>ErPt</t>
  </si>
  <si>
    <t>12061-03-9</t>
  </si>
  <si>
    <t>ErPt2</t>
  </si>
  <si>
    <t>mp-480</t>
  </si>
  <si>
    <t>12133-11-8</t>
  </si>
  <si>
    <t>ErPt3</t>
  </si>
  <si>
    <t>mp-1913</t>
  </si>
  <si>
    <t>12159-48-7</t>
  </si>
  <si>
    <t>ErIr</t>
  </si>
  <si>
    <t>mp-2713</t>
  </si>
  <si>
    <t>12024-73-6</t>
  </si>
  <si>
    <t>GdNi</t>
  </si>
  <si>
    <t>mp-542632</t>
  </si>
  <si>
    <t>12024-76-9</t>
  </si>
  <si>
    <t>GdNi5</t>
  </si>
  <si>
    <t>mp-21305</t>
  </si>
  <si>
    <t>12064-49-2</t>
  </si>
  <si>
    <t>GdRu2</t>
  </si>
  <si>
    <t>12160-94-0</t>
  </si>
  <si>
    <t>GdRh</t>
  </si>
  <si>
    <t>mp-1742</t>
  </si>
  <si>
    <t>12265-09-7</t>
  </si>
  <si>
    <t>GdRh2</t>
  </si>
  <si>
    <t>mp-20084</t>
  </si>
  <si>
    <t>12361-89-6</t>
  </si>
  <si>
    <t>GdPd</t>
  </si>
  <si>
    <t>mp-11427</t>
  </si>
  <si>
    <t>Gd3Pd4</t>
  </si>
  <si>
    <t>12140-59-9</t>
  </si>
  <si>
    <t>GdPd3</t>
  </si>
  <si>
    <t>mp-21427</t>
  </si>
  <si>
    <t>12324-91-3</t>
  </si>
  <si>
    <t>GdIr2</t>
  </si>
  <si>
    <t>12160-93-9</t>
  </si>
  <si>
    <t>GdPt</t>
  </si>
  <si>
    <t>mp-11428</t>
  </si>
  <si>
    <t>12265-08-6</t>
  </si>
  <si>
    <t>GdPt2</t>
  </si>
  <si>
    <t>mp-1422</t>
  </si>
  <si>
    <t>Hf2Ni7</t>
  </si>
  <si>
    <t>mS36</t>
  </si>
  <si>
    <t>C12/m1</t>
  </si>
  <si>
    <t>12315-67-2</t>
  </si>
  <si>
    <t>HfNi</t>
  </si>
  <si>
    <t>mp-1018056</t>
  </si>
  <si>
    <t>12315-68-3</t>
  </si>
  <si>
    <t>HfNi3</t>
  </si>
  <si>
    <t>mp-12174</t>
  </si>
  <si>
    <t>hP40</t>
  </si>
  <si>
    <t>12162-19-5</t>
  </si>
  <si>
    <t>HfPt</t>
  </si>
  <si>
    <t>mp-1007691</t>
  </si>
  <si>
    <t>12298-59-8</t>
  </si>
  <si>
    <t>HfPd3</t>
  </si>
  <si>
    <t>mp-11453</t>
  </si>
  <si>
    <t>12786-68-4</t>
  </si>
  <si>
    <t>HfPd</t>
  </si>
  <si>
    <t>mp-1002106</t>
  </si>
  <si>
    <t>12141-81-0</t>
  </si>
  <si>
    <t>HfRh</t>
  </si>
  <si>
    <t>mp-11457</t>
  </si>
  <si>
    <t>12358-85-9</t>
  </si>
  <si>
    <t>HfIr</t>
  </si>
  <si>
    <t>mp-1018055</t>
  </si>
  <si>
    <t>Pmma</t>
  </si>
  <si>
    <t>12162-49-1</t>
  </si>
  <si>
    <t>HoNi</t>
  </si>
  <si>
    <t>mp-11871</t>
  </si>
  <si>
    <t>12502-06-6</t>
  </si>
  <si>
    <t>HoNi5</t>
  </si>
  <si>
    <t>mp-1553</t>
  </si>
  <si>
    <t>12055-54-8</t>
  </si>
  <si>
    <t>HoRu2</t>
  </si>
  <si>
    <t>12162-54-8</t>
  </si>
  <si>
    <t>HoRh</t>
  </si>
  <si>
    <t>mp-2163</t>
  </si>
  <si>
    <t>11132-29-9</t>
  </si>
  <si>
    <t>HoRh2</t>
  </si>
  <si>
    <t>mp-546</t>
  </si>
  <si>
    <t>60063-68-5</t>
  </si>
  <si>
    <t>Ho3Rh2</t>
  </si>
  <si>
    <t>tI140</t>
  </si>
  <si>
    <t>39293-75-9</t>
  </si>
  <si>
    <t>HoPd</t>
  </si>
  <si>
    <t>Ho3Pd4</t>
  </si>
  <si>
    <t>12162-52-6</t>
  </si>
  <si>
    <t>HoPd3</t>
  </si>
  <si>
    <t>mp-1979</t>
  </si>
  <si>
    <t>12333-32-3</t>
  </si>
  <si>
    <t>HoIr2</t>
  </si>
  <si>
    <t>mp-928</t>
  </si>
  <si>
    <t>12162-53-7</t>
  </si>
  <si>
    <t>HoPt</t>
  </si>
  <si>
    <t>12055-52-6</t>
  </si>
  <si>
    <t>HoPt2</t>
  </si>
  <si>
    <t>mp-2579</t>
  </si>
  <si>
    <t>12136-21-9</t>
  </si>
  <si>
    <t>HoPt3</t>
  </si>
  <si>
    <t>mp-195</t>
  </si>
  <si>
    <t>12162-41-3</t>
  </si>
  <si>
    <t>HoIr</t>
  </si>
  <si>
    <t>mp-11476</t>
  </si>
  <si>
    <t>12030-63-6</t>
  </si>
  <si>
    <t>LaIr2</t>
  </si>
  <si>
    <t>mp-1463</t>
  </si>
  <si>
    <t>12030-70-5</t>
  </si>
  <si>
    <t>LaIr3</t>
  </si>
  <si>
    <t>hR36</t>
  </si>
  <si>
    <t>R-3m</t>
  </si>
  <si>
    <t xml:space="preserve">12325-68-7  </t>
  </si>
  <si>
    <t>PrIr2</t>
  </si>
  <si>
    <t>mp-946</t>
  </si>
  <si>
    <t>12056-25-6</t>
  </si>
  <si>
    <t>TbIr2</t>
  </si>
  <si>
    <t>mp-2725</t>
  </si>
  <si>
    <t>12030-42-1</t>
  </si>
  <si>
    <t>LuIr</t>
  </si>
  <si>
    <t>mp-1529</t>
  </si>
  <si>
    <t>12030-64-7</t>
  </si>
  <si>
    <t>LuIr2</t>
  </si>
  <si>
    <t>mp-1761</t>
  </si>
  <si>
    <t>75799-61-0</t>
  </si>
  <si>
    <t>Selhaoui, N., Kleppa, O. J., Standard Enthalpies of Formation of Yttrium Alloys, Y+M (M=Ru, Rh, Pd, Os, Ir, Pt) by High-Temperature Calorimetry. Journal de Chime Physique et de Physico-Chimie Biologique 90, 435-443 (1993)</t>
  </si>
  <si>
    <t>YIr</t>
  </si>
  <si>
    <t>mp-30746</t>
  </si>
  <si>
    <t>12030-68-1</t>
  </si>
  <si>
    <t>YIr2</t>
  </si>
  <si>
    <t>mp-2762</t>
  </si>
  <si>
    <t>37381-97-8</t>
  </si>
  <si>
    <t>ZrIr</t>
  </si>
  <si>
    <t>mp-11484</t>
  </si>
  <si>
    <t xml:space="preserve">12056-23-4  </t>
  </si>
  <si>
    <t>TiIr</t>
  </si>
  <si>
    <t>mp-12594</t>
  </si>
  <si>
    <t>12362-81-1</t>
  </si>
  <si>
    <t>La3Ni</t>
  </si>
  <si>
    <t>oP16</t>
  </si>
  <si>
    <t>12142-63-1</t>
  </si>
  <si>
    <t>LaNi</t>
  </si>
  <si>
    <t>Solution: Lanthanum</t>
  </si>
  <si>
    <t>12196-72-4</t>
  </si>
  <si>
    <t>mp-2317</t>
  </si>
  <si>
    <t>12031-29-7</t>
  </si>
  <si>
    <t>LaRu2</t>
  </si>
  <si>
    <t>mp-2019</t>
  </si>
  <si>
    <t>12142-68-6</t>
  </si>
  <si>
    <t>LaRh</t>
  </si>
  <si>
    <t>mp-1002107</t>
  </si>
  <si>
    <t>LaRh2</t>
  </si>
  <si>
    <t>mp-1702</t>
  </si>
  <si>
    <t>12437-85-3</t>
  </si>
  <si>
    <t>LaPd</t>
  </si>
  <si>
    <t>mp-1002115</t>
  </si>
  <si>
    <t>12031-23-1</t>
  </si>
  <si>
    <t>LaPd3</t>
  </si>
  <si>
    <t>mp-674</t>
  </si>
  <si>
    <t>12056-87-0</t>
  </si>
  <si>
    <t>LaOs2</t>
  </si>
  <si>
    <t>12031-24-2</t>
  </si>
  <si>
    <t>LaPt2</t>
  </si>
  <si>
    <t>mp-912</t>
  </si>
  <si>
    <t>12142-67-5</t>
  </si>
  <si>
    <t>LaPt</t>
  </si>
  <si>
    <t>mp-1002104</t>
  </si>
  <si>
    <t>12163-15-4</t>
  </si>
  <si>
    <t>LuNi</t>
  </si>
  <si>
    <t>12057-44-2</t>
  </si>
  <si>
    <t>LuNi5</t>
  </si>
  <si>
    <t>mp-11491</t>
  </si>
  <si>
    <t>12032-07-4</t>
  </si>
  <si>
    <t>LuRh2</t>
  </si>
  <si>
    <t>mp-1728</t>
  </si>
  <si>
    <t>152761-76-7</t>
  </si>
  <si>
    <t>Lu3Rh2</t>
  </si>
  <si>
    <t>56321-49-4</t>
  </si>
  <si>
    <t>LuPd</t>
  </si>
  <si>
    <t>mp-2205</t>
  </si>
  <si>
    <t>12163-17-6</t>
  </si>
  <si>
    <t>LuPd3</t>
  </si>
  <si>
    <t>mp-1158</t>
  </si>
  <si>
    <t>12163-18-7</t>
  </si>
  <si>
    <t>LuPt</t>
  </si>
  <si>
    <t>12136-63-9</t>
  </si>
  <si>
    <t>LuPt3</t>
  </si>
  <si>
    <t>mp-790</t>
  </si>
  <si>
    <t>Lu3Pd4</t>
  </si>
  <si>
    <t xml:space="preserve">12164-70-4  </t>
  </si>
  <si>
    <t>NbPt3</t>
  </si>
  <si>
    <t>mp-12700</t>
  </si>
  <si>
    <t>mP16</t>
  </si>
  <si>
    <t>P121/m1</t>
  </si>
  <si>
    <t>12164-66-8</t>
  </si>
  <si>
    <t>NdNi</t>
  </si>
  <si>
    <t>mp-999339</t>
  </si>
  <si>
    <t>12423-51-7</t>
  </si>
  <si>
    <t>NdNi5</t>
  </si>
  <si>
    <t>mp-1824</t>
  </si>
  <si>
    <t>12594-43-3</t>
  </si>
  <si>
    <t>NdRu2</t>
  </si>
  <si>
    <t>mp-1781</t>
  </si>
  <si>
    <t>Nd5Ru2</t>
  </si>
  <si>
    <t>mS28</t>
  </si>
  <si>
    <t>C12/c1</t>
  </si>
  <si>
    <t>12164-72-6</t>
  </si>
  <si>
    <t>NdRh</t>
  </si>
  <si>
    <t>mp-999335</t>
  </si>
  <si>
    <t>12439-43-9</t>
  </si>
  <si>
    <t>NdRh2</t>
  </si>
  <si>
    <t>mp-2290</t>
  </si>
  <si>
    <t>12439-44-0</t>
  </si>
  <si>
    <t>NdRh3</t>
  </si>
  <si>
    <t>mp-864699</t>
  </si>
  <si>
    <t>Nd5Rh4</t>
  </si>
  <si>
    <t>56321-54-1</t>
  </si>
  <si>
    <t>NdPd</t>
  </si>
  <si>
    <t>mp-999336</t>
  </si>
  <si>
    <t>12164-70-4</t>
  </si>
  <si>
    <t>NdPd3</t>
  </si>
  <si>
    <t>mp-2333</t>
  </si>
  <si>
    <t>12325-67-6</t>
  </si>
  <si>
    <t>NdIr2</t>
  </si>
  <si>
    <t>mp-890</t>
  </si>
  <si>
    <t>71061-95-5</t>
  </si>
  <si>
    <t>Nd5Ir3</t>
  </si>
  <si>
    <t>mp-30522</t>
  </si>
  <si>
    <t>tP32</t>
  </si>
  <si>
    <t>P4/ncc</t>
  </si>
  <si>
    <t>12164-71-5</t>
  </si>
  <si>
    <t>NdPt</t>
  </si>
  <si>
    <t>12311-71-6</t>
  </si>
  <si>
    <t>NdPt2</t>
  </si>
  <si>
    <t>mp-2720</t>
  </si>
  <si>
    <t>12137-03-0</t>
  </si>
  <si>
    <t>NdPt5</t>
  </si>
  <si>
    <t>mp-2359</t>
  </si>
  <si>
    <t>12059-08-4</t>
  </si>
  <si>
    <t>NiPt</t>
  </si>
  <si>
    <t>12035-60-8</t>
  </si>
  <si>
    <t>TiNi</t>
  </si>
  <si>
    <t>mp-571</t>
  </si>
  <si>
    <t>12164-85-1</t>
  </si>
  <si>
    <t>PrNi</t>
  </si>
  <si>
    <t>mp-11799</t>
  </si>
  <si>
    <t>PrNi5</t>
  </si>
  <si>
    <t>mp-2370</t>
  </si>
  <si>
    <t>12164-93-1</t>
  </si>
  <si>
    <t>SmNi</t>
  </si>
  <si>
    <t>mp-999145</t>
  </si>
  <si>
    <t>56091-69-1</t>
  </si>
  <si>
    <t>SmNi5</t>
  </si>
  <si>
    <t>mp-1075</t>
  </si>
  <si>
    <t>12509-67-0</t>
  </si>
  <si>
    <t>TbNi</t>
  </si>
  <si>
    <t>mp-31139</t>
  </si>
  <si>
    <t>mP24</t>
  </si>
  <si>
    <t>12509-71-6</t>
  </si>
  <si>
    <t>TbNi5</t>
  </si>
  <si>
    <t>mp-30808</t>
  </si>
  <si>
    <t>12142-90-4</t>
  </si>
  <si>
    <t>TmNi</t>
  </si>
  <si>
    <t>mp-11525</t>
  </si>
  <si>
    <t>12059-28-8</t>
  </si>
  <si>
    <t>TmNi5</t>
  </si>
  <si>
    <t>mp-11526</t>
  </si>
  <si>
    <t>12035-74-4</t>
  </si>
  <si>
    <t>TiNi3</t>
  </si>
  <si>
    <t>mp-1409</t>
  </si>
  <si>
    <t>Ni7Zr2</t>
  </si>
  <si>
    <t>mp-2717</t>
  </si>
  <si>
    <t>12142-91-5</t>
  </si>
  <si>
    <t>ZrNi</t>
  </si>
  <si>
    <t>mp-556</t>
  </si>
  <si>
    <t>12142-92-6</t>
  </si>
  <si>
    <t>Zr2Ni</t>
  </si>
  <si>
    <t>mp-328</t>
  </si>
  <si>
    <t>12059-26-6</t>
  </si>
  <si>
    <t>VNi3</t>
  </si>
  <si>
    <t>mp-171</t>
  </si>
  <si>
    <t>tI8</t>
  </si>
  <si>
    <t xml:space="preserve">12035-73-3  </t>
  </si>
  <si>
    <t>TaNi3</t>
  </si>
  <si>
    <t>mp-569776</t>
  </si>
  <si>
    <t>12299-06-8</t>
  </si>
  <si>
    <t>YOs2</t>
  </si>
  <si>
    <t>mp-570670</t>
  </si>
  <si>
    <t>12066-38-5</t>
  </si>
  <si>
    <t>OsTi</t>
  </si>
  <si>
    <t>mp-291</t>
  </si>
  <si>
    <t xml:space="preserve">56321-65-4  </t>
  </si>
  <si>
    <t>PrPd</t>
  </si>
  <si>
    <t>mp-999291</t>
  </si>
  <si>
    <t xml:space="preserve">153736-30-2  </t>
  </si>
  <si>
    <t>Pd2Pr</t>
  </si>
  <si>
    <t>39293-95-3</t>
  </si>
  <si>
    <t>SmPd</t>
  </si>
  <si>
    <t>mp-31380</t>
  </si>
  <si>
    <t>Pd4Sm3</t>
  </si>
  <si>
    <t xml:space="preserve">12165-88-7  </t>
  </si>
  <si>
    <t>Pd3Sm</t>
  </si>
  <si>
    <t>12037-93-3</t>
  </si>
  <si>
    <t>TbPd</t>
  </si>
  <si>
    <t>mp-999124</t>
  </si>
  <si>
    <t>Pd4Tb3</t>
  </si>
  <si>
    <t>12165-90-1</t>
  </si>
  <si>
    <t>Pd3Tb</t>
  </si>
  <si>
    <t>56320-24-2</t>
  </si>
  <si>
    <t>TmPd</t>
  </si>
  <si>
    <t>mp-348</t>
  </si>
  <si>
    <t>12594-98-8</t>
  </si>
  <si>
    <t>TmPd3</t>
  </si>
  <si>
    <t>mp-982</t>
  </si>
  <si>
    <t>37295-18-4</t>
  </si>
  <si>
    <t>YPd</t>
  </si>
  <si>
    <t>Pd4Y3</t>
  </si>
  <si>
    <t>12038-04-9</t>
  </si>
  <si>
    <t>YPd3</t>
  </si>
  <si>
    <t>mp-559</t>
  </si>
  <si>
    <t>12066-72-7</t>
  </si>
  <si>
    <t>TiPd3</t>
  </si>
  <si>
    <t>12165-89-8</t>
  </si>
  <si>
    <t>TaPd3</t>
  </si>
  <si>
    <t>mp-30836</t>
  </si>
  <si>
    <t>tI18</t>
  </si>
  <si>
    <t>12038-03-8</t>
  </si>
  <si>
    <t>UPd3</t>
  </si>
  <si>
    <t>mp-30841</t>
  </si>
  <si>
    <t>12165-82-1</t>
  </si>
  <si>
    <t>TiPd</t>
  </si>
  <si>
    <t>mp-11546</t>
  </si>
  <si>
    <t>mp-980094</t>
  </si>
  <si>
    <t>oP4</t>
  </si>
  <si>
    <t>12299-15-9</t>
  </si>
  <si>
    <t>Pd3Zr</t>
  </si>
  <si>
    <t>12218-89-2</t>
  </si>
  <si>
    <t>ZrPd</t>
  </si>
  <si>
    <t>mp-13495</t>
  </si>
  <si>
    <t>mS16</t>
  </si>
  <si>
    <t>12066-80-7</t>
  </si>
  <si>
    <t>PrRu2</t>
  </si>
  <si>
    <t>mp-2665</t>
  </si>
  <si>
    <t xml:space="preserve">56088-87-0  </t>
  </si>
  <si>
    <t>PrRh2</t>
  </si>
  <si>
    <t>mp-2529</t>
  </si>
  <si>
    <t xml:space="preserve">12165-93-4  </t>
  </si>
  <si>
    <t>PrPt</t>
  </si>
  <si>
    <t>12311-90-9</t>
  </si>
  <si>
    <t>PrPt2</t>
  </si>
  <si>
    <t>mp-1061</t>
  </si>
  <si>
    <t>12137-84-7</t>
  </si>
  <si>
    <t>SmPt</t>
  </si>
  <si>
    <t>12137-87-0</t>
  </si>
  <si>
    <t>SmPt2</t>
  </si>
  <si>
    <t>mp-1127</t>
  </si>
  <si>
    <t>12165-99-0</t>
  </si>
  <si>
    <t>TbPt</t>
  </si>
  <si>
    <t>12066-92-1</t>
  </si>
  <si>
    <t>TbPt2</t>
  </si>
  <si>
    <t>mp-1697</t>
  </si>
  <si>
    <t>12137-90-5</t>
  </si>
  <si>
    <t>Pt3Tb</t>
  </si>
  <si>
    <t>12166-01-7</t>
  </si>
  <si>
    <t>PtTm</t>
  </si>
  <si>
    <t>12137-88-1</t>
  </si>
  <si>
    <t>TmPt2</t>
  </si>
  <si>
    <t>mp-571271</t>
  </si>
  <si>
    <t>12137-91-6</t>
  </si>
  <si>
    <t>Pt3Tm</t>
  </si>
  <si>
    <t>12038-34-5</t>
  </si>
  <si>
    <t>YPt</t>
  </si>
  <si>
    <t>12038-44-7</t>
  </si>
  <si>
    <t>YPt3</t>
  </si>
  <si>
    <t>mp-2403</t>
  </si>
  <si>
    <t>12038-43-6</t>
  </si>
  <si>
    <t>VPt3</t>
  </si>
  <si>
    <t>mp-2705</t>
  </si>
  <si>
    <t>12038-37-8</t>
  </si>
  <si>
    <t>VPt2</t>
  </si>
  <si>
    <t>mp-12108</t>
  </si>
  <si>
    <t>oI6</t>
  </si>
  <si>
    <t>Immm</t>
  </si>
  <si>
    <t>12038-31-2</t>
  </si>
  <si>
    <t>TiPt</t>
  </si>
  <si>
    <t>mp-11552</t>
  </si>
  <si>
    <t>mp-998949</t>
  </si>
  <si>
    <t>12166-03-9</t>
  </si>
  <si>
    <t>ZrPt</t>
  </si>
  <si>
    <t>12138-00-0</t>
  </si>
  <si>
    <t>SmRh2</t>
  </si>
  <si>
    <t>mp-840</t>
  </si>
  <si>
    <t>Rh3Sm4</t>
  </si>
  <si>
    <t>12166-14-2</t>
  </si>
  <si>
    <t>TbRh</t>
  </si>
  <si>
    <t>mp-11561</t>
  </si>
  <si>
    <t>12138-01-1</t>
  </si>
  <si>
    <t>TbRh2</t>
  </si>
  <si>
    <t>mp-1310</t>
  </si>
  <si>
    <t>12166-15-3</t>
  </si>
  <si>
    <t>TmRh</t>
  </si>
  <si>
    <t>mp-11564</t>
  </si>
  <si>
    <t>12138-02-2</t>
  </si>
  <si>
    <t>TmRh2</t>
  </si>
  <si>
    <t>mp-30865</t>
  </si>
  <si>
    <t>12038-83-4</t>
  </si>
  <si>
    <t>YRh</t>
  </si>
  <si>
    <t>mp-191</t>
  </si>
  <si>
    <t>12038-87-8</t>
  </si>
  <si>
    <t>YRh2</t>
  </si>
  <si>
    <t>mp-921</t>
  </si>
  <si>
    <t>12166-16-4</t>
  </si>
  <si>
    <t>ZrRh</t>
  </si>
  <si>
    <t>mp-2808</t>
  </si>
  <si>
    <t>RhZr</t>
  </si>
  <si>
    <t>12038-92-5</t>
  </si>
  <si>
    <t>URh3</t>
  </si>
  <si>
    <t>mp-1150</t>
  </si>
  <si>
    <t>12600-90-7</t>
  </si>
  <si>
    <t>TiRh</t>
  </si>
  <si>
    <t>mp-11563</t>
  </si>
  <si>
    <t>mP4</t>
  </si>
  <si>
    <t>12067-14-0</t>
  </si>
  <si>
    <t>Ru2Tb</t>
  </si>
  <si>
    <t>Ru2Tb5</t>
  </si>
  <si>
    <t>Ru2.Y5</t>
  </si>
  <si>
    <t>12218-91-6</t>
  </si>
  <si>
    <t>ZrRu</t>
  </si>
  <si>
    <t>mp-214</t>
  </si>
  <si>
    <t xml:space="preserve">12600-91-8  </t>
  </si>
  <si>
    <t>TiRu</t>
  </si>
  <si>
    <t>mp-592</t>
  </si>
  <si>
    <t>12316-42-6</t>
  </si>
  <si>
    <t>URu3</t>
  </si>
  <si>
    <t>mp-1263</t>
  </si>
  <si>
    <t>37347-18-5</t>
  </si>
  <si>
    <t>HfRu</t>
  </si>
  <si>
    <t>mp-2802</t>
  </si>
  <si>
    <t>12023-34-6</t>
  </si>
  <si>
    <t>Fe2Sc</t>
  </si>
  <si>
    <t>12017-41-3</t>
  </si>
  <si>
    <t>ScCo2</t>
  </si>
  <si>
    <t>mp-253</t>
  </si>
  <si>
    <t>12017-09-3</t>
  </si>
  <si>
    <t>Sc2Co</t>
  </si>
  <si>
    <t>mp-30562</t>
  </si>
  <si>
    <t>12035-54-0</t>
  </si>
  <si>
    <t>ScNi</t>
  </si>
  <si>
    <t>mp-11521</t>
  </si>
  <si>
    <t>12035-66-4</t>
  </si>
  <si>
    <t>ScNi2</t>
  </si>
  <si>
    <t>mp-850</t>
  </si>
  <si>
    <t>39388-94-8</t>
  </si>
  <si>
    <t>ScRu</t>
  </si>
  <si>
    <t>mp-30867</t>
  </si>
  <si>
    <t>ScRh</t>
  </si>
  <si>
    <t>mp-1780</t>
  </si>
  <si>
    <t>12030-53-4</t>
  </si>
  <si>
    <t>ScIr</t>
  </si>
  <si>
    <t>mp-1129</t>
  </si>
  <si>
    <t>12038-89-0</t>
  </si>
  <si>
    <t>ScRh3</t>
  </si>
  <si>
    <t>mp-635</t>
  </si>
  <si>
    <t>37295-17-3</t>
  </si>
  <si>
    <t>ScPd</t>
  </si>
  <si>
    <t>mp-2781</t>
  </si>
  <si>
    <t>12030-66-9</t>
  </si>
  <si>
    <t>ScIr2</t>
  </si>
  <si>
    <t>mp-2263</t>
  </si>
  <si>
    <t>12038-23-2</t>
  </si>
  <si>
    <t>ScPt</t>
  </si>
  <si>
    <t>mp-892</t>
  </si>
  <si>
    <t>12038-39-0</t>
  </si>
  <si>
    <t>ScPt3</t>
  </si>
  <si>
    <t>mp-481</t>
  </si>
  <si>
    <t>Tm4Pd5</t>
  </si>
  <si>
    <t>12041-54-2</t>
  </si>
  <si>
    <t>AlB12</t>
  </si>
  <si>
    <t>tP216</t>
  </si>
  <si>
    <t>P41212</t>
  </si>
  <si>
    <t>160110-55-4</t>
  </si>
  <si>
    <t>AlMn4</t>
  </si>
  <si>
    <t>cP20</t>
  </si>
  <si>
    <t>P4132</t>
  </si>
  <si>
    <t>12003-72-4</t>
  </si>
  <si>
    <t>AlMo3</t>
  </si>
  <si>
    <t>mp-259</t>
  </si>
  <si>
    <t>12003-75-7</t>
  </si>
  <si>
    <t>Nb3Al</t>
  </si>
  <si>
    <t>mp-796</t>
  </si>
  <si>
    <t>56320-40-2</t>
  </si>
  <si>
    <t>AlPt3</t>
  </si>
  <si>
    <t>Crystalline Modifications: (Pm-3m, cP4), (P42/mnm, tP16)</t>
  </si>
  <si>
    <t>12003-89-3</t>
  </si>
  <si>
    <t>AlPd2</t>
  </si>
  <si>
    <t>mp-2824</t>
  </si>
  <si>
    <t>oP12</t>
  </si>
  <si>
    <t>90176-45-7</t>
  </si>
  <si>
    <t>AlRe2</t>
  </si>
  <si>
    <t>mp-10909</t>
  </si>
  <si>
    <t>12003-93-9</t>
  </si>
  <si>
    <t>Ta2Al</t>
  </si>
  <si>
    <t>mp-639874</t>
  </si>
  <si>
    <t>tP30</t>
  </si>
  <si>
    <t>P42/mnm</t>
  </si>
  <si>
    <t>160110-54-3</t>
  </si>
  <si>
    <t>Al2Mn3</t>
  </si>
  <si>
    <t>hP2</t>
  </si>
  <si>
    <t>12004-49-8</t>
  </si>
  <si>
    <t>Y3Al2</t>
  </si>
  <si>
    <t>mp-16723</t>
  </si>
  <si>
    <t>tP20</t>
  </si>
  <si>
    <t>12042-17-0</t>
  </si>
  <si>
    <t>12445-22-6</t>
  </si>
  <si>
    <t>HfAl</t>
  </si>
  <si>
    <t>mp-249</t>
  </si>
  <si>
    <t>12003-91-7</t>
  </si>
  <si>
    <t>AlPt</t>
  </si>
  <si>
    <t>mp-10904</t>
  </si>
  <si>
    <t>P213</t>
  </si>
  <si>
    <t>12337-41-6</t>
  </si>
  <si>
    <t>AlRh</t>
  </si>
  <si>
    <t>mp-364</t>
  </si>
  <si>
    <t>12042-52-3</t>
  </si>
  <si>
    <t>AlRu</t>
  </si>
  <si>
    <t>mp-542569</t>
  </si>
  <si>
    <t>12042-53-4</t>
  </si>
  <si>
    <t>ScAl</t>
  </si>
  <si>
    <t>mp-331</t>
  </si>
  <si>
    <t>1299-86-1</t>
  </si>
  <si>
    <t>Al4C3</t>
  </si>
  <si>
    <t>mp-1591</t>
  </si>
  <si>
    <t>hR21</t>
  </si>
  <si>
    <t>56320-43-5</t>
  </si>
  <si>
    <t>Al3Pt2</t>
  </si>
  <si>
    <t>mp-10905</t>
  </si>
  <si>
    <t>12370-41-1</t>
  </si>
  <si>
    <t>Al8Cr5</t>
  </si>
  <si>
    <t>12005-42-4</t>
  </si>
  <si>
    <t>Al8V5</t>
  </si>
  <si>
    <t>cI52</t>
  </si>
  <si>
    <t>I-43m</t>
  </si>
  <si>
    <t>139281-97-3</t>
  </si>
  <si>
    <t>ScAl1.78</t>
  </si>
  <si>
    <t>12252-53-8</t>
  </si>
  <si>
    <t>HfAl2</t>
  </si>
  <si>
    <t>mp-12657</t>
  </si>
  <si>
    <t>12004-32-9</t>
  </si>
  <si>
    <t>LaAl2</t>
  </si>
  <si>
    <t>mp-2694</t>
  </si>
  <si>
    <t>12267-60-6</t>
  </si>
  <si>
    <t>LuAl2</t>
  </si>
  <si>
    <t>mp-1234</t>
  </si>
  <si>
    <t>12252-81-2</t>
  </si>
  <si>
    <t>Al2Os</t>
  </si>
  <si>
    <t>mp-7188</t>
  </si>
  <si>
    <t>12043-30-0</t>
  </si>
  <si>
    <t>YAl2</t>
  </si>
  <si>
    <t>mp-2322</t>
  </si>
  <si>
    <t>12004-50-1</t>
  </si>
  <si>
    <t>ZrAl2</t>
  </si>
  <si>
    <t>mp-2772</t>
  </si>
  <si>
    <t>12043-79-7</t>
  </si>
  <si>
    <t>Al8Mo3</t>
  </si>
  <si>
    <t>mS22</t>
  </si>
  <si>
    <t>149226-34-6</t>
  </si>
  <si>
    <t>Al11Re4</t>
  </si>
  <si>
    <t>aP15</t>
  </si>
  <si>
    <t>P-1</t>
  </si>
  <si>
    <t>12004-83-0</t>
  </si>
  <si>
    <t>ZrAl3</t>
  </si>
  <si>
    <t>mp-395</t>
  </si>
  <si>
    <t>tI16</t>
  </si>
  <si>
    <t>12004-64-7</t>
  </si>
  <si>
    <t>HfAl3</t>
  </si>
  <si>
    <t>mp-568718</t>
  </si>
  <si>
    <t>12004-70-5</t>
  </si>
  <si>
    <t>NbAl3</t>
  </si>
  <si>
    <t>mp-1842</t>
  </si>
  <si>
    <t>12004-76-1</t>
  </si>
  <si>
    <t>TaAl3</t>
  </si>
  <si>
    <t>mp-869</t>
  </si>
  <si>
    <t>12004-78-3</t>
  </si>
  <si>
    <t>TiAl3</t>
  </si>
  <si>
    <t>mp-542915</t>
  </si>
  <si>
    <t>12004-80-7</t>
  </si>
  <si>
    <t>Al3V</t>
  </si>
  <si>
    <t>mp-2554</t>
  </si>
  <si>
    <t>12254-14-7</t>
  </si>
  <si>
    <t>Al11La3</t>
  </si>
  <si>
    <t>oI28</t>
  </si>
  <si>
    <t>12253-55-3</t>
  </si>
  <si>
    <t>Al4W</t>
  </si>
  <si>
    <t>mp-30336</t>
  </si>
  <si>
    <t>mS30</t>
  </si>
  <si>
    <t>C1m1</t>
  </si>
  <si>
    <t>12045-01-1</t>
  </si>
  <si>
    <t>mp-493</t>
  </si>
  <si>
    <t>12006-85-8</t>
  </si>
  <si>
    <t>mp-1915</t>
  </si>
  <si>
    <t>12045-16-8</t>
  </si>
  <si>
    <t>Mn2B</t>
  </si>
  <si>
    <t>mp-20318</t>
  </si>
  <si>
    <t>12007-01-1</t>
  </si>
  <si>
    <t>mp-2536</t>
  </si>
  <si>
    <t>12228-36-3</t>
  </si>
  <si>
    <t>BPt2</t>
  </si>
  <si>
    <t xml:space="preserve">12006-77-8  </t>
  </si>
  <si>
    <t>mp-20857</t>
  </si>
  <si>
    <t>12006-84-7</t>
  </si>
  <si>
    <t>mp-20787</t>
  </si>
  <si>
    <t>12045-15-7</t>
  </si>
  <si>
    <t>MnB</t>
  </si>
  <si>
    <t>mp-8365</t>
  </si>
  <si>
    <t>12006-98-3</t>
  </si>
  <si>
    <t>BMo</t>
  </si>
  <si>
    <t>12007-00-0</t>
  </si>
  <si>
    <t>NiB</t>
  </si>
  <si>
    <t>mp-14019</t>
  </si>
  <si>
    <t>113625-89-1</t>
  </si>
  <si>
    <t>Meschel, S. V. &amp; Kleppa, O. J. Enthalpies of formation of refractory borides by high-temperature direct synthesis calorimetry: RuB1.1 and RhB1.1. MTA 22, 1680-1683 (1991).\n</t>
  </si>
  <si>
    <t>RhB1.1</t>
  </si>
  <si>
    <t>mp-567164</t>
  </si>
  <si>
    <t>hP4</t>
  </si>
  <si>
    <t>141298-03-5</t>
  </si>
  <si>
    <t>RuB1.1</t>
  </si>
  <si>
    <t>138934-58-4</t>
  </si>
  <si>
    <t>B4Ir3</t>
  </si>
  <si>
    <t>12007-16-8</t>
  </si>
  <si>
    <t>CrB2</t>
  </si>
  <si>
    <t>mp-374</t>
  </si>
  <si>
    <t>60304-76-9</t>
  </si>
  <si>
    <t>DyB2</t>
  </si>
  <si>
    <t>mp-2057</t>
  </si>
  <si>
    <t>12726-13-5</t>
  </si>
  <si>
    <t>ErB2</t>
  </si>
  <si>
    <t>mp-1774</t>
  </si>
  <si>
    <t>51311-01-4</t>
  </si>
  <si>
    <t>HoB2</t>
  </si>
  <si>
    <t>mp-2267</t>
  </si>
  <si>
    <t>60304-79-2</t>
  </si>
  <si>
    <t>LuB2</t>
  </si>
  <si>
    <t>mp-11219</t>
  </si>
  <si>
    <t>12228-50-1</t>
  </si>
  <si>
    <t>MnB2</t>
  </si>
  <si>
    <t>mp-585</t>
  </si>
  <si>
    <t>12007-29-3</t>
  </si>
  <si>
    <t>NbB2</t>
  </si>
  <si>
    <t>mp-450</t>
  </si>
  <si>
    <t>12355-99-6</t>
  </si>
  <si>
    <t>ReB2</t>
  </si>
  <si>
    <t>mp-1773</t>
  </si>
  <si>
    <t>12007-34-0</t>
  </si>
  <si>
    <t>ScB2</t>
  </si>
  <si>
    <t>mp-2252</t>
  </si>
  <si>
    <t>12007-35-1</t>
  </si>
  <si>
    <t>TaB2</t>
  </si>
  <si>
    <t>mp-1108</t>
  </si>
  <si>
    <t>60304-80-5</t>
  </si>
  <si>
    <t>TbB2</t>
  </si>
  <si>
    <t>mp-965</t>
  </si>
  <si>
    <t>12045-63-5</t>
  </si>
  <si>
    <t>TiB2</t>
  </si>
  <si>
    <t>mp-1145</t>
  </si>
  <si>
    <t>12228-68-1</t>
  </si>
  <si>
    <t>TmB2</t>
  </si>
  <si>
    <t>mp-800</t>
  </si>
  <si>
    <t>12007-37-3</t>
  </si>
  <si>
    <t>VB2</t>
  </si>
  <si>
    <t>mp-1491</t>
  </si>
  <si>
    <t>12429-58-2</t>
  </si>
  <si>
    <t>YB2</t>
  </si>
  <si>
    <t>mp-1542</t>
  </si>
  <si>
    <t>B5Gd2</t>
  </si>
  <si>
    <t>mP28</t>
  </si>
  <si>
    <t>86025-20-9</t>
  </si>
  <si>
    <t>B5Nd2</t>
  </si>
  <si>
    <t>B5Os2</t>
  </si>
  <si>
    <t>B5Pd2</t>
  </si>
  <si>
    <t>12007-98-6</t>
  </si>
  <si>
    <t>B5W2</t>
  </si>
  <si>
    <t>12007-52-2</t>
  </si>
  <si>
    <t>CeB4</t>
  </si>
  <si>
    <t>mp-1974</t>
  </si>
  <si>
    <t>P4/mbm</t>
  </si>
  <si>
    <t>12007-73-7</t>
  </si>
  <si>
    <t>LaB4</t>
  </si>
  <si>
    <t>mp-7283</t>
  </si>
  <si>
    <t>12007-77-1</t>
  </si>
  <si>
    <t>NdB4</t>
  </si>
  <si>
    <t>mp-1632</t>
  </si>
  <si>
    <t>12007-78-2</t>
  </si>
  <si>
    <t>PrB4</t>
  </si>
  <si>
    <t>mp-12569</t>
  </si>
  <si>
    <t>12045-95-3</t>
  </si>
  <si>
    <t>YB4</t>
  </si>
  <si>
    <t>mp-637</t>
  </si>
  <si>
    <t>LaB6</t>
  </si>
  <si>
    <t>mp-2680</t>
  </si>
  <si>
    <t>cP7</t>
  </si>
  <si>
    <t>12008-27-4</t>
  </si>
  <si>
    <t>PrB6</t>
  </si>
  <si>
    <t>mp-12762</t>
  </si>
  <si>
    <t>12071-17-9</t>
  </si>
  <si>
    <t>C2Mn5</t>
  </si>
  <si>
    <t>12075-40-0</t>
  </si>
  <si>
    <t>C3Cr7</t>
  </si>
  <si>
    <t>hP80</t>
  </si>
  <si>
    <t>P63mc</t>
  </si>
  <si>
    <t>12076-37-8</t>
  </si>
  <si>
    <t>C3Mn7</t>
  </si>
  <si>
    <t>12069-89-5</t>
  </si>
  <si>
    <t>Mo2C</t>
  </si>
  <si>
    <t>mp-1552</t>
  </si>
  <si>
    <t>Pbcn</t>
  </si>
  <si>
    <t>12202-81-2</t>
  </si>
  <si>
    <t>CSc2</t>
  </si>
  <si>
    <t>cF48</t>
  </si>
  <si>
    <t>12012-20-3</t>
  </si>
  <si>
    <t>Y2C</t>
  </si>
  <si>
    <t>mp-1334</t>
  </si>
  <si>
    <t>hR9</t>
  </si>
  <si>
    <t>12076-63-0</t>
  </si>
  <si>
    <t>C3V4</t>
  </si>
  <si>
    <t>hP8</t>
  </si>
  <si>
    <t>12070-08-5</t>
  </si>
  <si>
    <t>TiC</t>
  </si>
  <si>
    <t>mp-631</t>
  </si>
  <si>
    <t>cF8</t>
  </si>
  <si>
    <t>12012-32-7</t>
  </si>
  <si>
    <t>Meschel, S.V., Kleppa, O. J. Standard enthalpies of formation of some carbides, silicides and germanides of cerium and praseodymium. Journal of Alloys and Compounds 220, 88-93 (1995)</t>
  </si>
  <si>
    <t>CeC2</t>
  </si>
  <si>
    <t>mp-2839</t>
  </si>
  <si>
    <t xml:space="preserve">12175-80-3 </t>
  </si>
  <si>
    <t>DyC2</t>
  </si>
  <si>
    <t>mp-541840</t>
  </si>
  <si>
    <t>12192-37-9</t>
  </si>
  <si>
    <t>ErC2</t>
  </si>
  <si>
    <t>mp-1579</t>
  </si>
  <si>
    <t xml:space="preserve">12012-41-8 </t>
  </si>
  <si>
    <t>GdC2</t>
  </si>
  <si>
    <t>mp-12765</t>
  </si>
  <si>
    <t>12071-14-6</t>
  </si>
  <si>
    <t>HoC2</t>
  </si>
  <si>
    <t>Crystalline Modifications: (I4/mmm, tI6), (Fm-3m, cF12)</t>
  </si>
  <si>
    <t>12071-15-7</t>
  </si>
  <si>
    <t>LaC2</t>
  </si>
  <si>
    <t>mp-2367</t>
  </si>
  <si>
    <t xml:space="preserve">12175-89-2 </t>
  </si>
  <si>
    <t>LuC2</t>
  </si>
  <si>
    <t>mp-8371</t>
  </si>
  <si>
    <t xml:space="preserve">12071-21-5 </t>
  </si>
  <si>
    <t>NdC2</t>
  </si>
  <si>
    <t>mp-2297</t>
  </si>
  <si>
    <t xml:space="preserve">12071-25-9 </t>
  </si>
  <si>
    <t>PrC2</t>
  </si>
  <si>
    <t>mp-1995</t>
  </si>
  <si>
    <t>12071-28-2</t>
  </si>
  <si>
    <t>SmC2</t>
  </si>
  <si>
    <t>mp-12764</t>
  </si>
  <si>
    <t>12071-30-6</t>
  </si>
  <si>
    <t>TbC2</t>
  </si>
  <si>
    <t>mp-2119</t>
  </si>
  <si>
    <t>12180-16-4</t>
  </si>
  <si>
    <t>C2Tm</t>
  </si>
  <si>
    <t>12014-85-6</t>
  </si>
  <si>
    <t>CeSi2</t>
  </si>
  <si>
    <t>12014-84-5</t>
  </si>
  <si>
    <t>CeSi</t>
  </si>
  <si>
    <t>mp-21115</t>
  </si>
  <si>
    <t>12050-88-3</t>
  </si>
  <si>
    <t>Ce5Si3</t>
  </si>
  <si>
    <t>mp-570175</t>
  </si>
  <si>
    <t>tI32</t>
  </si>
  <si>
    <t>12052-29-8</t>
  </si>
  <si>
    <t>Ga3Co</t>
  </si>
  <si>
    <t>mp-20559</t>
  </si>
  <si>
    <t>tP16</t>
  </si>
  <si>
    <t>12017-12-8</t>
  </si>
  <si>
    <t>CoSi2</t>
  </si>
  <si>
    <t>mp-2379</t>
  </si>
  <si>
    <t>cF12</t>
  </si>
  <si>
    <t>12017-11-7</t>
  </si>
  <si>
    <t>CoSi</t>
  </si>
  <si>
    <t>mp-7577</t>
  </si>
  <si>
    <t>12134-03-1</t>
  </si>
  <si>
    <t>Co2Si</t>
  </si>
  <si>
    <t>mp-19905</t>
  </si>
  <si>
    <t>12018-09-6</t>
  </si>
  <si>
    <t>CrSi2</t>
  </si>
  <si>
    <t>mp-1222</t>
  </si>
  <si>
    <t>P6222</t>
  </si>
  <si>
    <t>12018-08-5</t>
  </si>
  <si>
    <t>CrSi</t>
  </si>
  <si>
    <t>mp-7576</t>
  </si>
  <si>
    <t>12018-42-7</t>
  </si>
  <si>
    <t>Cr5Si3</t>
  </si>
  <si>
    <t>mp-7506</t>
  </si>
  <si>
    <t>37205-05-3</t>
  </si>
  <si>
    <t>Cr3Ga</t>
  </si>
  <si>
    <t>mp-1231</t>
  </si>
  <si>
    <t>12018-36-9</t>
  </si>
  <si>
    <t>Cr3Si</t>
  </si>
  <si>
    <t>mp-729</t>
  </si>
  <si>
    <t>12134-36-0</t>
  </si>
  <si>
    <t>Cu3Si</t>
  </si>
  <si>
    <t>12133-07-2</t>
  </si>
  <si>
    <t>DySi2</t>
  </si>
  <si>
    <t>12019-94-2</t>
  </si>
  <si>
    <t>DySi</t>
  </si>
  <si>
    <t>mp-1182</t>
  </si>
  <si>
    <t>12020-09-6</t>
  </si>
  <si>
    <t>Dy5Si3</t>
  </si>
  <si>
    <t>mp-2836</t>
  </si>
  <si>
    <t>P63/mcm</t>
  </si>
  <si>
    <t>12020-28-9</t>
  </si>
  <si>
    <t>ErSi2</t>
  </si>
  <si>
    <t>mp-2145</t>
  </si>
  <si>
    <t>12020-27-8</t>
  </si>
  <si>
    <t>ErSi</t>
  </si>
  <si>
    <t>mp-378</t>
  </si>
  <si>
    <t>12020-46-1</t>
  </si>
  <si>
    <t>Er5Si3</t>
  </si>
  <si>
    <t>mp-31167</t>
  </si>
  <si>
    <t>12062-72-5</t>
  </si>
  <si>
    <t>Ga3Fe</t>
  </si>
  <si>
    <t>mp-636368</t>
  </si>
  <si>
    <t>12022-95-6</t>
  </si>
  <si>
    <t>FeSi</t>
  </si>
  <si>
    <t>mp-871</t>
  </si>
  <si>
    <t>37381-83-2</t>
  </si>
  <si>
    <t>GaMo3</t>
  </si>
  <si>
    <t>mp-2377</t>
  </si>
  <si>
    <t>69847-95-6</t>
  </si>
  <si>
    <t>GaPd2</t>
  </si>
  <si>
    <t>mp-1869</t>
  </si>
  <si>
    <t>12500-08-2</t>
  </si>
  <si>
    <t>Ti2Ga</t>
  </si>
  <si>
    <t>mp-30671</t>
  </si>
  <si>
    <t>12786-50-4</t>
  </si>
  <si>
    <t>Zr2Ga</t>
  </si>
  <si>
    <t>mp-569833</t>
  </si>
  <si>
    <t>12024-30-5</t>
  </si>
  <si>
    <t>Nb5Ga3</t>
  </si>
  <si>
    <t>mp-570293</t>
  </si>
  <si>
    <t>12024-32-7</t>
  </si>
  <si>
    <t>Sc5Ga3</t>
  </si>
  <si>
    <t>mp-17332</t>
  </si>
  <si>
    <t>12183-34-5</t>
  </si>
  <si>
    <t>GaNi</t>
  </si>
  <si>
    <t>mp-1941</t>
  </si>
  <si>
    <t>59125-32-5</t>
  </si>
  <si>
    <t>GaPd</t>
  </si>
  <si>
    <t>73157-04-7</t>
  </si>
  <si>
    <t>GaRh</t>
  </si>
  <si>
    <t>mp-2444</t>
  </si>
  <si>
    <t>39388-93-7</t>
  </si>
  <si>
    <t>GaRu</t>
  </si>
  <si>
    <t>mp-22320</t>
  </si>
  <si>
    <t>12160-65-5</t>
  </si>
  <si>
    <t>YGa</t>
  </si>
  <si>
    <t>mp-11420</t>
  </si>
  <si>
    <t>12064-21-0</t>
  </si>
  <si>
    <t>Ga2Ru</t>
  </si>
  <si>
    <t>oF24</t>
  </si>
  <si>
    <t>Fddd</t>
  </si>
  <si>
    <t>12435-21-1</t>
  </si>
  <si>
    <t>YGa2</t>
  </si>
  <si>
    <t>mp-1914</t>
  </si>
  <si>
    <t>12024-48-5</t>
  </si>
  <si>
    <t>Ga5V2</t>
  </si>
  <si>
    <t>tP14</t>
  </si>
  <si>
    <t>60862-22-8</t>
  </si>
  <si>
    <t>Ga3Rh</t>
  </si>
  <si>
    <t>51681-99-3</t>
  </si>
  <si>
    <t>TmGa3</t>
  </si>
  <si>
    <t>mp-1603</t>
  </si>
  <si>
    <t>12134-75-7</t>
  </si>
  <si>
    <t>GdSi2</t>
  </si>
  <si>
    <t>GdSi</t>
  </si>
  <si>
    <t>mp-601371</t>
  </si>
  <si>
    <t>12024-95-2</t>
  </si>
  <si>
    <t>Gd5Si3</t>
  </si>
  <si>
    <t>12437-21-7</t>
  </si>
  <si>
    <t>HfSi</t>
  </si>
  <si>
    <t>mp-1042</t>
  </si>
  <si>
    <t>12401-59-1</t>
  </si>
  <si>
    <t>Hf3Si2</t>
  </si>
  <si>
    <t>mp-2105</t>
  </si>
  <si>
    <t>tP10</t>
  </si>
  <si>
    <t>12136-24-2</t>
  </si>
  <si>
    <t>HoSi2</t>
  </si>
  <si>
    <t>12029-88-8</t>
  </si>
  <si>
    <t>HoSi</t>
  </si>
  <si>
    <t>mp-12899</t>
  </si>
  <si>
    <t>12029-94-6</t>
  </si>
  <si>
    <t>Ho5Si3</t>
  </si>
  <si>
    <t>mp-13236</t>
  </si>
  <si>
    <t>12339-65-0</t>
  </si>
  <si>
    <t>SiIr</t>
  </si>
  <si>
    <t>mp-1128</t>
  </si>
  <si>
    <t>12056-90-5</t>
  </si>
  <si>
    <t>LaSi2</t>
  </si>
  <si>
    <t>12031-32-2</t>
  </si>
  <si>
    <t>LaSi</t>
  </si>
  <si>
    <t>mp-1860</t>
  </si>
  <si>
    <t>12031-55-9</t>
  </si>
  <si>
    <t>La3Si2</t>
  </si>
  <si>
    <t>mp-10162</t>
  </si>
  <si>
    <t>12057-11-3</t>
  </si>
  <si>
    <t>La5Si3</t>
  </si>
  <si>
    <t>mp-10961</t>
  </si>
  <si>
    <t>12032-12-1</t>
  </si>
  <si>
    <t>LuSi</t>
  </si>
  <si>
    <t>mp-1001612</t>
  </si>
  <si>
    <t xml:space="preserve">12032-24-5  </t>
  </si>
  <si>
    <t>Lu5Si3</t>
  </si>
  <si>
    <t>mp-11908</t>
  </si>
  <si>
    <t>12032-85-8</t>
  </si>
  <si>
    <t>MnSi</t>
  </si>
  <si>
    <t>mp-1431</t>
  </si>
  <si>
    <t>12033-10-2</t>
  </si>
  <si>
    <t>Mn5Si3</t>
  </si>
  <si>
    <t>mp-1111</t>
  </si>
  <si>
    <t>12136-78-6</t>
  </si>
  <si>
    <t>Si2Mo</t>
  </si>
  <si>
    <t>mp-2592</t>
  </si>
  <si>
    <t>12033-40-8</t>
  </si>
  <si>
    <t>Si3Mo5</t>
  </si>
  <si>
    <t>mp-1332</t>
  </si>
  <si>
    <t>12034-80-9</t>
  </si>
  <si>
    <t>NbSi2</t>
  </si>
  <si>
    <t>mp-2478</t>
  </si>
  <si>
    <t>12060-34-3</t>
  </si>
  <si>
    <t>Nb5Si3</t>
  </si>
  <si>
    <t>mp-13686</t>
  </si>
  <si>
    <t>12137-04-1</t>
  </si>
  <si>
    <t>NdSi2</t>
  </si>
  <si>
    <t>12035-25-5</t>
  </si>
  <si>
    <t>NdSi</t>
  </si>
  <si>
    <t>mp-9967</t>
  </si>
  <si>
    <t>12164-80-6</t>
  </si>
  <si>
    <t>Nd5Si3</t>
  </si>
  <si>
    <t>mp-567735</t>
  </si>
  <si>
    <t>12035-57-3</t>
  </si>
  <si>
    <t>SiNi</t>
  </si>
  <si>
    <t>mp-351</t>
  </si>
  <si>
    <t>12059-14-2</t>
  </si>
  <si>
    <t>SiNi2</t>
  </si>
  <si>
    <t>mp-1118</t>
  </si>
  <si>
    <t>12059-27-7</t>
  </si>
  <si>
    <t>Ni5Si2</t>
  </si>
  <si>
    <t>hP43</t>
  </si>
  <si>
    <t>P321</t>
  </si>
  <si>
    <t>54250-82-7</t>
  </si>
  <si>
    <t>Si3Os2</t>
  </si>
  <si>
    <t>mp-16608</t>
  </si>
  <si>
    <t>oP40</t>
  </si>
  <si>
    <t>11118-10-8</t>
  </si>
  <si>
    <t>SiOs</t>
  </si>
  <si>
    <t>mp-2488</t>
  </si>
  <si>
    <t>12188-53-3</t>
  </si>
  <si>
    <t>SiPd2</t>
  </si>
  <si>
    <t>mp-697068</t>
  </si>
  <si>
    <t>12165-87-6</t>
  </si>
  <si>
    <t>SiPd3</t>
  </si>
  <si>
    <t>mp-20622</t>
  </si>
  <si>
    <t>12066-83-0</t>
  </si>
  <si>
    <t>PrSi2</t>
  </si>
  <si>
    <t>12038-10-7</t>
  </si>
  <si>
    <t>PrSi</t>
  </si>
  <si>
    <t>mp-9968</t>
  </si>
  <si>
    <t>12165-96-7</t>
  </si>
  <si>
    <t>Pr5Si3</t>
  </si>
  <si>
    <t>12137-83-6</t>
  </si>
  <si>
    <t>SiPt</t>
  </si>
  <si>
    <t>mp-696</t>
  </si>
  <si>
    <t>12137-86-9</t>
  </si>
  <si>
    <t>SiPt2</t>
  </si>
  <si>
    <t>mp-1299</t>
  </si>
  <si>
    <t>Crystalline Modifications: (I4/mmm, tI6), (P-62m, hP9)</t>
  </si>
  <si>
    <t>12384-85-9</t>
  </si>
  <si>
    <t>Re2Si</t>
  </si>
  <si>
    <t>mp-669547</t>
  </si>
  <si>
    <t>12038-78-7</t>
  </si>
  <si>
    <t>SiRh</t>
  </si>
  <si>
    <t>mp-818</t>
  </si>
  <si>
    <t>Crystalline Modifications: (Pm-3m, cP2), (P213, cP8)</t>
  </si>
  <si>
    <t>12340-37-3</t>
  </si>
  <si>
    <t>SiRh2</t>
  </si>
  <si>
    <t>mp-20418</t>
  </si>
  <si>
    <t>12166-24-4</t>
  </si>
  <si>
    <t>Si3Ru2</t>
  </si>
  <si>
    <t>mp-22192</t>
  </si>
  <si>
    <t>12138-03-3</t>
  </si>
  <si>
    <t>SiRu</t>
  </si>
  <si>
    <t>mp-189</t>
  </si>
  <si>
    <t>12039-46-2</t>
  </si>
  <si>
    <t>ScSi</t>
  </si>
  <si>
    <t>mp-9969</t>
  </si>
  <si>
    <t>12067-41-3</t>
  </si>
  <si>
    <t>Sc5Si3</t>
  </si>
  <si>
    <t>mp-7822</t>
  </si>
  <si>
    <t>12039-76-8</t>
  </si>
  <si>
    <t>V3Si</t>
  </si>
  <si>
    <t>mp-2567</t>
  </si>
  <si>
    <t>12166-57-3</t>
  </si>
  <si>
    <t>Sm5Si3</t>
  </si>
  <si>
    <t>12067-56-0</t>
  </si>
  <si>
    <t>Ta5Si3</t>
  </si>
  <si>
    <t>mp-1989</t>
  </si>
  <si>
    <t>12039-92-8</t>
  </si>
  <si>
    <t>Tb5Si3</t>
  </si>
  <si>
    <t>mp-206</t>
  </si>
  <si>
    <t>12067-57-1</t>
  </si>
  <si>
    <t>Ti5Si3</t>
  </si>
  <si>
    <t>mp-2108</t>
  </si>
  <si>
    <t>12039-93-9</t>
  </si>
  <si>
    <t>Tm5Si3</t>
  </si>
  <si>
    <t>12143-78-1</t>
  </si>
  <si>
    <t>V5Si3</t>
  </si>
  <si>
    <t>mp-568671</t>
  </si>
  <si>
    <t>12067-58-2</t>
  </si>
  <si>
    <t>Y5Si3</t>
  </si>
  <si>
    <t>mp-2538</t>
  </si>
  <si>
    <t xml:space="preserve">12039-97-3  </t>
  </si>
  <si>
    <t>Zr5Si3</t>
  </si>
  <si>
    <t>mp-568115</t>
  </si>
  <si>
    <t>12413-10-4</t>
  </si>
  <si>
    <t>Si4Ti5</t>
  </si>
  <si>
    <t>12218-92-7</t>
  </si>
  <si>
    <t>Si4Zr5</t>
  </si>
  <si>
    <t>mp-1304</t>
  </si>
  <si>
    <t>tP36</t>
  </si>
  <si>
    <t>12039-64-4</t>
  </si>
  <si>
    <t>SmSi</t>
  </si>
  <si>
    <t>12039-67-7</t>
  </si>
  <si>
    <t>TbSi</t>
  </si>
  <si>
    <t>mp-1924</t>
  </si>
  <si>
    <t>12039-70-2</t>
  </si>
  <si>
    <t>TiSi</t>
  </si>
  <si>
    <t>mp-7092</t>
  </si>
  <si>
    <t>12039-72-4</t>
  </si>
  <si>
    <t>TmSi</t>
  </si>
  <si>
    <t>12039-77-9</t>
  </si>
  <si>
    <t>YSi</t>
  </si>
  <si>
    <t>mp-9972</t>
  </si>
  <si>
    <t>12138-26-0</t>
  </si>
  <si>
    <t>ZrSi</t>
  </si>
  <si>
    <t>mp-893</t>
  </si>
  <si>
    <t>12300-22-0</t>
  </si>
  <si>
    <t>Si2Sm</t>
  </si>
  <si>
    <t>12039-79-1</t>
  </si>
  <si>
    <t>TaSi2</t>
  </si>
  <si>
    <t>mp-517</t>
  </si>
  <si>
    <t>12039-80-4</t>
  </si>
  <si>
    <t>Si2Tb</t>
  </si>
  <si>
    <t>12039-83-7</t>
  </si>
  <si>
    <t>TiSi2</t>
  </si>
  <si>
    <t>mp-2582</t>
  </si>
  <si>
    <t>12039-84-8</t>
  </si>
  <si>
    <t>TmSi2</t>
  </si>
  <si>
    <t>mp-772</t>
  </si>
  <si>
    <t>12039-87-1</t>
  </si>
  <si>
    <t>VSi2</t>
  </si>
  <si>
    <t>mp-10711</t>
  </si>
  <si>
    <t>12039-88-2</t>
  </si>
  <si>
    <t>Si2W</t>
  </si>
  <si>
    <t>mp-1620</t>
  </si>
  <si>
    <t>12067-55-9</t>
  </si>
  <si>
    <t>YSi2</t>
  </si>
  <si>
    <t>mp-2568</t>
  </si>
  <si>
    <t>12039-90-6</t>
  </si>
  <si>
    <t>ZrSi2</t>
  </si>
  <si>
    <t>mp-1515</t>
  </si>
  <si>
    <t>oS12</t>
  </si>
  <si>
    <t>12157-59-4</t>
  </si>
  <si>
    <t>CeIn3</t>
  </si>
  <si>
    <t>mp-20369</t>
  </si>
  <si>
    <t>12141-96-7</t>
  </si>
  <si>
    <t>PrIn3</t>
  </si>
  <si>
    <t>mp-20903</t>
  </si>
  <si>
    <t>12141-95-6</t>
  </si>
  <si>
    <t>NdIn3</t>
  </si>
  <si>
    <t>mp-21197</t>
  </si>
  <si>
    <t>12056-12-1</t>
  </si>
  <si>
    <t>SmIn3</t>
  </si>
  <si>
    <t>mp-19977</t>
  </si>
  <si>
    <t>12160-85-9</t>
  </si>
  <si>
    <t>GdIn3</t>
  </si>
  <si>
    <t>mp-20258</t>
  </si>
  <si>
    <t>12136-37-7</t>
  </si>
  <si>
    <t>TbIn3</t>
  </si>
  <si>
    <t>mp-20920</t>
  </si>
  <si>
    <t>12159-24-9</t>
  </si>
  <si>
    <t>DyIn3</t>
  </si>
  <si>
    <t>mp-20236</t>
  </si>
  <si>
    <t>12383-68-5</t>
  </si>
  <si>
    <t>Ho5In3</t>
  </si>
  <si>
    <t>12381-84-9</t>
  </si>
  <si>
    <t>Er5In3</t>
  </si>
  <si>
    <t>12136-38-8</t>
  </si>
  <si>
    <t>TmIn3</t>
  </si>
  <si>
    <t>mp-21177</t>
  </si>
  <si>
    <t>12383-88-9</t>
  </si>
  <si>
    <t>Lu5In3</t>
  </si>
  <si>
    <t>55608-51-0</t>
  </si>
  <si>
    <t>Cu51Zr14</t>
  </si>
  <si>
    <t>12259-15-3</t>
  </si>
  <si>
    <t>Cu3Pd</t>
  </si>
  <si>
    <t>mp-580357</t>
  </si>
  <si>
    <t>55608-52-1</t>
  </si>
  <si>
    <t>Cu51Hf14</t>
  </si>
  <si>
    <t>12054-22-7</t>
  </si>
  <si>
    <t>Cu3Pt</t>
  </si>
  <si>
    <t>mp-12086</t>
  </si>
  <si>
    <t>12002-89-0</t>
  </si>
  <si>
    <t>TiAg</t>
  </si>
  <si>
    <t>mp-1017985</t>
  </si>
  <si>
    <t>12002-90-3</t>
  </si>
  <si>
    <t>Ti2Ag</t>
  </si>
  <si>
    <t>mp-979115</t>
  </si>
  <si>
    <t>12249-96-6</t>
  </si>
  <si>
    <t>YAg2</t>
  </si>
  <si>
    <t>mp-999544</t>
  </si>
  <si>
    <t>12271-89-5</t>
  </si>
  <si>
    <t>ScAu2</t>
  </si>
  <si>
    <t>mp-1018148</t>
  </si>
  <si>
    <t>11081-76-8</t>
  </si>
  <si>
    <t>ScAu4</t>
  </si>
  <si>
    <t>tI10</t>
  </si>
  <si>
    <t>I4/m</t>
  </si>
  <si>
    <t>12256-46-1</t>
  </si>
  <si>
    <t>AuMn</t>
  </si>
  <si>
    <t>oP2</t>
  </si>
  <si>
    <t>Pmmm</t>
  </si>
  <si>
    <t>12256-66-5</t>
  </si>
  <si>
    <t>YAu2</t>
  </si>
  <si>
    <t>mp-1018113</t>
  </si>
  <si>
    <t>12322-65-5</t>
  </si>
  <si>
    <t>YAu3</t>
  </si>
  <si>
    <t>12256-71-2</t>
  </si>
  <si>
    <t>PdAu3</t>
  </si>
  <si>
    <t>12032-98-3</t>
  </si>
  <si>
    <t>ScMn2</t>
  </si>
  <si>
    <t>mp-2039</t>
  </si>
  <si>
    <t>897631-00-4</t>
  </si>
  <si>
    <t>Os11Sc4</t>
  </si>
  <si>
    <t>cF120</t>
  </si>
  <si>
    <t xml:space="preserve">12057-95-3  </t>
  </si>
  <si>
    <t>TiMn2</t>
  </si>
  <si>
    <t>mp-1949</t>
  </si>
  <si>
    <t>12029-31-1</t>
  </si>
  <si>
    <t>HfV2</t>
  </si>
  <si>
    <t>mp-1043</t>
  </si>
  <si>
    <t>12142-05-1</t>
  </si>
  <si>
    <t>VIr</t>
  </si>
  <si>
    <t>mp-569250</t>
  </si>
  <si>
    <t>Cmmm</t>
  </si>
  <si>
    <t>12023-12-0</t>
  </si>
  <si>
    <t>HfFe2</t>
  </si>
  <si>
    <t>Crystalline Modifications: (Fd-3m, cF24), (P63/mmc, hP24)</t>
  </si>
  <si>
    <t>102500-62-9</t>
  </si>
  <si>
    <t>Fe7Nb6</t>
  </si>
  <si>
    <t>hR39</t>
  </si>
  <si>
    <t>12017-54-8</t>
  </si>
  <si>
    <t>NbCo3</t>
  </si>
  <si>
    <t>mp-977426</t>
  </si>
  <si>
    <t>12052-58-3</t>
  </si>
  <si>
    <t>Co3Ta</t>
  </si>
  <si>
    <t>12035-61-9</t>
  </si>
  <si>
    <t>YNi</t>
  </si>
  <si>
    <t>mp-1364</t>
  </si>
  <si>
    <t>12137-63-2</t>
  </si>
  <si>
    <t>ScOs2</t>
  </si>
  <si>
    <t>mp-567612</t>
  </si>
  <si>
    <t>12134-06-4</t>
  </si>
  <si>
    <t>VCo3</t>
  </si>
  <si>
    <t>mp-542614</t>
  </si>
  <si>
    <t>12142-06-2</t>
  </si>
  <si>
    <t>V3Ir</t>
  </si>
  <si>
    <t>mp-2006</t>
  </si>
  <si>
    <t>12182-97-7</t>
  </si>
  <si>
    <t>YFe3</t>
  </si>
  <si>
    <t>12023-44-8</t>
  </si>
  <si>
    <t>YFe2</t>
  </si>
  <si>
    <t>mp-1570</t>
  </si>
  <si>
    <t>12023-22-2</t>
  </si>
  <si>
    <t>NbFe2</t>
  </si>
  <si>
    <t>mp-568901</t>
  </si>
  <si>
    <t>12017-33-3</t>
  </si>
  <si>
    <t>NbCo2</t>
  </si>
  <si>
    <t>mp-670</t>
  </si>
  <si>
    <t>12139-96-7</t>
  </si>
  <si>
    <t>TaCo2</t>
  </si>
  <si>
    <t>mp-1799</t>
  </si>
  <si>
    <t>12023-37-9</t>
  </si>
  <si>
    <t>TaFe2</t>
  </si>
  <si>
    <t>mp-568077</t>
  </si>
  <si>
    <t>12034-56-9</t>
  </si>
  <si>
    <t>NbNi3</t>
  </si>
  <si>
    <t>mp-1451</t>
  </si>
  <si>
    <t>12775-97-2</t>
  </si>
  <si>
    <t>TbCu2</t>
  </si>
  <si>
    <t>mp-1527</t>
  </si>
  <si>
    <t>12174-83-3</t>
  </si>
  <si>
    <t>Cu2Dy</t>
  </si>
  <si>
    <t>60861-99-6</t>
  </si>
  <si>
    <t>HoCu2</t>
  </si>
  <si>
    <t>mp-30584</t>
  </si>
  <si>
    <t>12527-58-1</t>
  </si>
  <si>
    <t>Cu2Er</t>
  </si>
  <si>
    <t>60862-01-3</t>
  </si>
  <si>
    <t>Cu2Tm</t>
  </si>
  <si>
    <t>12444-45-0</t>
  </si>
  <si>
    <t>TbCu5</t>
  </si>
  <si>
    <t>Crystalline Modifications: (F-43m, cF24), (P6/mmm, hP6)</t>
  </si>
  <si>
    <t>12444-39-2</t>
  </si>
  <si>
    <t>DyCu5</t>
  </si>
  <si>
    <t>12444-43-8</t>
  </si>
  <si>
    <t>HoCu5</t>
  </si>
  <si>
    <t>12444-40-5</t>
  </si>
  <si>
    <t>Cu5Er</t>
  </si>
  <si>
    <t>12444-46-1</t>
  </si>
  <si>
    <t>TmCu5</t>
  </si>
  <si>
    <t>163687-15-8</t>
  </si>
  <si>
    <t>Cu5Lu</t>
  </si>
  <si>
    <t>12256-56-3</t>
  </si>
  <si>
    <t>TbAu</t>
  </si>
  <si>
    <t>mp-999141</t>
  </si>
  <si>
    <t>12256-40-5</t>
  </si>
  <si>
    <t>DyAu</t>
  </si>
  <si>
    <t>Crystalline Modifications: (Pm-3m, cP2), (Cmcm, oS8)</t>
  </si>
  <si>
    <t>12044-76-7</t>
  </si>
  <si>
    <t>ErAu</t>
  </si>
  <si>
    <t>mp-2442</t>
  </si>
  <si>
    <t>12044-92-7</t>
  </si>
  <si>
    <t>TmAu</t>
  </si>
  <si>
    <t>12271-90-8</t>
  </si>
  <si>
    <t>TbAu2</t>
  </si>
  <si>
    <t>mp-570179</t>
  </si>
  <si>
    <t>12271-85-1</t>
  </si>
  <si>
    <t>DyAu2</t>
  </si>
  <si>
    <t>mp-11241</t>
  </si>
  <si>
    <t>12256-63-2</t>
  </si>
  <si>
    <t>HoAu2</t>
  </si>
  <si>
    <t>mp-990</t>
  </si>
  <si>
    <t>12256-62-1</t>
  </si>
  <si>
    <t>ErAu2</t>
  </si>
  <si>
    <t>mp-2466</t>
  </si>
  <si>
    <t>12271-91-9</t>
  </si>
  <si>
    <t>TmAu2</t>
  </si>
  <si>
    <t>mp-560</t>
  </si>
  <si>
    <t>12271-88-4</t>
  </si>
  <si>
    <t>LuAu2</t>
  </si>
  <si>
    <t>mp-1018152</t>
  </si>
  <si>
    <t>12429-41-3</t>
  </si>
  <si>
    <t>TbAu3</t>
  </si>
  <si>
    <t>12322-59-7</t>
  </si>
  <si>
    <t>DyAu3</t>
  </si>
  <si>
    <t>Crystalline Modifications: (Pmmn, oP8), (P6/m, hP68)</t>
  </si>
  <si>
    <t>12322-63-3</t>
  </si>
  <si>
    <t>HoAu3</t>
  </si>
  <si>
    <t>mp-30386</t>
  </si>
  <si>
    <t>12322-60-0</t>
  </si>
  <si>
    <t>ErAu3</t>
  </si>
  <si>
    <t>12429-42-4</t>
  </si>
  <si>
    <t>TmAu3</t>
  </si>
  <si>
    <t>mp-568247</t>
  </si>
  <si>
    <t>1127890-41-8</t>
  </si>
  <si>
    <t>Au51La14</t>
  </si>
  <si>
    <t>12019-21-5</t>
  </si>
  <si>
    <t>SmCu</t>
  </si>
  <si>
    <t>mp-12586</t>
  </si>
  <si>
    <t>12645-14-6</t>
  </si>
  <si>
    <t>Cu2Sm</t>
  </si>
  <si>
    <t>12507-17-4</t>
  </si>
  <si>
    <t>SmCu6</t>
  </si>
  <si>
    <t>mp-30699</t>
  </si>
  <si>
    <t>12041-15-5</t>
  </si>
  <si>
    <t>AgSm</t>
  </si>
  <si>
    <t>74846-01-8</t>
  </si>
  <si>
    <t>Ag2Sm</t>
  </si>
  <si>
    <t>Crystalline Modifications: (I4/mmm, tI6), (Imma, oI12)</t>
  </si>
  <si>
    <t>12510-98-4</t>
  </si>
  <si>
    <t>Ag51Sm14</t>
  </si>
  <si>
    <t>12263-50-2</t>
  </si>
  <si>
    <t>SmAu</t>
  </si>
  <si>
    <t>11092-57-2</t>
  </si>
  <si>
    <t>Au2Sm</t>
  </si>
  <si>
    <t>900531-70-6</t>
  </si>
  <si>
    <t>Au51Sm14</t>
  </si>
  <si>
    <t>12041-16-6</t>
  </si>
  <si>
    <t>TbAg</t>
  </si>
  <si>
    <t>mp-2268</t>
  </si>
  <si>
    <t>12002-64-1</t>
  </si>
  <si>
    <t>DyAg</t>
  </si>
  <si>
    <t>mp-2167</t>
  </si>
  <si>
    <t>12002-65-2</t>
  </si>
  <si>
    <t>ErAg</t>
  </si>
  <si>
    <t>mp-2621</t>
  </si>
  <si>
    <t>12002-92-5</t>
  </si>
  <si>
    <t>TmAg</t>
  </si>
  <si>
    <t>mp-2796</t>
  </si>
  <si>
    <t>12310-27-9</t>
  </si>
  <si>
    <t>PrAg2</t>
  </si>
  <si>
    <t>50647-20-6</t>
  </si>
  <si>
    <t>NdAg2</t>
  </si>
  <si>
    <t>12271-30-6</t>
  </si>
  <si>
    <t>GdAg2</t>
  </si>
  <si>
    <t>12271-34-0</t>
  </si>
  <si>
    <t>TbAg2</t>
  </si>
  <si>
    <t>12271-29-3</t>
  </si>
  <si>
    <t>DyAg2</t>
  </si>
  <si>
    <t>12041-23-5</t>
  </si>
  <si>
    <t>HoAg2</t>
  </si>
  <si>
    <t>12249-75-1</t>
  </si>
  <si>
    <t>ErAg2</t>
  </si>
  <si>
    <t>mp-30339</t>
  </si>
  <si>
    <t>12271-35-1</t>
  </si>
  <si>
    <t>TmAg2</t>
  </si>
  <si>
    <t>mp-30359</t>
  </si>
  <si>
    <t>Indicative Result; Crystalline Modifications: ID 756, 757</t>
  </si>
  <si>
    <t>Ag2Tm</t>
  </si>
  <si>
    <t>12271-32-8</t>
  </si>
  <si>
    <t>LuAg2</t>
  </si>
  <si>
    <t>mp-1018131</t>
  </si>
  <si>
    <t>12428-11-4</t>
  </si>
  <si>
    <t>Ag3Tb</t>
  </si>
  <si>
    <t>12349-55-2</t>
  </si>
  <si>
    <t>Ag3Dy</t>
  </si>
  <si>
    <t>12349-58-5</t>
  </si>
  <si>
    <t>Ag3Ho</t>
  </si>
  <si>
    <t>12428-08-9</t>
  </si>
  <si>
    <t>Ag3Er</t>
  </si>
  <si>
    <t>12428-12-5</t>
  </si>
  <si>
    <t>Ag3Tm</t>
  </si>
  <si>
    <t>Al5Ni4Rh</t>
  </si>
  <si>
    <t>Al5Ni3Rh2</t>
  </si>
  <si>
    <t>Al5Ni2Rh3</t>
  </si>
  <si>
    <t>Al5NiRh4</t>
  </si>
  <si>
    <t xml:space="preserve">12140-97-5  </t>
  </si>
  <si>
    <t>Ti5Ge3</t>
  </si>
  <si>
    <t>mp-568151</t>
  </si>
  <si>
    <t xml:space="preserve">12140-99-7  </t>
  </si>
  <si>
    <t>V5Ge3</t>
  </si>
  <si>
    <t xml:space="preserve">12025-71-7  </t>
  </si>
  <si>
    <t>Mn5Ge3</t>
  </si>
  <si>
    <t>mp-617291</t>
  </si>
  <si>
    <t xml:space="preserve">12063-52-4  </t>
  </si>
  <si>
    <t>Fe5Ge3</t>
  </si>
  <si>
    <t xml:space="preserve">12516-50-6  </t>
  </si>
  <si>
    <t>Co5Ge3</t>
  </si>
  <si>
    <t>12519-33-4</t>
  </si>
  <si>
    <t>Ni5Ge3</t>
  </si>
  <si>
    <t>Delsante, S., Ghosh, G., Borzone, G. A Calorimetric Study of Alloys along the Ti(Zn,Al)3 Section. CALPHAD: Computer Coupling of Phase Diagrams and Thermochemistry 33, 50-54 (2009)</t>
  </si>
  <si>
    <t>Al0.1Ti0.25Zn0.65</t>
  </si>
  <si>
    <t>Al0.2Ti0.25Zn0.55</t>
  </si>
  <si>
    <t>Al0.3Ti0.25Zn0.45</t>
  </si>
  <si>
    <t>Al0.4Ti0.25Zn0.35</t>
  </si>
  <si>
    <t>Al2TiZn</t>
  </si>
  <si>
    <t>Al0.6Ti0.25Zn0.15</t>
  </si>
  <si>
    <t>InPd</t>
  </si>
  <si>
    <t>mp-21215</t>
  </si>
  <si>
    <t xml:space="preserve">12383-91-4  </t>
  </si>
  <si>
    <t>In3Pd2</t>
  </si>
  <si>
    <t>mp-510437</t>
  </si>
  <si>
    <t>12186-92-4</t>
  </si>
  <si>
    <t>Sn2Pd</t>
  </si>
  <si>
    <t>mp-1573</t>
  </si>
  <si>
    <t>tI48</t>
  </si>
  <si>
    <t>I41/acd</t>
  </si>
  <si>
    <t>Gachon, J.C., Dirand, M., Hertz J. The enthalpies of formation of the intermediate phases Co0.33Zr0.67,Co0.50Zr0.50, Co0.67Zr0.33 and Co0.80Zr0.20 by direct reaction calorimetry at high temperature. J. Less-Common Metals. 85, 1-9 (1982)</t>
  </si>
  <si>
    <t>12187-26-7</t>
  </si>
  <si>
    <t>70443-42-4</t>
  </si>
  <si>
    <t>Co4Zr</t>
  </si>
  <si>
    <t>cF116</t>
  </si>
  <si>
    <t>12023-04-0</t>
  </si>
  <si>
    <t>TiFe</t>
  </si>
  <si>
    <t>mp-305</t>
  </si>
  <si>
    <t>12023-40-4</t>
  </si>
  <si>
    <t>TiFe2</t>
  </si>
  <si>
    <t>mp-2454</t>
  </si>
  <si>
    <t>12052-50-5</t>
  </si>
  <si>
    <t>TiCo2</t>
  </si>
  <si>
    <t>12142-89-1</t>
  </si>
  <si>
    <t>Ti2Ni</t>
  </si>
  <si>
    <t>mp-1808</t>
  </si>
  <si>
    <t>cF96</t>
  </si>
  <si>
    <t>12023-45-9</t>
  </si>
  <si>
    <t>ZrFe2</t>
  </si>
  <si>
    <t>mp-1718</t>
  </si>
  <si>
    <t>ZrNi5</t>
  </si>
  <si>
    <t>mp-2439</t>
  </si>
  <si>
    <t>F-43m</t>
  </si>
  <si>
    <t>125810-41-5</t>
  </si>
  <si>
    <t>Ti3Pd5</t>
  </si>
  <si>
    <t>mp-570199</t>
  </si>
  <si>
    <t>tP8</t>
  </si>
  <si>
    <t>P4/mmm</t>
  </si>
  <si>
    <t>125810-40-4</t>
  </si>
  <si>
    <t>TiPd2</t>
  </si>
  <si>
    <t>12299-13-7</t>
  </si>
  <si>
    <t>Zr2Pd</t>
  </si>
  <si>
    <t>mp-266</t>
  </si>
  <si>
    <t>mp-13496</t>
  </si>
  <si>
    <t>12299-14-8</t>
  </si>
  <si>
    <t>ZrPd2</t>
  </si>
  <si>
    <t>mp-1018102</t>
  </si>
  <si>
    <t>ZrPd3</t>
  </si>
  <si>
    <t>mp-30842</t>
  </si>
  <si>
    <t>Selhaoui, N., Gachon, J.C., Hertz, J. Enthalpies of formation of some solid hafnium nickel compounds and of the Ni-Rich HfNi liquid by direct reaction calorimetry. Metall. Trans. B 23, 815-819 (1992)</t>
  </si>
  <si>
    <t>HfNi5</t>
  </si>
  <si>
    <t>mp-569516</t>
  </si>
  <si>
    <t>12315-72-9</t>
  </si>
  <si>
    <t>mS26</t>
  </si>
  <si>
    <t>12315-73-0</t>
  </si>
  <si>
    <t>Hf9Ni11</t>
  </si>
  <si>
    <t>tI40</t>
  </si>
  <si>
    <t>12315-69-4</t>
  </si>
  <si>
    <t>Hf2Ni</t>
  </si>
  <si>
    <t>mp-861</t>
  </si>
  <si>
    <t>Solution: Tin</t>
  </si>
  <si>
    <t>Robinson, P.M., Bever, M.B. Transactions of the Metallurgical Society of AIME 230, 1487-1488 (1964)</t>
  </si>
  <si>
    <t>Ag0.610Mg0.390</t>
  </si>
  <si>
    <t>Ag0.561Mg0.439</t>
  </si>
  <si>
    <t>Ag0.542Mg0.458</t>
  </si>
  <si>
    <t>Ag0.510Mg0.490</t>
  </si>
  <si>
    <t>mp-2696</t>
  </si>
  <si>
    <t>Ag0.497Mg0.503</t>
  </si>
  <si>
    <t>Ag0.485Mg0.515</t>
  </si>
  <si>
    <t>Ag0.480Mg0.520</t>
  </si>
  <si>
    <t>Ag0.452Mg0.548</t>
  </si>
  <si>
    <t>12786-69-5</t>
  </si>
  <si>
    <t>Selhaoui, N., Gachon, J.C., Hertz, J. Thermodynamic study of the Pd-Hf system by high-temperature calorimetry. Journal of Alloys and Compounds 204, 157-164 (1994)</t>
  </si>
  <si>
    <t>Hf2Pd</t>
  </si>
  <si>
    <t>mp-11454</t>
  </si>
  <si>
    <t>12298-58-7</t>
  </si>
  <si>
    <t>HfPd2</t>
  </si>
  <si>
    <t>66703-46-6</t>
  </si>
  <si>
    <t>GeRu</t>
  </si>
  <si>
    <t>12299-25-1</t>
  </si>
  <si>
    <t>ZrRu2</t>
  </si>
  <si>
    <t>mp-569979</t>
  </si>
  <si>
    <t>Lomello-Tafin, M. et al. Enthalpies of formation of Zr-Au compounds determined by direct reaction calorimetry. Journal of Alloys and Compounds. 267 (1998) 142-148.</t>
  </si>
  <si>
    <t>37381-11-6</t>
  </si>
  <si>
    <t>Zr2Au</t>
  </si>
  <si>
    <t>mp-2348</t>
  </si>
  <si>
    <t>194083-81-3</t>
  </si>
  <si>
    <t>AuZr</t>
  </si>
  <si>
    <t>37381-17-2</t>
  </si>
  <si>
    <t>Au0.588Zr0.412</t>
  </si>
  <si>
    <t>37381-15-0</t>
  </si>
  <si>
    <t>ZrAu4</t>
  </si>
  <si>
    <t>mp-17813</t>
  </si>
  <si>
    <t>oP20</t>
  </si>
  <si>
    <t>12043-33-3</t>
  </si>
  <si>
    <t>Du, Y. et al. An Approach to Determine Enthalpies of Formation For Ternary Compounds. J.Min.Metall.Sect.B-metall 46, 1-9 (2010)</t>
  </si>
  <si>
    <t>Al3FeSi2</t>
  </si>
  <si>
    <t>tI24</t>
  </si>
  <si>
    <t xml:space="preserve">186313-24-6  </t>
  </si>
  <si>
    <t>Al2Fe3Si4</t>
  </si>
  <si>
    <t>mp-29111</t>
  </si>
  <si>
    <t>oS36</t>
  </si>
  <si>
    <t>109301-56-6</t>
  </si>
  <si>
    <t>Al0.71Fe0.19Si0.10</t>
  </si>
  <si>
    <t>hP245</t>
  </si>
  <si>
    <t xml:space="preserve">71205-85-1  </t>
  </si>
  <si>
    <t>Al0.31Mn0.6Ni0.2</t>
  </si>
  <si>
    <t>mp-30179</t>
  </si>
  <si>
    <t>oS156</t>
  </si>
  <si>
    <t>12039-01-9</t>
  </si>
  <si>
    <t>Sn3Ru2</t>
  </si>
  <si>
    <t>mp-680677</t>
  </si>
  <si>
    <t>P-4c2</t>
  </si>
  <si>
    <t>61180-90-3</t>
  </si>
  <si>
    <t>Sn7Ru3</t>
  </si>
  <si>
    <t>mp-22344</t>
  </si>
  <si>
    <t>cI40</t>
  </si>
  <si>
    <t>12397-17-0</t>
  </si>
  <si>
    <t>Si3Ru4</t>
  </si>
  <si>
    <t>mp-510412</t>
  </si>
  <si>
    <t>11130-00-0</t>
  </si>
  <si>
    <t>mp-381</t>
  </si>
  <si>
    <t>mp-20191</t>
  </si>
  <si>
    <t>Mahdouk, K., Gachon, J.C., Bouirden, L. Enthalpies of formation of the Al-Nb intermetallic compounds. Journal of Alloys and Compounds 268, 118-121 (1998)</t>
  </si>
  <si>
    <t>AlNb4</t>
  </si>
  <si>
    <t>12003-74-6</t>
  </si>
  <si>
    <t>Nb2Al</t>
  </si>
  <si>
    <t>mp-18427</t>
  </si>
  <si>
    <t>Mahdouk, K., Gachon, J.C. Calorimetric study of the Hf-Os and Os-Ti systems. Journal of Alloys and Compounds 278, 185-189 (1998)</t>
  </si>
  <si>
    <t>12358-86-0</t>
  </si>
  <si>
    <t>HfOs</t>
  </si>
  <si>
    <t>mp-11452</t>
  </si>
  <si>
    <t>214213-31-7</t>
  </si>
  <si>
    <t>Hf54Os17</t>
  </si>
  <si>
    <t>oI142</t>
  </si>
  <si>
    <t>12253-23-5</t>
  </si>
  <si>
    <t>Notin, M., Djamshidi, B. Gachon, J.C. Hertz, J. Determination calorimetrique de l'enthalpie de formation des alliages (Al, Ba) riches en aluminum. Thermochim. Acta. 57, 57-66 (1982)</t>
  </si>
  <si>
    <t>Al4Ba</t>
  </si>
  <si>
    <t>Nassik, M., Chrifi-Alaoui, F.Z., Mahdouk, K., Gachon, J.C. Calorimetric study of the aluminium-titanium system. Journal of Alloys and Compounds 350, 151-154 (2003)</t>
  </si>
  <si>
    <t>12004-47-6</t>
  </si>
  <si>
    <t>TiAl2</t>
  </si>
  <si>
    <t>mp-567705</t>
  </si>
  <si>
    <t>I41/amd</t>
  </si>
  <si>
    <t>12003-96-2</t>
  </si>
  <si>
    <t>TiAl</t>
  </si>
  <si>
    <t>mp-1953</t>
  </si>
  <si>
    <t>tP2</t>
  </si>
  <si>
    <t>Al0.23Ni0.02Ti0.75</t>
  </si>
  <si>
    <t>Al0.27Ni0.02Ti0.71</t>
  </si>
  <si>
    <t>Al0.37Ni0.02Ti0.61</t>
  </si>
  <si>
    <t>12059-24-4</t>
  </si>
  <si>
    <t>Vassilev, G.P. Enthalpies of formation of Ni-Sn compounds. Thermochimica Acta 447, 106-108 (2006)</t>
  </si>
  <si>
    <t>Ni3Sn2</t>
  </si>
  <si>
    <t>mp-669720</t>
  </si>
  <si>
    <t xml:space="preserve">12059-23-3 </t>
  </si>
  <si>
    <t>Ni3Sn</t>
  </si>
  <si>
    <t>mp-20112</t>
  </si>
  <si>
    <t xml:space="preserve">12059-23-3  </t>
  </si>
  <si>
    <t>Ni3Sn4</t>
  </si>
  <si>
    <t>mp-20174</t>
  </si>
  <si>
    <t>mS14</t>
  </si>
  <si>
    <t>12166-45-9</t>
  </si>
  <si>
    <t>Sc5Sn3</t>
  </si>
  <si>
    <t>mp-17695</t>
  </si>
  <si>
    <t>Sn9Ti11</t>
  </si>
  <si>
    <t>oI44</t>
  </si>
  <si>
    <t>V3Sn</t>
  </si>
  <si>
    <t>mp-21342</t>
  </si>
  <si>
    <t>Y5Sn3</t>
  </si>
  <si>
    <t>mp-567412</t>
  </si>
  <si>
    <t xml:space="preserve">58799-99-8  </t>
  </si>
  <si>
    <t>Zr5Sn3</t>
  </si>
  <si>
    <t>mp-510522</t>
  </si>
  <si>
    <t>12035-04-0</t>
  </si>
  <si>
    <t>Nb3Sn</t>
  </si>
  <si>
    <t>mp-1326</t>
  </si>
  <si>
    <t>12786-79-7</t>
  </si>
  <si>
    <t>Sn2Rh</t>
  </si>
  <si>
    <t>mp-565</t>
  </si>
  <si>
    <t>12143-65-6</t>
  </si>
  <si>
    <t>SnPd3</t>
  </si>
  <si>
    <t>mp-718</t>
  </si>
  <si>
    <t>12029-39-9</t>
  </si>
  <si>
    <t>Hf5Sn3</t>
  </si>
  <si>
    <t>mp-21104</t>
  </si>
  <si>
    <t>Ir5Sn7</t>
  </si>
  <si>
    <t>mp-20466</t>
  </si>
  <si>
    <t>I4mm</t>
  </si>
  <si>
    <t xml:space="preserve">12030-57-8  </t>
  </si>
  <si>
    <t>Sn2Ir</t>
  </si>
  <si>
    <t>mp-2083</t>
  </si>
  <si>
    <t xml:space="preserve">12038-27-6  </t>
  </si>
  <si>
    <t>SnPt</t>
  </si>
  <si>
    <t>mp-19856</t>
  </si>
  <si>
    <t xml:space="preserve">12210-66-1  </t>
  </si>
  <si>
    <t>Pr5Sn3</t>
  </si>
  <si>
    <t>mp-570696</t>
  </si>
  <si>
    <t xml:space="preserve">12210-25-2  </t>
  </si>
  <si>
    <t>Nd5Sn3</t>
  </si>
  <si>
    <t>mp-510503</t>
  </si>
  <si>
    <t>12211-10-8</t>
  </si>
  <si>
    <t>Sm5Sn3</t>
  </si>
  <si>
    <t xml:space="preserve">12207-31-7  </t>
  </si>
  <si>
    <t>Gd5Sn3</t>
  </si>
  <si>
    <t xml:space="preserve">12211-12-0  </t>
  </si>
  <si>
    <t>Tb5Sn3</t>
  </si>
  <si>
    <t xml:space="preserve">12206-57-4  </t>
  </si>
  <si>
    <t>Dy5Sn3</t>
  </si>
  <si>
    <t>mp-30623</t>
  </si>
  <si>
    <t>12208-81-0</t>
  </si>
  <si>
    <t>Ho5Sn3</t>
  </si>
  <si>
    <t>mp-30735</t>
  </si>
  <si>
    <t>12206-60-9</t>
  </si>
  <si>
    <t>Er5Sn3</t>
  </si>
  <si>
    <t>mp-31385</t>
  </si>
  <si>
    <t xml:space="preserve">12211-13-1  </t>
  </si>
  <si>
    <t>Tm5Sn3</t>
  </si>
  <si>
    <t xml:space="preserve">12209-22-2  </t>
  </si>
  <si>
    <t>Lu5Sn3</t>
  </si>
  <si>
    <t>60874-39-7</t>
  </si>
  <si>
    <t>Sc5Ge3</t>
  </si>
  <si>
    <t>mp-17190</t>
  </si>
  <si>
    <t xml:space="preserve">12053-56-4  </t>
  </si>
  <si>
    <t>Cr5Ge3</t>
  </si>
  <si>
    <t>mp-568324</t>
  </si>
  <si>
    <t xml:space="preserve">12263-56-8  </t>
  </si>
  <si>
    <t>Y5Ge3</t>
  </si>
  <si>
    <t>mp-17751</t>
  </si>
  <si>
    <t xml:space="preserve">12285-78-8  </t>
  </si>
  <si>
    <t>Zr5Ge3</t>
  </si>
  <si>
    <t>mp-17706</t>
  </si>
  <si>
    <t xml:space="preserve">12378-57-3  </t>
  </si>
  <si>
    <t>Nb5Ge3</t>
  </si>
  <si>
    <t>mp-16842</t>
  </si>
  <si>
    <t>12025-73-9</t>
  </si>
  <si>
    <t>Ge3Mo5</t>
  </si>
  <si>
    <t xml:space="preserve">66703-46-6  </t>
  </si>
  <si>
    <t xml:space="preserve">60862-32-0  </t>
  </si>
  <si>
    <t>GeRh</t>
  </si>
  <si>
    <t>mp-22239</t>
  </si>
  <si>
    <t>12592-89-1</t>
  </si>
  <si>
    <t>GePd</t>
  </si>
  <si>
    <t>mp-1424</t>
  </si>
  <si>
    <t xml:space="preserve">50811-78-4  </t>
  </si>
  <si>
    <t>GePd2</t>
  </si>
  <si>
    <t>mp-423</t>
  </si>
  <si>
    <t xml:space="preserve">12025-66-0  </t>
  </si>
  <si>
    <t>La5Ge3</t>
  </si>
  <si>
    <t>12025-45-5</t>
  </si>
  <si>
    <t>Hf3Ge2</t>
  </si>
  <si>
    <t>mp-976273</t>
  </si>
  <si>
    <t>12285-77-7</t>
  </si>
  <si>
    <t>Ta5Ge3</t>
  </si>
  <si>
    <t>mp-17593</t>
  </si>
  <si>
    <t xml:space="preserve">61232-74-4  </t>
  </si>
  <si>
    <t>Ge2Os</t>
  </si>
  <si>
    <t>mp-10032</t>
  </si>
  <si>
    <t>mS12</t>
  </si>
  <si>
    <t xml:space="preserve">12064-85-6  </t>
  </si>
  <si>
    <t>GeIr</t>
  </si>
  <si>
    <t>mp-208</t>
  </si>
  <si>
    <t>12134-89-3</t>
  </si>
  <si>
    <t>GePt</t>
  </si>
  <si>
    <t>mp-542640</t>
  </si>
  <si>
    <t xml:space="preserve">12134-90-6  </t>
  </si>
  <si>
    <t>GePt2</t>
  </si>
  <si>
    <t>mp-20061</t>
  </si>
  <si>
    <t xml:space="preserve">12158-95-1  </t>
  </si>
  <si>
    <t>Cu3Ge</t>
  </si>
  <si>
    <t>Ge8La5</t>
  </si>
  <si>
    <t>Crystalline Modifications: (I41/amd, tI12), (Imma, oI12)</t>
  </si>
  <si>
    <t>Ce5Ge3</t>
  </si>
  <si>
    <t>mp-510493</t>
  </si>
  <si>
    <t>CeGe1.6</t>
  </si>
  <si>
    <t>12263-55-7</t>
  </si>
  <si>
    <t>Pr5Ge3</t>
  </si>
  <si>
    <t>mp-17124</t>
  </si>
  <si>
    <t>Ge1.6Pr</t>
  </si>
  <si>
    <t xml:space="preserve">12025-74-0  </t>
  </si>
  <si>
    <t>Nd5Ge3</t>
  </si>
  <si>
    <t>mp-1464</t>
  </si>
  <si>
    <t>107030-35-3</t>
  </si>
  <si>
    <t>Ge8Nd5</t>
  </si>
  <si>
    <t xml:space="preserve">12024-94-1  </t>
  </si>
  <si>
    <t>Gd5Ge3</t>
  </si>
  <si>
    <t>12025-77-3</t>
  </si>
  <si>
    <t>Sm5Ge3</t>
  </si>
  <si>
    <t>12025-78-4</t>
  </si>
  <si>
    <t>Tb5Ge3</t>
  </si>
  <si>
    <t>mp-2610</t>
  </si>
  <si>
    <t>Dy5Ge3</t>
  </si>
  <si>
    <t>12025-65-9</t>
  </si>
  <si>
    <t>Ho5Ge3</t>
  </si>
  <si>
    <t xml:space="preserve">12020-44-9  </t>
  </si>
  <si>
    <t>Er5Ge3</t>
  </si>
  <si>
    <t>mp-11854</t>
  </si>
  <si>
    <t>12025-79-5</t>
  </si>
  <si>
    <t>Tm5Ge3</t>
  </si>
  <si>
    <t>12025-68-2</t>
  </si>
  <si>
    <t>Lu5Ge3</t>
  </si>
  <si>
    <t xml:space="preserve">12325-67-6  </t>
  </si>
  <si>
    <t>Solution: Aluminum</t>
  </si>
  <si>
    <t xml:space="preserve">12004-81-8  </t>
  </si>
  <si>
    <t>mp-865527</t>
  </si>
  <si>
    <t xml:space="preserve">12043-30-0  </t>
  </si>
  <si>
    <t xml:space="preserve">12004-49-8  </t>
  </si>
  <si>
    <t xml:space="preserve">37189-91-6  </t>
  </si>
  <si>
    <t>oS24</t>
  </si>
  <si>
    <t xml:space="preserve">12042-54-5  </t>
  </si>
  <si>
    <t>Sc2Al</t>
  </si>
  <si>
    <t>mp-11220</t>
  </si>
  <si>
    <t xml:space="preserve">12042-53-4  </t>
  </si>
  <si>
    <t>AlSc</t>
  </si>
  <si>
    <t>12043-26-4</t>
  </si>
  <si>
    <t>ScAl2</t>
  </si>
  <si>
    <t>mp-813</t>
  </si>
  <si>
    <t xml:space="preserve">12043-42-4  </t>
  </si>
  <si>
    <t>ScAl3</t>
  </si>
  <si>
    <t>mp-2121</t>
  </si>
  <si>
    <t>12003-64-4</t>
  </si>
  <si>
    <t>AlLa</t>
  </si>
  <si>
    <t>mp-12684</t>
  </si>
  <si>
    <t xml:space="preserve">12004-32-9  </t>
  </si>
  <si>
    <t xml:space="preserve">12043-35-5  </t>
  </si>
  <si>
    <t>LaAl3</t>
  </si>
  <si>
    <t>mp-959</t>
  </si>
  <si>
    <t>Al7La2</t>
  </si>
  <si>
    <t>YbAl2</t>
  </si>
  <si>
    <t>mp-969</t>
  </si>
  <si>
    <t>12004-82-9</t>
  </si>
  <si>
    <t>YbAl3</t>
  </si>
  <si>
    <t>mp-1259</t>
  </si>
  <si>
    <t>12042-56-7</t>
  </si>
  <si>
    <t>AlSm2</t>
  </si>
  <si>
    <t xml:space="preserve">12003-92-8  </t>
  </si>
  <si>
    <t>SmAl</t>
  </si>
  <si>
    <t>mp-978951</t>
  </si>
  <si>
    <t>Pbcm</t>
  </si>
  <si>
    <t>12043-27-5</t>
  </si>
  <si>
    <t>SmAl2</t>
  </si>
  <si>
    <t>mp-2358</t>
  </si>
  <si>
    <t xml:space="preserve">12004-75-0  </t>
  </si>
  <si>
    <t>SmAl3</t>
  </si>
  <si>
    <t>mp-867870</t>
  </si>
  <si>
    <t>ErAl2</t>
  </si>
  <si>
    <t>mp-1208</t>
  </si>
  <si>
    <t>Al7Ce2</t>
  </si>
  <si>
    <t>CeAl2</t>
  </si>
  <si>
    <t>mp-2088</t>
  </si>
  <si>
    <t>Ce3Al</t>
  </si>
  <si>
    <t>mp-21393</t>
  </si>
  <si>
    <t xml:space="preserve">12004-26-1  </t>
  </si>
  <si>
    <t>GdAl2</t>
  </si>
  <si>
    <t>mp-19923</t>
  </si>
  <si>
    <t xml:space="preserve">12003-43-9  </t>
  </si>
  <si>
    <t>AlGd</t>
  </si>
  <si>
    <t>AlGd2</t>
  </si>
  <si>
    <t>Colinet, C. Enthalpies of Formation and Hydrogenation of La(Ni(1-x)Co(x))5 Compounds. Journal of the Less Common Metals 134, 109-122 (1987)</t>
  </si>
  <si>
    <t>CoLaNi4</t>
  </si>
  <si>
    <t>Co2LaNi3</t>
  </si>
  <si>
    <t>Co0.42La0.16Ni0.42</t>
  </si>
  <si>
    <t>98239-73-7</t>
  </si>
  <si>
    <t>Co3LaNi2</t>
  </si>
  <si>
    <t>Co0.58La0.17Ni0.25</t>
  </si>
  <si>
    <t>Co17Dy2</t>
  </si>
  <si>
    <t>hR57</t>
  </si>
  <si>
    <t>Co3Dy</t>
  </si>
  <si>
    <t>hR54</t>
  </si>
  <si>
    <t>Co2Dy</t>
  </si>
  <si>
    <t>mp-2628</t>
  </si>
  <si>
    <t>Co3Dy5</t>
  </si>
  <si>
    <t>ErCo3</t>
  </si>
  <si>
    <t>mp-411</t>
  </si>
  <si>
    <t>Co2Er</t>
  </si>
  <si>
    <t>CoEr3</t>
  </si>
  <si>
    <t xml:space="preserve">356542-88-6  </t>
  </si>
  <si>
    <t>Co17Gd2</t>
  </si>
  <si>
    <t>hP38</t>
  </si>
  <si>
    <t>Co5Gd</t>
  </si>
  <si>
    <t xml:space="preserve">12017-22-0  </t>
  </si>
  <si>
    <t>GdCo2</t>
  </si>
  <si>
    <t>mp-542633</t>
  </si>
  <si>
    <t>Co7Gd12</t>
  </si>
  <si>
    <t>mP38</t>
  </si>
  <si>
    <t>DyNi2</t>
  </si>
  <si>
    <t>mp-421</t>
  </si>
  <si>
    <t>Dy3Ni</t>
  </si>
  <si>
    <t>ErNi9</t>
  </si>
  <si>
    <t>ErNi2</t>
  </si>
  <si>
    <t>Er3Ni</t>
  </si>
  <si>
    <t xml:space="preserve">12024-74-7  </t>
  </si>
  <si>
    <t>GdNi2</t>
  </si>
  <si>
    <t>mp-543019</t>
  </si>
  <si>
    <t>Gd3Ni</t>
  </si>
  <si>
    <t>60996-73-8</t>
  </si>
  <si>
    <t>TaAlNi2</t>
  </si>
  <si>
    <t>mp-5921</t>
  </si>
  <si>
    <t>57594-79-3</t>
  </si>
  <si>
    <t>AlNi2V</t>
  </si>
  <si>
    <t>12003-80-4</t>
  </si>
  <si>
    <t>ZrAlNi2</t>
  </si>
  <si>
    <t>mp-3944</t>
  </si>
  <si>
    <t>110446-06-5</t>
  </si>
  <si>
    <t>FeGaNi2</t>
  </si>
  <si>
    <t>60996-58-9</t>
  </si>
  <si>
    <t>GaHfNi2</t>
  </si>
  <si>
    <t>mp-3498</t>
  </si>
  <si>
    <t>60996-59-0</t>
  </si>
  <si>
    <t>NbGaNi2</t>
  </si>
  <si>
    <t>mp-3539</t>
  </si>
  <si>
    <t>55964-06-2</t>
  </si>
  <si>
    <t>HfInNi2</t>
  </si>
  <si>
    <t>mp-640024</t>
  </si>
  <si>
    <t>12209-31-3</t>
  </si>
  <si>
    <t>MnNi2Sn</t>
  </si>
  <si>
    <t>mp-20440</t>
  </si>
  <si>
    <t>80482-27-5</t>
  </si>
  <si>
    <t>Co2FeAl</t>
  </si>
  <si>
    <t>12182-58-0</t>
  </si>
  <si>
    <t>Ce2Fe17</t>
  </si>
  <si>
    <t>Crystalline Modifications: (R-3m, hR19), (P63/mmc, hP38)</t>
  </si>
  <si>
    <t>12063-74-0</t>
  </si>
  <si>
    <t>Nd2Fe17</t>
  </si>
  <si>
    <t>mp-1510</t>
  </si>
  <si>
    <t>hR19</t>
  </si>
  <si>
    <t>12183-15-2</t>
  </si>
  <si>
    <t>Sm2Fe17</t>
  </si>
  <si>
    <t>mp-1426</t>
  </si>
  <si>
    <t>12023-08-4</t>
  </si>
  <si>
    <t>Fe2Gd</t>
  </si>
  <si>
    <t>mp-20089</t>
  </si>
  <si>
    <t>12023-13-1</t>
  </si>
  <si>
    <t>HoFe2</t>
  </si>
  <si>
    <t>mp-1926</t>
  </si>
  <si>
    <t>12020-15-4</t>
  </si>
  <si>
    <t>ErFe2</t>
  </si>
  <si>
    <t>mp-474</t>
  </si>
  <si>
    <t>12023-41-6</t>
  </si>
  <si>
    <t>TmFe2</t>
  </si>
  <si>
    <t>mp-571183</t>
  </si>
  <si>
    <t xml:space="preserve">12023-15-3  </t>
  </si>
  <si>
    <t>Fe2Lu</t>
  </si>
  <si>
    <t>mp-2463</t>
  </si>
  <si>
    <t xml:space="preserve">452072-96-7  </t>
  </si>
  <si>
    <t>TbDy2Fe6</t>
  </si>
  <si>
    <t>Fe5Ga</t>
  </si>
  <si>
    <t>cI2</t>
  </si>
  <si>
    <t>12142-60-8</t>
  </si>
  <si>
    <t>LaMg</t>
  </si>
  <si>
    <t>mp-1104</t>
  </si>
  <si>
    <t xml:space="preserve">80482-27-5 </t>
  </si>
  <si>
    <t xml:space="preserve">66458-99-9 </t>
  </si>
  <si>
    <t>GaFeCo2</t>
  </si>
  <si>
    <t>mp-30551</t>
  </si>
  <si>
    <t xml:space="preserve">63144-33-2 </t>
  </si>
  <si>
    <t>FeCo2Si</t>
  </si>
  <si>
    <t>mp-5436</t>
  </si>
  <si>
    <t xml:space="preserve">87558-37-0 </t>
  </si>
  <si>
    <t>FeCo2Ge</t>
  </si>
  <si>
    <t>mp-22300</t>
  </si>
  <si>
    <t xml:space="preserve">11056-38-5 </t>
  </si>
  <si>
    <t>MnCo2Si</t>
  </si>
  <si>
    <t>mp-4492</t>
  </si>
  <si>
    <t xml:space="preserve">11056-46-5 </t>
  </si>
  <si>
    <t>MnCo2Ge</t>
  </si>
  <si>
    <t>mp-19850</t>
  </si>
  <si>
    <t xml:space="preserve">12134-01-9 </t>
  </si>
  <si>
    <t>MnCo2Sn</t>
  </si>
  <si>
    <t>mp-20840</t>
  </si>
  <si>
    <t xml:space="preserve">12250-80-5 </t>
  </si>
  <si>
    <t>TiAlCo2</t>
  </si>
  <si>
    <t>mp-5407</t>
  </si>
  <si>
    <t xml:space="preserve">12186-04-8 </t>
  </si>
  <si>
    <t>TiGaCo2</t>
  </si>
  <si>
    <t>mp-20145</t>
  </si>
  <si>
    <t xml:space="preserve">12052-48-1 </t>
  </si>
  <si>
    <t>TiCo2Si</t>
  </si>
  <si>
    <t>mp-3657</t>
  </si>
  <si>
    <t xml:space="preserve">50811-28-4 </t>
  </si>
  <si>
    <t>TiCo2Ge</t>
  </si>
  <si>
    <t>mp-4612</t>
  </si>
  <si>
    <t>TiCo2Sn</t>
  </si>
  <si>
    <t>mp-21467</t>
  </si>
  <si>
    <t xml:space="preserve">51912-37-9 </t>
  </si>
  <si>
    <t>VGaCo2</t>
  </si>
  <si>
    <t>mp-22790</t>
  </si>
  <si>
    <t xml:space="preserve">12042-11-4 </t>
  </si>
  <si>
    <t>MnAlCu2</t>
  </si>
  <si>
    <t>mp-3574</t>
  </si>
  <si>
    <t xml:space="preserve">12174-87-7 </t>
  </si>
  <si>
    <t>Cu2NiSn</t>
  </si>
  <si>
    <t>mp-4367</t>
  </si>
  <si>
    <t xml:space="preserve">190390-22-8 </t>
  </si>
  <si>
    <t>Fe2CoAl</t>
  </si>
  <si>
    <t xml:space="preserve">66459-00-5 </t>
  </si>
  <si>
    <t>Fe2CoGa</t>
  </si>
  <si>
    <t xml:space="preserve">63144-32-1 </t>
  </si>
  <si>
    <t>Fe2CoSi</t>
  </si>
  <si>
    <t xml:space="preserve">87558-38-1 </t>
  </si>
  <si>
    <t>Fe2CoGe</t>
  </si>
  <si>
    <t xml:space="preserve">62611-03-4 </t>
  </si>
  <si>
    <t>MnFe2Si</t>
  </si>
  <si>
    <t>mp-5529</t>
  </si>
  <si>
    <t xml:space="preserve">80482-31-1 </t>
  </si>
  <si>
    <t>Fe2NiGa</t>
  </si>
  <si>
    <t xml:space="preserve">130503-03-6 </t>
  </si>
  <si>
    <t>Mn2CoSn</t>
  </si>
  <si>
    <t xml:space="preserve">942349-20-4 </t>
  </si>
  <si>
    <t>Mn2GaCo</t>
  </si>
  <si>
    <t xml:space="preserve">253305-35-0 </t>
  </si>
  <si>
    <t>Mn2AlV</t>
  </si>
  <si>
    <t>mp-10895</t>
  </si>
  <si>
    <t xml:space="preserve">51913-19-0 </t>
  </si>
  <si>
    <t>MnInNi2</t>
  </si>
  <si>
    <t>mp-22731</t>
  </si>
  <si>
    <t xml:space="preserve">132027-64-6 </t>
  </si>
  <si>
    <t>Ni2CuSn</t>
  </si>
  <si>
    <t xml:space="preserve">12444-07-4 </t>
  </si>
  <si>
    <t>MnInCu2</t>
  </si>
  <si>
    <t>mp-22673</t>
  </si>
  <si>
    <t>Cu0.55Ni0.20Sn0.25</t>
  </si>
  <si>
    <t>Cu0.6Ni0.15Sn0.25</t>
  </si>
  <si>
    <t>CoFe2Si</t>
  </si>
  <si>
    <t xml:space="preserve">1211543-34-8  </t>
  </si>
  <si>
    <t>CuFe2Ga</t>
  </si>
  <si>
    <t xml:space="preserve">190390-26-2 </t>
  </si>
  <si>
    <t>MnGaFe2</t>
  </si>
  <si>
    <t>mp-1018046</t>
  </si>
  <si>
    <t>Fe2GaNi</t>
  </si>
  <si>
    <t xml:space="preserve">1443442-98-5  </t>
  </si>
  <si>
    <t>Fe2NiSi</t>
  </si>
  <si>
    <t xml:space="preserve">80482-33-3 </t>
  </si>
  <si>
    <t>Fe2GaV</t>
  </si>
  <si>
    <t>mp-20160</t>
  </si>
  <si>
    <t xml:space="preserve">130503-02-5 </t>
  </si>
  <si>
    <t>Mn2NiSn</t>
  </si>
  <si>
    <t xml:space="preserve">77139-00-5 </t>
  </si>
  <si>
    <t>Mn2VGa</t>
  </si>
  <si>
    <t>mp-21235</t>
  </si>
  <si>
    <t>60921-69-9</t>
  </si>
  <si>
    <t>Au4In3Sn3</t>
  </si>
  <si>
    <t>hP10</t>
  </si>
  <si>
    <t>12006-60-9</t>
  </si>
  <si>
    <t>mp-1775</t>
  </si>
  <si>
    <t>12256-54-1</t>
  </si>
  <si>
    <t>mp-1462</t>
  </si>
  <si>
    <t>oP24</t>
  </si>
  <si>
    <t>Pbca</t>
  </si>
  <si>
    <t>12044-91-6</t>
  </si>
  <si>
    <t>mp-1393</t>
  </si>
  <si>
    <t>oS20</t>
  </si>
  <si>
    <t>Ccce</t>
  </si>
  <si>
    <t>12006-74-5</t>
  </si>
  <si>
    <t>mp-30418</t>
  </si>
  <si>
    <t>hR18</t>
  </si>
  <si>
    <t>R32</t>
  </si>
  <si>
    <t>12285-69-7</t>
  </si>
  <si>
    <t>Fe3Pt</t>
  </si>
  <si>
    <t>mp-1649</t>
  </si>
  <si>
    <t>12186-46-8</t>
  </si>
  <si>
    <t>FePt</t>
  </si>
  <si>
    <t>mp-2260</t>
  </si>
  <si>
    <t>12140-49-7</t>
  </si>
  <si>
    <t>FePt3</t>
  </si>
  <si>
    <t>mp-649</t>
  </si>
  <si>
    <t>Solution: HCl Acid</t>
  </si>
  <si>
    <t>12013-43-3</t>
  </si>
  <si>
    <t>mp-570466</t>
  </si>
  <si>
    <t>Solution: Water</t>
  </si>
  <si>
    <t>185752-83-4</t>
  </si>
  <si>
    <t>98982-33-3</t>
  </si>
  <si>
    <t>tI160</t>
  </si>
  <si>
    <t>I-42d</t>
  </si>
  <si>
    <t>165903-78-6</t>
  </si>
  <si>
    <t>hR357</t>
  </si>
  <si>
    <t>12252-30-1</t>
  </si>
  <si>
    <t>aP18</t>
  </si>
  <si>
    <t>P1</t>
  </si>
  <si>
    <t>12043-58-2</t>
  </si>
  <si>
    <t>Solution: Acetic Acid</t>
  </si>
  <si>
    <t>55575-96-7</t>
  </si>
  <si>
    <t>mp-672287</t>
  </si>
  <si>
    <t>oP34</t>
  </si>
  <si>
    <t>Pbam</t>
  </si>
  <si>
    <t>74969-13-4</t>
  </si>
  <si>
    <t>76036-33-4</t>
  </si>
  <si>
    <t>mp-1314</t>
  </si>
  <si>
    <t>oP152</t>
  </si>
  <si>
    <t xml:space="preserve">12057-39-5  </t>
  </si>
  <si>
    <t>mp-542598</t>
  </si>
  <si>
    <t>cF416</t>
  </si>
  <si>
    <t xml:space="preserve">12003-78-0  </t>
  </si>
  <si>
    <t>Debski, A., Gasior, W., Sypien, A., Goral, A. Enthalpy of formation of intermetallic phases from Al-Ni and Al-Ni-Ti systems. Intermetallics. 42, 92-98 (2013)</t>
  </si>
  <si>
    <t>12003-81-5</t>
  </si>
  <si>
    <t>mp-2593</t>
  </si>
  <si>
    <t>11112-21-3</t>
  </si>
  <si>
    <t>AlNiTi</t>
  </si>
  <si>
    <t xml:space="preserve">12042-50-1  </t>
  </si>
  <si>
    <t>12057-97-5</t>
  </si>
  <si>
    <t>ZrMn2</t>
  </si>
  <si>
    <t>Crystalline Modifications: (P63/mmc, hP12), (Fd-3m, cF24)</t>
  </si>
  <si>
    <t>12033-35-1</t>
  </si>
  <si>
    <t>ZrMo2</t>
  </si>
  <si>
    <t>mp-2049</t>
  </si>
  <si>
    <t xml:space="preserve">12594-93-3  </t>
  </si>
  <si>
    <t>Os4Zr11</t>
  </si>
  <si>
    <t xml:space="preserve">12053-23-5  </t>
  </si>
  <si>
    <t>HfCr2</t>
  </si>
  <si>
    <t>12411-85-7</t>
  </si>
  <si>
    <t>HfMn2</t>
  </si>
  <si>
    <t>mp-11449</t>
  </si>
  <si>
    <t>12298-55-4</t>
  </si>
  <si>
    <t>HfMo2</t>
  </si>
  <si>
    <t>mp-2363</t>
  </si>
  <si>
    <t>12034-74-1</t>
  </si>
  <si>
    <t>NbRh3</t>
  </si>
  <si>
    <t>Crystalline Modifications: (Pm-3m, cP4), (P63/mmc, hP24)</t>
  </si>
  <si>
    <t>12166-18-6</t>
  </si>
  <si>
    <t>TaRh3</t>
  </si>
  <si>
    <t>mp-1020</t>
  </si>
  <si>
    <t>12438-64-1</t>
  </si>
  <si>
    <t>Mn2Nb</t>
  </si>
  <si>
    <t>mp-12659</t>
  </si>
  <si>
    <t>12209-60-8</t>
  </si>
  <si>
    <t>MoRh</t>
  </si>
  <si>
    <t>mp-12595</t>
  </si>
  <si>
    <t xml:space="preserve">12057-88-4  </t>
  </si>
  <si>
    <t>MnPd</t>
  </si>
  <si>
    <t>mp-1902</t>
  </si>
  <si>
    <t>12033-26-0</t>
  </si>
  <si>
    <t>MoPd2</t>
  </si>
  <si>
    <t xml:space="preserve">60874-50-2  </t>
  </si>
  <si>
    <t>TaMn2</t>
  </si>
  <si>
    <t>mp-12678</t>
  </si>
  <si>
    <t xml:space="preserve">247934-25-4  </t>
  </si>
  <si>
    <t>IrMn3</t>
  </si>
  <si>
    <t xml:space="preserve">12526-98-6  </t>
  </si>
  <si>
    <t>CrPt3</t>
  </si>
  <si>
    <t>mp-2515</t>
  </si>
  <si>
    <t xml:space="preserve">12339-83-2  </t>
  </si>
  <si>
    <t>MnPt</t>
  </si>
  <si>
    <t>mp-1670</t>
  </si>
  <si>
    <t xml:space="preserve">12033-27-1  </t>
  </si>
  <si>
    <t>MoPt</t>
  </si>
  <si>
    <t>mp-999502</t>
  </si>
  <si>
    <t>12038-40-3</t>
  </si>
  <si>
    <t>TaPt3</t>
  </si>
  <si>
    <t>mp-567638</t>
  </si>
  <si>
    <t>YMn2</t>
  </si>
  <si>
    <t>mp-558</t>
  </si>
  <si>
    <t>12052-27-6</t>
  </si>
  <si>
    <t>CoCr</t>
  </si>
  <si>
    <t>12272-98-9</t>
  </si>
  <si>
    <t>CuMn</t>
  </si>
  <si>
    <t xml:space="preserve">12019-61-3  </t>
  </si>
  <si>
    <t>Cu3Sn</t>
  </si>
  <si>
    <t>oS80</t>
  </si>
  <si>
    <t>12023-38-0</t>
  </si>
  <si>
    <t>TbFe2</t>
  </si>
  <si>
    <t>Crystalline Modifications: (R-3m, hR18), (Fd-3m, cF24)</t>
  </si>
  <si>
    <t>12019-81-7</t>
  </si>
  <si>
    <t>DyFe2</t>
  </si>
  <si>
    <t>mp-1757</t>
  </si>
  <si>
    <t xml:space="preserve">12063-75-1  </t>
  </si>
  <si>
    <t>Tb2Fe17</t>
  </si>
  <si>
    <t>Crystalline Modifications: (R-3m, hR57), (P63/mmc, hP38)</t>
  </si>
  <si>
    <t>12060-29-6</t>
  </si>
  <si>
    <t>Dy2Fe17</t>
  </si>
  <si>
    <t>Crystalline Modifications: (P63/mmc, hP38), (R-3m, hR57)</t>
  </si>
  <si>
    <t xml:space="preserve">12310-93-9  </t>
  </si>
  <si>
    <t>FePd3</t>
  </si>
  <si>
    <t>mp-21845</t>
  </si>
  <si>
    <t xml:space="preserve">12186-46-8  </t>
  </si>
  <si>
    <t xml:space="preserve">12263-28-4  </t>
  </si>
  <si>
    <t>MnNi</t>
  </si>
  <si>
    <t>mp-1797</t>
  </si>
  <si>
    <t xml:space="preserve">12165-82-1  </t>
  </si>
  <si>
    <t>Crystalline Modifications: (Pm-3m, cP2), (Pmma, oP4)</t>
  </si>
  <si>
    <t>12214-13-0</t>
  </si>
  <si>
    <t>CeCo5</t>
  </si>
  <si>
    <t>mp-764</t>
  </si>
  <si>
    <t>12014-88-9</t>
  </si>
  <si>
    <t>Ce2Co17</t>
  </si>
  <si>
    <t>12017-67-3</t>
  </si>
  <si>
    <t>PrCo5</t>
  </si>
  <si>
    <t>mp-2837</t>
  </si>
  <si>
    <t>12052-77-6</t>
  </si>
  <si>
    <t>Pr2Co17</t>
  </si>
  <si>
    <t>12017-65-1</t>
  </si>
  <si>
    <t>NdCo5</t>
  </si>
  <si>
    <t>mp-569</t>
  </si>
  <si>
    <t>12052-76-5</t>
  </si>
  <si>
    <t>Nd2Co17</t>
  </si>
  <si>
    <t>mp-356</t>
  </si>
  <si>
    <t>12017-68-4</t>
  </si>
  <si>
    <t>SmCo5</t>
  </si>
  <si>
    <t>mp-1429</t>
  </si>
  <si>
    <t>12052-78-7</t>
  </si>
  <si>
    <t>Sm2Co17</t>
  </si>
  <si>
    <t>122017-61-7</t>
  </si>
  <si>
    <t>12017-69-5</t>
  </si>
  <si>
    <t>TbCo5</t>
  </si>
  <si>
    <t>mp-1200</t>
  </si>
  <si>
    <t>12052-79-8</t>
  </si>
  <si>
    <t>Tb2Co17</t>
  </si>
  <si>
    <t>12140-00-00</t>
  </si>
  <si>
    <t>HoCo3</t>
  </si>
  <si>
    <t>mp-30558</t>
  </si>
  <si>
    <t>hR12</t>
  </si>
  <si>
    <t>12134-04-2</t>
  </si>
  <si>
    <t>Co3Er</t>
  </si>
  <si>
    <t>122187-49-4</t>
  </si>
  <si>
    <t>TmCo3</t>
  </si>
  <si>
    <t>12272-83-2</t>
  </si>
  <si>
    <t>Co3Lu</t>
  </si>
  <si>
    <t>57594-77-1</t>
  </si>
  <si>
    <t>HfAlAu2</t>
  </si>
  <si>
    <t>mp-10872</t>
  </si>
  <si>
    <t>102713-54-2</t>
  </si>
  <si>
    <t>Fe2RuSi</t>
  </si>
  <si>
    <t>Fe2RuGe</t>
  </si>
  <si>
    <t>37274-66-1</t>
  </si>
  <si>
    <t>Pd2CuAl</t>
  </si>
  <si>
    <t>55964-68-6</t>
  </si>
  <si>
    <t>HfAlPd2</t>
  </si>
  <si>
    <t>mp-16501</t>
  </si>
  <si>
    <t>1204164-50-0</t>
  </si>
  <si>
    <t>Pd2HfGa</t>
  </si>
  <si>
    <t>55964-05-1</t>
  </si>
  <si>
    <t>Pd2HfIn</t>
  </si>
  <si>
    <t>mp-864734</t>
  </si>
  <si>
    <t xml:space="preserve">1904602-86-3  </t>
  </si>
  <si>
    <t>HfSnPd2</t>
  </si>
  <si>
    <t>53810-35-8</t>
  </si>
  <si>
    <t>Pd2MnAl</t>
  </si>
  <si>
    <t>110463-71-3</t>
  </si>
  <si>
    <t>Pd2MnGa</t>
  </si>
  <si>
    <t>12293-43-5</t>
  </si>
  <si>
    <t>Pd2MnIn</t>
  </si>
  <si>
    <t>12293-64-0</t>
  </si>
  <si>
    <t>MnSnPd2</t>
  </si>
  <si>
    <t>mp-20481</t>
  </si>
  <si>
    <t>55964-67-5</t>
  </si>
  <si>
    <t>Pd2TiAl</t>
  </si>
  <si>
    <t>110463-68-8</t>
  </si>
  <si>
    <t>TiGaPd2</t>
  </si>
  <si>
    <t>mp-866140</t>
  </si>
  <si>
    <t>55964-01-7</t>
  </si>
  <si>
    <t>TiInPd2</t>
  </si>
  <si>
    <t>mp-866168</t>
  </si>
  <si>
    <t>165461-31-4</t>
  </si>
  <si>
    <t>TiSnPd2</t>
  </si>
  <si>
    <t>mp-865679</t>
  </si>
  <si>
    <t>55964-66-4</t>
  </si>
  <si>
    <t>ZrAlPd2</t>
  </si>
  <si>
    <t>mp-541047</t>
  </si>
  <si>
    <t>1431973-26-0</t>
  </si>
  <si>
    <t>ZrGaPd2</t>
  </si>
  <si>
    <t>mp-972183</t>
  </si>
  <si>
    <t>55964-00-6</t>
  </si>
  <si>
    <t>ZrInPd2</t>
  </si>
  <si>
    <t>mp-977475</t>
  </si>
  <si>
    <t>1204164-52-2</t>
  </si>
  <si>
    <t>ZrSnPd2</t>
  </si>
  <si>
    <t>mp-977568</t>
  </si>
  <si>
    <t>12592-65-3</t>
  </si>
  <si>
    <t>Pt2MnGa</t>
  </si>
  <si>
    <t>Ru2FeAl</t>
  </si>
  <si>
    <t>124422-92-0</t>
  </si>
  <si>
    <t>Ru2FeSi</t>
  </si>
  <si>
    <t>58319-35-0</t>
  </si>
  <si>
    <t>Ru2FeGe</t>
  </si>
  <si>
    <t>mp-865191</t>
  </si>
  <si>
    <t>Ru2HfAl</t>
  </si>
  <si>
    <t>HfSnRu2</t>
  </si>
  <si>
    <t>mp-866219</t>
  </si>
  <si>
    <t>Ru2MnAl</t>
  </si>
  <si>
    <t>558480-79-8</t>
  </si>
  <si>
    <t>MnGaRu2</t>
  </si>
  <si>
    <t>mp-865140</t>
  </si>
  <si>
    <t>156243-72-0</t>
  </si>
  <si>
    <t>MnSiRu2</t>
  </si>
  <si>
    <t>mp-864966</t>
  </si>
  <si>
    <t>156243-73-1</t>
  </si>
  <si>
    <t>MnGeRu2</t>
  </si>
  <si>
    <t>mp-864936</t>
  </si>
  <si>
    <t>73755-29-0</t>
  </si>
  <si>
    <t>MnSnRu2</t>
  </si>
  <si>
    <t>mp-864971</t>
  </si>
  <si>
    <t>Ru2TiAl</t>
  </si>
  <si>
    <t>1204164-53-3</t>
  </si>
  <si>
    <t>TiSiRu2</t>
  </si>
  <si>
    <t>mp-865681</t>
  </si>
  <si>
    <t>1421919-61-0</t>
  </si>
  <si>
    <t>TiGeRu2</t>
  </si>
  <si>
    <t>mp-865640</t>
  </si>
  <si>
    <t>TiSnRu2</t>
  </si>
  <si>
    <t>mp-865888</t>
  </si>
  <si>
    <t>1338566-76-9</t>
  </si>
  <si>
    <t>Ru2VAl</t>
  </si>
  <si>
    <t>1884453-03-5</t>
  </si>
  <si>
    <t>VSiRu2</t>
  </si>
  <si>
    <t>mp-865507</t>
  </si>
  <si>
    <t>1245553-70-1</t>
  </si>
  <si>
    <t>VGeRu2</t>
  </si>
  <si>
    <t>mp-865585</t>
  </si>
  <si>
    <t xml:space="preserve">1884453-04-6  </t>
  </si>
  <si>
    <t>VSnRu2</t>
  </si>
  <si>
    <t>Ru2ZrAl</t>
  </si>
  <si>
    <t>12165-77-4</t>
  </si>
  <si>
    <t>Sc5Pb3</t>
  </si>
  <si>
    <t>mp-510209</t>
  </si>
  <si>
    <t>12440-44-7</t>
  </si>
  <si>
    <t>PbTi4</t>
  </si>
  <si>
    <t>57348-49-9</t>
  </si>
  <si>
    <t>Y5Pb3</t>
  </si>
  <si>
    <t>12412-94-1</t>
  </si>
  <si>
    <t>Zr5Pb3</t>
  </si>
  <si>
    <t>mp-681992</t>
  </si>
  <si>
    <t>12034-94-5</t>
  </si>
  <si>
    <t>Nb3Pb</t>
  </si>
  <si>
    <t>mp-22068</t>
  </si>
  <si>
    <t>37347-50-5</t>
  </si>
  <si>
    <t>RhPb</t>
  </si>
  <si>
    <t>mp-442</t>
  </si>
  <si>
    <t>12402-19-6</t>
  </si>
  <si>
    <t>Pd3Pb</t>
  </si>
  <si>
    <t>mp-20849</t>
  </si>
  <si>
    <t>12594-95-5</t>
  </si>
  <si>
    <t>PtPb</t>
  </si>
  <si>
    <t>mp-21380</t>
  </si>
  <si>
    <t>58834-84-7</t>
  </si>
  <si>
    <t>CuSnRh2</t>
  </si>
  <si>
    <t>mp-30595</t>
  </si>
  <si>
    <t xml:space="preserve">1808950-90-4  </t>
  </si>
  <si>
    <t>Rh2FeAl</t>
  </si>
  <si>
    <t>1808950-91-5</t>
  </si>
  <si>
    <t>Rh2FeGa</t>
  </si>
  <si>
    <t>58319-36-1</t>
  </si>
  <si>
    <t>FeSnRh2</t>
  </si>
  <si>
    <t>mp-1018062</t>
  </si>
  <si>
    <t>12703-62-7</t>
  </si>
  <si>
    <t>Rh2MnAl</t>
  </si>
  <si>
    <t>61419-90-7</t>
  </si>
  <si>
    <t>Rh2MnGa</t>
  </si>
  <si>
    <t>61419-95-2</t>
  </si>
  <si>
    <t>Rh2MnIn</t>
  </si>
  <si>
    <t>12592-79-9</t>
  </si>
  <si>
    <t>MnGeRh2</t>
  </si>
  <si>
    <t>mp-4664</t>
  </si>
  <si>
    <t>58834-79-0</t>
  </si>
  <si>
    <t>MnSnRh2</t>
  </si>
  <si>
    <t>mp-4990</t>
  </si>
  <si>
    <t>1808950-92-6</t>
  </si>
  <si>
    <t>Rh2TiAl</t>
  </si>
  <si>
    <t xml:space="preserve">1808950-93-7  </t>
  </si>
  <si>
    <t>Rh2TiGa</t>
  </si>
  <si>
    <t>1808950-94-8</t>
  </si>
  <si>
    <t>Rh2TiSn</t>
  </si>
  <si>
    <t>58834-73-4</t>
  </si>
  <si>
    <t>VSnRh2</t>
  </si>
  <si>
    <t>mp-669918</t>
  </si>
  <si>
    <t>99786-77-3</t>
  </si>
  <si>
    <t>VGaNi2</t>
  </si>
  <si>
    <t>mp-30658</t>
  </si>
  <si>
    <t>12794-80-8</t>
  </si>
  <si>
    <t>VNi2Sn</t>
  </si>
  <si>
    <t>mp-20864</t>
  </si>
  <si>
    <t xml:space="preserve">87558-36-9 </t>
  </si>
  <si>
    <t>VFe2Sn</t>
  </si>
  <si>
    <t>mp-636359</t>
  </si>
  <si>
    <t>62431-49-6</t>
  </si>
  <si>
    <t>Fe2VAl</t>
  </si>
  <si>
    <t>Fe2NiAl</t>
  </si>
  <si>
    <t>1052724-13-6</t>
  </si>
  <si>
    <t>Fe2CuAl</t>
  </si>
  <si>
    <t>56729-44-3</t>
  </si>
  <si>
    <t>Fe2MnAl</t>
  </si>
  <si>
    <t>1350553-36-4</t>
  </si>
  <si>
    <t>Mn2RuSi</t>
  </si>
  <si>
    <t>1610672-56-4</t>
  </si>
  <si>
    <t>Mn2SnRu</t>
  </si>
  <si>
    <t>mp-999557</t>
  </si>
  <si>
    <t>Mn0.2Ni0.55Sn0.25</t>
  </si>
  <si>
    <t>Mn0.30Ni0.45Sn0.25</t>
  </si>
  <si>
    <t>Mn0.35Ni0.4Sn0.25</t>
  </si>
  <si>
    <t>Mn3Ni5Sn2</t>
  </si>
  <si>
    <t xml:space="preserve">1000211-24-4  </t>
  </si>
  <si>
    <t>Mn0.35Ni0.5Sn0.15</t>
  </si>
  <si>
    <t xml:space="preserve">12186-71-9 </t>
  </si>
  <si>
    <t>TiGaNi2</t>
  </si>
  <si>
    <t>mp-30657</t>
  </si>
  <si>
    <t>100729-03-1</t>
  </si>
  <si>
    <t>TiInNi2</t>
  </si>
  <si>
    <t>mp-22463</t>
  </si>
  <si>
    <t>12534-06-4</t>
  </si>
  <si>
    <t>TiNi2Sn</t>
  </si>
  <si>
    <t>mp-3740</t>
  </si>
  <si>
    <t>12703-61-6</t>
  </si>
  <si>
    <t>MnAlIr2</t>
  </si>
  <si>
    <t>mp-864950</t>
  </si>
  <si>
    <t>12776-65-7</t>
  </si>
  <si>
    <t>MnGaIr2</t>
  </si>
  <si>
    <t>mp-865088</t>
  </si>
  <si>
    <t>InMnPt2</t>
  </si>
  <si>
    <t>CuInRh2</t>
  </si>
  <si>
    <t>211101-71-2</t>
  </si>
  <si>
    <t>MnSnAu</t>
  </si>
  <si>
    <t>mp-22027</t>
  </si>
  <si>
    <t>105110-44-9</t>
  </si>
  <si>
    <t>TiCoSn</t>
  </si>
  <si>
    <t>mp-20453</t>
  </si>
  <si>
    <t>12592-60-8</t>
  </si>
  <si>
    <t>MnGaIr</t>
  </si>
  <si>
    <t>958458-67-8</t>
  </si>
  <si>
    <t>MnSnIr</t>
  </si>
  <si>
    <t>mp-11480</t>
  </si>
  <si>
    <t>117728-15-1</t>
  </si>
  <si>
    <t>ZrSnIr</t>
  </si>
  <si>
    <t>mp-607139</t>
  </si>
  <si>
    <t>P-62c</t>
  </si>
  <si>
    <t>12532-16-0</t>
  </si>
  <si>
    <t>HfNiSn</t>
  </si>
  <si>
    <t>mp-924128</t>
  </si>
  <si>
    <t>12534-03-1</t>
  </si>
  <si>
    <t>TiNiSn</t>
  </si>
  <si>
    <t>mp-924130</t>
  </si>
  <si>
    <t>12534-04-2</t>
  </si>
  <si>
    <t>ZrNiSn</t>
  </si>
  <si>
    <t>mp-924129</t>
  </si>
  <si>
    <t>57594-98-6</t>
  </si>
  <si>
    <t>HfSnPd</t>
  </si>
  <si>
    <t>mp-11869</t>
  </si>
  <si>
    <t>12535-02-3</t>
  </si>
  <si>
    <t>PdSnZr</t>
  </si>
  <si>
    <t>51913-14-5</t>
  </si>
  <si>
    <t>HfSnPt</t>
  </si>
  <si>
    <t>mp-20889</t>
  </si>
  <si>
    <t>12592-64-2</t>
  </si>
  <si>
    <t>MnGaPt</t>
  </si>
  <si>
    <t>mp-569151</t>
  </si>
  <si>
    <t>12502-75-9</t>
  </si>
  <si>
    <t>MnSnPt</t>
  </si>
  <si>
    <t>mp-21418</t>
  </si>
  <si>
    <t>51890-41-6</t>
  </si>
  <si>
    <t>TiSnPt</t>
  </si>
  <si>
    <t>mp-30847</t>
  </si>
  <si>
    <t>51890-43-8</t>
  </si>
  <si>
    <t>ZrSnPt</t>
  </si>
  <si>
    <t>mp-961713</t>
  </si>
  <si>
    <t>Yin, M. The effect of a fourth element (Co, Cu, Fe, Pd) on the standard enthalpy of formation of the Heusler compound Ni2MnSn. Journal of Alloys and Compounds. 667, 184-190 (2016)</t>
  </si>
  <si>
    <t>Co0.25Ni1.75MnSn</t>
  </si>
  <si>
    <t>Co0.125Mn0.25Ni0.375Sn0.25</t>
  </si>
  <si>
    <t>Co0.75Ni1.25MnSn</t>
  </si>
  <si>
    <t xml:space="preserve">125298-41-1  </t>
  </si>
  <si>
    <t>CoNiMnSn</t>
  </si>
  <si>
    <t>Co1.25Ni0.25MnSn</t>
  </si>
  <si>
    <t>Co0.375Mn0.25Ni0.125Sn0.25</t>
  </si>
  <si>
    <t>Co1.75Ni0.25MnSn</t>
  </si>
  <si>
    <t>Ni2Mn0.25Ti0.75Sn</t>
  </si>
  <si>
    <t>Ni2Mn0.5Ti0.5Sn</t>
  </si>
  <si>
    <t>Ni2Mn0.75Ti0.25Sn</t>
  </si>
  <si>
    <t>Ni0.25Pd1.75MnSn</t>
  </si>
  <si>
    <t>Mn0.25Ni0.125Pd0.375Sn0.25</t>
  </si>
  <si>
    <t>Mn0.25Ni0.1875Pd0.3125Sn0.25</t>
  </si>
  <si>
    <t xml:space="preserve">1263144-02-0  </t>
  </si>
  <si>
    <t>NiPdMnSn</t>
  </si>
  <si>
    <t>Mn0.25Ni0.3125Pd0.1875Sn0.25</t>
  </si>
  <si>
    <t>Mn0.25Ni0.375Pd0.125Sn0.25</t>
  </si>
  <si>
    <t>Mn0.25Ni0.4375Pd0.0625Sn0.25</t>
  </si>
  <si>
    <t>In0.05Mn0.25Ni0.5Sn0.2</t>
  </si>
  <si>
    <t>In0.1Mn0.25Ni0.5Sn0.15</t>
  </si>
  <si>
    <t>In0.15Mn0.25Ni0.5Sn0.1</t>
  </si>
  <si>
    <t>In0.2Mn0.25Ni0.5Sn0.05</t>
  </si>
  <si>
    <t>Al0.05Mn0.25Ni0.5Sn0.2</t>
  </si>
  <si>
    <t>Al0.1Mn0.25Ni0.5Sn0.15</t>
  </si>
  <si>
    <t>Al0.15Mn0.25Ni0.5Sn0.1</t>
  </si>
  <si>
    <t>Al0.2Mn0.25Ni0.5Sn0.05</t>
  </si>
  <si>
    <t>Ni2Mn0.2V0.8Sn</t>
  </si>
  <si>
    <t>Ni2Mn0.4V0.6Sn</t>
  </si>
  <si>
    <t>Mn0.15Ni0.5Sn0.25V0.1</t>
  </si>
  <si>
    <t>Mn0.2Ni0.5Sn0.25V0.05</t>
  </si>
  <si>
    <t>Fe0.25Ni1.75MnSn</t>
  </si>
  <si>
    <t>Fe0.125Mn0.25Ni0.375Sn0.25</t>
  </si>
  <si>
    <t>Fe0.75Ni1.25MnSn</t>
  </si>
  <si>
    <t>FeNiMnSn</t>
  </si>
  <si>
    <t>Cu0.25Ni1.75MnSn</t>
  </si>
  <si>
    <t>Cu0.125Mn0.25Ni0.375Sn0.25</t>
  </si>
  <si>
    <t>Fe0.1875Mn0.25Ni0.3125Sn0.25</t>
  </si>
  <si>
    <t xml:space="preserve">1263144-01-9  </t>
  </si>
  <si>
    <t>CuNiMnSn</t>
  </si>
  <si>
    <t>Cu0.3125Mn0.25Ni0.1875Sn0.25</t>
  </si>
  <si>
    <t>Cu0.375Mn0.25Ni0.125Sn0.25</t>
  </si>
  <si>
    <t>Cu1.75Ni0.25MnSn</t>
  </si>
  <si>
    <t>Ge0.05Mn0.25Ni0.5Sn0.2</t>
  </si>
  <si>
    <t>Ge0.1Mn0.25Ni0.5Sn0.15</t>
  </si>
  <si>
    <t>Ge0.15Mn0.25Ni0.5Sn0.1</t>
  </si>
  <si>
    <t>Ge0.2Mn0.25Ni0.5Sn0.05</t>
  </si>
  <si>
    <t>Ni2MnSi0.2Sn0.8</t>
  </si>
  <si>
    <t>Ga0.05Mn0.25Ni0.5Sn0.2</t>
  </si>
  <si>
    <t>Ga0.1Mn0.25Ni0.5Sn0.15</t>
  </si>
  <si>
    <t>Ga0.15Mn0.25Ni0.5Sn0.1</t>
  </si>
  <si>
    <t>Ga0.2Mn0.25Ni0.5Sn0.05</t>
  </si>
  <si>
    <t>12157-83-4</t>
  </si>
  <si>
    <t>Ce5Pb3</t>
  </si>
  <si>
    <t>12188-49-7</t>
  </si>
  <si>
    <t>Pr5Pb3</t>
  </si>
  <si>
    <t>12188-34-0</t>
  </si>
  <si>
    <t>Nd5Pb3</t>
  </si>
  <si>
    <t>12188-50-0</t>
  </si>
  <si>
    <t>Sm5Pb3</t>
  </si>
  <si>
    <t>12187-99-4</t>
  </si>
  <si>
    <t>Gd5Pb3</t>
  </si>
  <si>
    <t>12188-51-1</t>
  </si>
  <si>
    <t>Tb5Pb3</t>
  </si>
  <si>
    <t>12187-86-9</t>
  </si>
  <si>
    <t>Dy5Pb3</t>
  </si>
  <si>
    <t>mp-569760</t>
  </si>
  <si>
    <t>12188-11-3</t>
  </si>
  <si>
    <t>Ho5Pb3</t>
  </si>
  <si>
    <t>mp-30730</t>
  </si>
  <si>
    <t>12187-87-0</t>
  </si>
  <si>
    <t>Er5Pb3</t>
  </si>
  <si>
    <t>12188-52-2</t>
  </si>
  <si>
    <t>Tm5Pb3</t>
  </si>
  <si>
    <t>12188-26-0</t>
  </si>
  <si>
    <t>Lu5Pb3</t>
  </si>
  <si>
    <t xml:space="preserve">383881-96-7  </t>
  </si>
  <si>
    <t>mp-573471</t>
  </si>
  <si>
    <t>cF420</t>
  </si>
  <si>
    <t xml:space="preserve">12399-37-0  </t>
  </si>
  <si>
    <t xml:space="preserve">12174-87-7  </t>
  </si>
  <si>
    <t>Schmetterer, C. Enthalpies of Formation of (Cu,Ni)(3)Sn, (Cu,Ni)(6)Sn-5-HT and (Ni,Cu)(3)Sn2-HT. JOURNAL OF PHASE EQUILIBRIA AND DIFFUSION 35, 429-433 (2014)</t>
  </si>
  <si>
    <t>Cu0.4Ni0.35Sn0.25</t>
  </si>
  <si>
    <t>Cu0.3Ni0.45Sn0.25</t>
  </si>
  <si>
    <t>Cu0.12Ni0.63Sn0.25</t>
  </si>
  <si>
    <t>Cu0.05Ni0.7Sn0.25</t>
  </si>
  <si>
    <t>Cu0.3Ni0.29Sn0.41</t>
  </si>
  <si>
    <t>Cu0.2Ni0.39Sn0.41</t>
  </si>
  <si>
    <t>Cu0.1Ni0.49Sn0.41</t>
  </si>
  <si>
    <t>Cu0.275Ni0.27Sn0.455</t>
  </si>
  <si>
    <t>Cu0.375Ni0.17Sn0.455</t>
  </si>
  <si>
    <t xml:space="preserve">12062-73-6  </t>
  </si>
  <si>
    <t>mp-22478</t>
  </si>
  <si>
    <t xml:space="preserve">12062-74-7  </t>
  </si>
  <si>
    <t>mp-21117</t>
  </si>
  <si>
    <t xml:space="preserve">12042-37-4  </t>
  </si>
  <si>
    <t>AlLi</t>
  </si>
  <si>
    <t>mp-1067</t>
  </si>
  <si>
    <t>51846-18-5</t>
  </si>
  <si>
    <t>mp-16506</t>
  </si>
  <si>
    <t>hR15</t>
  </si>
  <si>
    <t xml:space="preserve">12253-44-0  </t>
  </si>
  <si>
    <t>mp-568404</t>
  </si>
  <si>
    <t xml:space="preserve">12163-32-5  </t>
  </si>
  <si>
    <t>SmMg</t>
  </si>
  <si>
    <t>mp-2558</t>
  </si>
  <si>
    <t xml:space="preserve">66688-83-3  </t>
  </si>
  <si>
    <t>SmMg2</t>
  </si>
  <si>
    <t>mp-529</t>
  </si>
  <si>
    <t xml:space="preserve">12299-94-4  </t>
  </si>
  <si>
    <t>SmMg3</t>
  </si>
  <si>
    <t>mp-30779</t>
  </si>
  <si>
    <t>125332-63-0</t>
  </si>
  <si>
    <t>Mg5Sm</t>
  </si>
  <si>
    <t>cF448</t>
  </si>
  <si>
    <t xml:space="preserve">95445-22-0  </t>
  </si>
  <si>
    <t>Mg41Sm5</t>
  </si>
  <si>
    <t>tI92</t>
  </si>
  <si>
    <t>Jin, S, et al. Thermodynamic study and re-assessment of the Ge-Ni system. Calphad. 38, 23-34 (2012)</t>
  </si>
  <si>
    <t>Ni3Ge</t>
  </si>
  <si>
    <t>mp-21008</t>
  </si>
  <si>
    <t xml:space="preserve">12519-33-4  </t>
  </si>
  <si>
    <t>Ge3Ni5</t>
  </si>
  <si>
    <t xml:space="preserve">12025-56-8  </t>
  </si>
  <si>
    <t>Ge2Ni3</t>
  </si>
  <si>
    <t xml:space="preserve">12519-21-0  </t>
  </si>
  <si>
    <t>NiGe</t>
  </si>
  <si>
    <t>mp-1099</t>
  </si>
  <si>
    <t xml:space="preserve">12042-49-8  </t>
  </si>
  <si>
    <t>Solution: Gallium</t>
  </si>
  <si>
    <t>12018-17-6</t>
  </si>
  <si>
    <t>mp-548</t>
  </si>
  <si>
    <t>H</t>
  </si>
  <si>
    <t>He</t>
  </si>
  <si>
    <t>Li</t>
  </si>
  <si>
    <t>Be</t>
  </si>
  <si>
    <t>B</t>
  </si>
  <si>
    <t>C</t>
  </si>
  <si>
    <t>N</t>
  </si>
  <si>
    <t>O</t>
  </si>
  <si>
    <t>F</t>
  </si>
  <si>
    <t>Ne</t>
  </si>
  <si>
    <t>Na</t>
  </si>
  <si>
    <t>Mg</t>
  </si>
  <si>
    <t>Al</t>
  </si>
  <si>
    <t>Si</t>
  </si>
  <si>
    <t>P</t>
  </si>
  <si>
    <t>S</t>
  </si>
  <si>
    <t>Cl</t>
  </si>
  <si>
    <t>Ar</t>
  </si>
  <si>
    <t>K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</si>
  <si>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</si>
  <si>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</si>
  <si>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</si>
  <si>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</si>
  <si>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</si>
  <si>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</si>
  <si>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</si>
  <si>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</si>
  <si>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</si>
  <si>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</si>
  <si>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</si>
  <si>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</si>
  <si>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</si>
  <si>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</si>
  <si>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</si>
  <si>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Br</t>
  </si>
  <si>
    <t>Kr</t>
  </si>
  <si>
    <t>Y</t>
  </si>
  <si>
    <t>Zr</t>
  </si>
  <si>
    <t>Nb</t>
  </si>
  <si>
    <t>Ru</t>
  </si>
  <si>
    <t>Rh</t>
  </si>
  <si>
    <t>Pd</t>
  </si>
  <si>
    <t>Ag</t>
  </si>
  <si>
    <t>In</t>
  </si>
  <si>
    <t>Sn</t>
  </si>
  <si>
    <t>La</t>
  </si>
  <si>
    <t>Ce</t>
  </si>
  <si>
    <t>Pr</t>
  </si>
  <si>
    <t>Pt</t>
  </si>
  <si>
    <t>Au</t>
  </si>
  <si>
    <t>Tl</t>
  </si>
  <si>
    <t>Pb</t>
  </si>
  <si>
    <t>Bi</t>
  </si>
  <si>
    <t>Po</t>
  </si>
  <si>
    <t>At</t>
  </si>
  <si>
    <t>Rn</t>
  </si>
  <si>
    <t>Fr</t>
  </si>
  <si>
    <t>Ra</t>
  </si>
  <si>
    <t>Ac</t>
  </si>
  <si>
    <t>Th</t>
  </si>
  <si>
    <t>Pa</t>
  </si>
  <si>
    <t>U</t>
  </si>
  <si>
    <t>Np</t>
  </si>
  <si>
    <t>Pu</t>
  </si>
  <si>
    <t>Am</t>
  </si>
  <si>
    <t>Cm</t>
  </si>
  <si>
    <t>Bk</t>
  </si>
  <si>
    <t>Cf</t>
  </si>
  <si>
    <t>Es</t>
  </si>
  <si>
    <t>Fm</t>
  </si>
  <si>
    <t>Md</t>
  </si>
  <si>
    <t>No</t>
  </si>
  <si>
    <t>Lr</t>
  </si>
  <si>
    <t>Rf</t>
  </si>
  <si>
    <t>Db</t>
  </si>
  <si>
    <t>Sg</t>
  </si>
  <si>
    <t>Bh</t>
  </si>
  <si>
    <t>Hs</t>
  </si>
  <si>
    <t>Mt</t>
  </si>
  <si>
    <t>Ds</t>
  </si>
  <si>
    <t>Rg</t>
  </si>
  <si>
    <t>Cn</t>
  </si>
  <si>
    <t>Nh</t>
  </si>
  <si>
    <t>Fl</t>
  </si>
  <si>
    <t>Mc</t>
  </si>
  <si>
    <t>Lv</t>
  </si>
  <si>
    <t>Ts</t>
  </si>
  <si>
    <t>Og</t>
  </si>
  <si>
    <t>molarmass</t>
  </si>
  <si>
    <t>Specific Energy(1)</t>
  </si>
  <si>
    <t>Specific Energy (2)</t>
  </si>
  <si>
    <t>Specific Energy (3)</t>
  </si>
  <si>
    <t>ni</t>
  </si>
  <si>
    <t>Dco</t>
  </si>
  <si>
    <t>nNi</t>
  </si>
  <si>
    <t>nI</t>
  </si>
  <si>
    <t>mN</t>
  </si>
  <si>
    <t>Specific Energy (1) Values</t>
  </si>
  <si>
    <t>Specific Energy (2) Values</t>
  </si>
  <si>
    <t>Specific Energy (3) Values</t>
  </si>
  <si>
    <t>Average Specific Energy</t>
  </si>
  <si>
    <t>formula (values)</t>
  </si>
  <si>
    <t>calorimetry</t>
  </si>
  <si>
    <t>_method</t>
  </si>
  <si>
    <t>Solute</t>
  </si>
  <si>
    <t>-solvent</t>
  </si>
  <si>
    <t>drop</t>
  </si>
  <si>
    <t>Solution</t>
  </si>
  <si>
    <t>:</t>
  </si>
  <si>
    <t>Aluminum</t>
  </si>
  <si>
    <t>Direct</t>
  </si>
  <si>
    <t>synthesis</t>
  </si>
  <si>
    <t>Water</t>
  </si>
  <si>
    <t>Tin</t>
  </si>
  <si>
    <t>Copper</t>
  </si>
  <si>
    <t>Acid</t>
  </si>
  <si>
    <t>Acetic</t>
  </si>
  <si>
    <t>Lanthanum</t>
  </si>
  <si>
    <t>Gallium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</si>
</sst>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02122"/>
      <name val="Arial"/>
      <family val="2"/>
    </font>
    <font>
      <sz val="9"/>
      <color rgb="FF000000"/>
      <name val="Consolas"/>
      <family val="3"/>
    </font>
    <font>
      <sz val="8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8F9FA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DFF8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BFF9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1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0" fontId="18" fillId="34" borderId="10" xfId="0" applyFont="1" applyFill="1" applyBorder="1" applyAlignment="1">
      <alignment vertical="center" wrapText="1"/>
    </xf>
    <xf numFmtId="0" fontId="18" fillId="35" borderId="10" xfId="0" applyFont="1" applyFill="1" applyBorder="1" applyAlignment="1">
      <alignment vertical="center" wrapText="1"/>
    </xf>
    <xf numFmtId="0" fontId="18" fillId="36" borderId="10" xfId="0" applyFont="1" applyFill="1" applyBorder="1" applyAlignment="1">
      <alignment vertical="center" wrapText="1"/>
    </xf>
    <xf numFmtId="0" fontId="18" fillId="37" borderId="10" xfId="0" applyFont="1" applyFill="1" applyBorder="1" applyAlignment="1">
      <alignment vertical="center" wrapText="1"/>
    </xf>
    <xf numFmtId="0" fontId="19" fillId="0" borderId="11" xfId="0" applyFont="1" applyBorder="1" applyAlignment="1">
      <alignment horizontal="left" vertical="center" indent="1"/>
    </xf>
    <xf numFmtId="0" fontId="19" fillId="0" borderId="12" xfId="0" applyFont="1" applyFill="1" applyBorder="1" applyAlignment="1">
      <alignment horizontal="left" vertical="center" indent="1"/>
    </xf>
    <xf numFmtId="0" fontId="19" fillId="0" borderId="0" xfId="0" applyFont="1" applyBorder="1" applyAlignment="1">
      <alignment horizontal="left" vertical="center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DA948-D97B-4D29-9787-2411912E2DA4}">
  <sheetPr codeName="Sheet1"/>
  <dimension ref="A1:CW1073"/>
  <sheetViews>
    <sheetView tabSelected="1" workbookViewId="0">
      <pane xSplit="7395" ySplit="3135" topLeftCell="CG2" activePane="topRight"/>
      <selection activeCell="G1" sqref="G1:G1048576"/>
      <selection pane="topRight" activeCell="CW1" sqref="CW1:CW1048576"/>
      <selection pane="bottomLeft" activeCell="G103" sqref="G103"/>
      <selection pane="bottomRight" activeCell="CV2" sqref="CV2:CV1073"/>
    </sheetView>
  </sheetViews>
  <sheetFormatPr defaultRowHeight="15" x14ac:dyDescent="0.25"/>
  <cols>
    <col min="1" max="1" width="23.5703125" customWidth="1"/>
    <col min="2" max="2" width="13.42578125" hidden="1" customWidth="1"/>
    <col min="3" max="3" width="255.7109375" hidden="1" customWidth="1"/>
    <col min="4" max="4" width="16.42578125" hidden="1" customWidth="1"/>
    <col min="5" max="5" width="16" hidden="1" customWidth="1"/>
    <col min="6" max="6" width="0" hidden="1" customWidth="1"/>
    <col min="7" max="7" width="32.140625" customWidth="1"/>
    <col min="8" max="8" width="11" bestFit="1" customWidth="1"/>
    <col min="9" max="11" width="0" hidden="1" customWidth="1"/>
    <col min="12" max="12" width="44.42578125" hidden="1" customWidth="1"/>
    <col min="13" max="13" width="44.42578125" customWidth="1"/>
    <col min="14" max="14" width="51.42578125" hidden="1" customWidth="1"/>
    <col min="15" max="17" width="0" hidden="1" customWidth="1"/>
    <col min="18" max="18" width="22.7109375" hidden="1" customWidth="1"/>
    <col min="19" max="19" width="42.5703125" hidden="1" customWidth="1"/>
    <col min="20" max="20" width="42.5703125" customWidth="1"/>
    <col min="21" max="25" width="0" hidden="1" customWidth="1"/>
    <col min="26" max="26" width="33.85546875" hidden="1" customWidth="1"/>
    <col min="27" max="27" width="33.7109375" hidden="1" customWidth="1"/>
    <col min="28" max="28" width="24.140625" customWidth="1"/>
    <col min="29" max="29" width="0" hidden="1" customWidth="1"/>
    <col min="30" max="30" width="18.5703125" customWidth="1"/>
    <col min="31" max="31" width="39.7109375" customWidth="1"/>
    <col min="32" max="84" width="0" hidden="1" customWidth="1"/>
    <col min="87" max="93" width="4.42578125" hidden="1" customWidth="1"/>
    <col min="94" max="94" width="25.28515625" hidden="1" customWidth="1"/>
    <col min="95" max="95" width="35.85546875" customWidth="1"/>
    <col min="96" max="96" width="23.140625" customWidth="1"/>
    <col min="97" max="97" width="23.85546875" customWidth="1"/>
    <col min="98" max="98" width="25" customWidth="1"/>
    <col min="99" max="100" width="20.85546875" customWidth="1"/>
    <col min="101" max="101" width="25" customWidth="1"/>
  </cols>
  <sheetData>
    <row r="1" spans="1:101" ht="15.75" thickBot="1" x14ac:dyDescent="0.3">
      <c r="A1" t="s">
        <v>0</v>
      </c>
      <c r="B1" t="s">
        <v>1</v>
      </c>
      <c r="C1" t="s">
        <v>3136</v>
      </c>
      <c r="D1" t="s">
        <v>3137</v>
      </c>
      <c r="E1" t="s">
        <v>4</v>
      </c>
      <c r="F1" t="s">
        <v>5</v>
      </c>
      <c r="G1" t="s">
        <v>6</v>
      </c>
      <c r="H1" t="s">
        <v>3122</v>
      </c>
      <c r="I1" t="s">
        <v>7</v>
      </c>
      <c r="J1" t="s">
        <v>8</v>
      </c>
      <c r="K1" t="s">
        <v>9</v>
      </c>
      <c r="L1" t="s">
        <v>10</v>
      </c>
      <c r="M1" t="s">
        <v>3123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3124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3125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61</v>
      </c>
      <c r="BO1" t="s">
        <v>62</v>
      </c>
      <c r="BP1" t="s">
        <v>63</v>
      </c>
      <c r="BQ1" t="s">
        <v>64</v>
      </c>
      <c r="BR1" t="s">
        <v>65</v>
      </c>
      <c r="BS1" t="s">
        <v>66</v>
      </c>
      <c r="BT1" t="s">
        <v>67</v>
      </c>
      <c r="BU1" t="s">
        <v>68</v>
      </c>
      <c r="BV1" t="s">
        <v>69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3131</v>
      </c>
      <c r="CS1" t="s">
        <v>3132</v>
      </c>
      <c r="CT1" t="s">
        <v>3133</v>
      </c>
      <c r="CU1" t="s">
        <v>3134</v>
      </c>
      <c r="CV1" t="s">
        <v>3122</v>
      </c>
      <c r="CW1" t="s">
        <v>3135</v>
      </c>
    </row>
    <row r="2" spans="1:101" ht="15.75" thickBot="1" x14ac:dyDescent="0.3">
      <c r="A2" t="s">
        <v>484</v>
      </c>
      <c r="B2" t="s">
        <v>1250</v>
      </c>
      <c r="C2" t="s">
        <v>3138</v>
      </c>
      <c r="D2" t="s">
        <v>3139</v>
      </c>
      <c r="F2" t="s">
        <v>3140</v>
      </c>
      <c r="G2" t="s">
        <v>1251</v>
      </c>
      <c r="H2">
        <v>69.52</v>
      </c>
      <c r="I2">
        <v>489</v>
      </c>
      <c r="J2">
        <v>0</v>
      </c>
      <c r="K2" t="s">
        <v>95</v>
      </c>
      <c r="L2">
        <v>-102.02416959999999</v>
      </c>
      <c r="M2">
        <f t="shared" ref="M2:M65" si="0">(1000/H2)*L2</f>
        <v>-1467.5513463751438</v>
      </c>
      <c r="N2" t="s">
        <v>95</v>
      </c>
      <c r="O2" t="s">
        <v>1252</v>
      </c>
      <c r="P2" t="s">
        <v>93</v>
      </c>
      <c r="Q2">
        <v>0</v>
      </c>
      <c r="R2" t="s">
        <v>95</v>
      </c>
      <c r="S2">
        <v>-102.9337247</v>
      </c>
      <c r="T2">
        <f t="shared" ref="T2:T65" si="1">(1000/H2)*S2</f>
        <v>-1480.6347051208286</v>
      </c>
      <c r="U2" t="s">
        <v>95</v>
      </c>
      <c r="V2">
        <v>5808</v>
      </c>
      <c r="W2" t="s">
        <v>510</v>
      </c>
      <c r="X2">
        <v>298</v>
      </c>
      <c r="Y2" t="s">
        <v>170</v>
      </c>
      <c r="Z2">
        <v>-109.5</v>
      </c>
      <c r="AA2" t="s">
        <v>95</v>
      </c>
      <c r="AB2">
        <f t="shared" ref="AB2:AB65" si="2">(1000/H2)*Z2</f>
        <v>-1575.0863060989643</v>
      </c>
      <c r="AC2" t="s">
        <v>93</v>
      </c>
      <c r="AD2">
        <v>3.4</v>
      </c>
      <c r="AE2" t="s">
        <v>95</v>
      </c>
      <c r="AF2" t="s">
        <v>93</v>
      </c>
      <c r="BA2">
        <v>0.33</v>
      </c>
      <c r="BQ2">
        <v>0.66</v>
      </c>
      <c r="CR2">
        <f t="shared" ref="CR2:CR65" si="3">VALUE(M2)</f>
        <v>-1467.5513463751438</v>
      </c>
      <c r="CS2">
        <f t="shared" ref="CS2:CS65" si="4">VALUE(T2)</f>
        <v>-1480.6347051208286</v>
      </c>
      <c r="CT2">
        <f t="shared" ref="CT2:CT65" si="5">VALUE(AB2)</f>
        <v>-1575.0863060989643</v>
      </c>
      <c r="CU2" s="7">
        <f t="shared" ref="CU2:CU65" si="6">SUM(CR2:CT2)/(COUNTIF(CR2:CT2,"&lt;&gt;0")-COUNTBLANK(CR2:CT2)-(COUNTA(CR2:CT2)-COUNT(CR2:CT2)))</f>
        <v>-1507.7574525316456</v>
      </c>
      <c r="CV2" s="9">
        <f>H2</f>
        <v>69.52</v>
      </c>
      <c r="CW2" t="str">
        <f t="shared" ref="CW2:CW13" si="7">G2</f>
        <v>TiB2</v>
      </c>
    </row>
    <row r="3" spans="1:101" ht="15.75" thickBot="1" x14ac:dyDescent="0.3">
      <c r="A3" t="s">
        <v>484</v>
      </c>
      <c r="B3" t="s">
        <v>1314</v>
      </c>
      <c r="C3" t="s">
        <v>3138</v>
      </c>
      <c r="D3" t="s">
        <v>3139</v>
      </c>
      <c r="F3" t="s">
        <v>3140</v>
      </c>
      <c r="G3" t="s">
        <v>1315</v>
      </c>
      <c r="H3">
        <v>59.911000000000001</v>
      </c>
      <c r="I3">
        <v>513</v>
      </c>
      <c r="J3">
        <v>0</v>
      </c>
      <c r="K3" t="s">
        <v>95</v>
      </c>
      <c r="L3">
        <v>-77.896552869999994</v>
      </c>
      <c r="M3">
        <f t="shared" si="0"/>
        <v>-1300.2045178681708</v>
      </c>
      <c r="N3" t="s">
        <v>95</v>
      </c>
      <c r="O3" t="s">
        <v>1316</v>
      </c>
      <c r="P3" t="s">
        <v>93</v>
      </c>
      <c r="Q3">
        <v>4.3417999999999999E-4</v>
      </c>
      <c r="R3" t="s">
        <v>95</v>
      </c>
      <c r="S3">
        <v>-77.586235689999995</v>
      </c>
      <c r="T3">
        <f t="shared" si="1"/>
        <v>-1295.0248817412494</v>
      </c>
      <c r="U3" t="s">
        <v>95</v>
      </c>
      <c r="V3">
        <v>1949</v>
      </c>
      <c r="W3" t="s">
        <v>1317</v>
      </c>
      <c r="X3">
        <v>298</v>
      </c>
      <c r="Y3" t="s">
        <v>185</v>
      </c>
      <c r="Z3">
        <v>-92.9</v>
      </c>
      <c r="AA3" t="s">
        <v>95</v>
      </c>
      <c r="AB3">
        <f t="shared" si="2"/>
        <v>-1550.6334396020764</v>
      </c>
      <c r="AC3" t="s">
        <v>93</v>
      </c>
      <c r="AD3">
        <v>8.9</v>
      </c>
      <c r="AE3" t="s">
        <v>95</v>
      </c>
      <c r="AF3" t="s">
        <v>93</v>
      </c>
      <c r="BA3">
        <v>0.5</v>
      </c>
      <c r="BU3">
        <v>0.5</v>
      </c>
      <c r="CR3">
        <f t="shared" si="3"/>
        <v>-1300.2045178681708</v>
      </c>
      <c r="CS3">
        <f t="shared" si="4"/>
        <v>-1295.0248817412494</v>
      </c>
      <c r="CT3">
        <f t="shared" si="5"/>
        <v>-1550.6334396020764</v>
      </c>
      <c r="CU3" s="7">
        <f t="shared" si="6"/>
        <v>-1381.9542797371657</v>
      </c>
      <c r="CV3" s="9">
        <f t="shared" ref="CV3:CV66" si="8">H3</f>
        <v>59.911000000000001</v>
      </c>
      <c r="CW3" t="str">
        <f t="shared" si="7"/>
        <v>TiC</v>
      </c>
    </row>
    <row r="4" spans="1:101" ht="15.75" thickBot="1" x14ac:dyDescent="0.3">
      <c r="A4" t="s">
        <v>484</v>
      </c>
      <c r="B4" t="s">
        <v>1241</v>
      </c>
      <c r="C4" t="s">
        <v>3138</v>
      </c>
      <c r="D4" t="s">
        <v>3139</v>
      </c>
      <c r="F4" t="s">
        <v>3140</v>
      </c>
      <c r="G4" t="s">
        <v>1242</v>
      </c>
      <c r="H4">
        <v>66.575900000000004</v>
      </c>
      <c r="I4">
        <v>486</v>
      </c>
      <c r="J4">
        <v>0</v>
      </c>
      <c r="K4" t="s">
        <v>95</v>
      </c>
      <c r="L4">
        <v>-81.150813209999995</v>
      </c>
      <c r="M4">
        <f t="shared" si="0"/>
        <v>-1218.921760126412</v>
      </c>
      <c r="N4" t="s">
        <v>95</v>
      </c>
      <c r="O4" t="s">
        <v>1243</v>
      </c>
      <c r="P4" t="s">
        <v>93</v>
      </c>
      <c r="Q4">
        <v>0</v>
      </c>
      <c r="R4" t="s">
        <v>95</v>
      </c>
      <c r="S4">
        <v>-80.900013860000001</v>
      </c>
      <c r="T4">
        <f t="shared" si="1"/>
        <v>-1215.1546409436446</v>
      </c>
      <c r="U4" t="s">
        <v>95</v>
      </c>
      <c r="V4">
        <v>8428</v>
      </c>
      <c r="W4" t="s">
        <v>510</v>
      </c>
      <c r="X4">
        <v>298</v>
      </c>
      <c r="Y4" t="s">
        <v>170</v>
      </c>
      <c r="Z4">
        <v>-102.3</v>
      </c>
      <c r="AA4" t="s">
        <v>95</v>
      </c>
      <c r="AB4">
        <f t="shared" si="2"/>
        <v>-1536.5920701034456</v>
      </c>
      <c r="AC4" t="s">
        <v>93</v>
      </c>
      <c r="AD4">
        <v>4.9000000000000004</v>
      </c>
      <c r="AE4" t="s">
        <v>95</v>
      </c>
      <c r="AF4" t="s">
        <v>93</v>
      </c>
      <c r="BQ4">
        <v>0.66</v>
      </c>
      <c r="CR4">
        <f t="shared" si="3"/>
        <v>-1218.921760126412</v>
      </c>
      <c r="CS4">
        <f t="shared" si="4"/>
        <v>-1215.1546409436446</v>
      </c>
      <c r="CT4">
        <f t="shared" si="5"/>
        <v>-1536.5920701034456</v>
      </c>
      <c r="CU4" s="7">
        <f t="shared" si="6"/>
        <v>-1323.5561570578341</v>
      </c>
      <c r="CV4" s="9">
        <f t="shared" si="8"/>
        <v>66.575900000000004</v>
      </c>
      <c r="CW4" t="str">
        <f t="shared" si="7"/>
        <v>ScB2</v>
      </c>
    </row>
    <row r="5" spans="1:101" ht="15.75" thickBot="1" x14ac:dyDescent="0.3">
      <c r="A5" t="s">
        <v>91</v>
      </c>
      <c r="B5" t="s">
        <v>1586</v>
      </c>
      <c r="C5" t="s">
        <v>3144</v>
      </c>
      <c r="E5" t="s">
        <v>3145</v>
      </c>
      <c r="F5" t="s">
        <v>93</v>
      </c>
      <c r="G5" t="s">
        <v>1587</v>
      </c>
      <c r="H5">
        <v>73.041399999999996</v>
      </c>
      <c r="I5">
        <v>610</v>
      </c>
      <c r="J5">
        <v>0</v>
      </c>
      <c r="K5" t="s">
        <v>95</v>
      </c>
      <c r="L5">
        <v>-80.705037039999993</v>
      </c>
      <c r="M5">
        <f t="shared" si="0"/>
        <v>-1104.9218257043265</v>
      </c>
      <c r="N5" t="s">
        <v>95</v>
      </c>
      <c r="O5" t="s">
        <v>1588</v>
      </c>
      <c r="P5" t="s">
        <v>93</v>
      </c>
      <c r="Q5">
        <v>0</v>
      </c>
      <c r="R5" t="s">
        <v>95</v>
      </c>
      <c r="S5">
        <v>-80.839503590000007</v>
      </c>
      <c r="T5">
        <f t="shared" si="1"/>
        <v>-1106.7627891853115</v>
      </c>
      <c r="U5" t="s">
        <v>95</v>
      </c>
      <c r="V5">
        <v>7936</v>
      </c>
      <c r="W5" t="s">
        <v>430</v>
      </c>
      <c r="X5">
        <v>298</v>
      </c>
      <c r="Y5" t="s">
        <v>147</v>
      </c>
      <c r="Z5">
        <v>-82.3</v>
      </c>
      <c r="AA5" t="s">
        <v>95</v>
      </c>
      <c r="AB5">
        <f t="shared" si="2"/>
        <v>-1126.7582494311446</v>
      </c>
      <c r="AC5" t="s">
        <v>93</v>
      </c>
      <c r="AD5">
        <v>2.1</v>
      </c>
      <c r="AE5" t="s">
        <v>95</v>
      </c>
      <c r="AF5" t="s">
        <v>93</v>
      </c>
      <c r="BX5">
        <v>0.5</v>
      </c>
      <c r="CR5">
        <f t="shared" si="3"/>
        <v>-1104.9218257043265</v>
      </c>
      <c r="CS5">
        <f t="shared" si="4"/>
        <v>-1106.7627891853115</v>
      </c>
      <c r="CT5">
        <f t="shared" si="5"/>
        <v>-1126.7582494311446</v>
      </c>
      <c r="CU5" s="7">
        <f t="shared" si="6"/>
        <v>-1112.8142881069275</v>
      </c>
      <c r="CV5" s="9">
        <f t="shared" si="8"/>
        <v>73.041399999999996</v>
      </c>
      <c r="CW5" t="str">
        <f t="shared" si="7"/>
        <v>ScSi</v>
      </c>
    </row>
    <row r="6" spans="1:101" ht="15.75" thickBot="1" x14ac:dyDescent="0.3">
      <c r="A6" t="s">
        <v>484</v>
      </c>
      <c r="B6" t="s">
        <v>1256</v>
      </c>
      <c r="C6" t="s">
        <v>3138</v>
      </c>
      <c r="D6" t="s">
        <v>3139</v>
      </c>
      <c r="F6" t="s">
        <v>3140</v>
      </c>
      <c r="G6" t="s">
        <v>1257</v>
      </c>
      <c r="H6">
        <v>72.561499999999995</v>
      </c>
      <c r="I6">
        <v>491</v>
      </c>
      <c r="J6">
        <v>0</v>
      </c>
      <c r="K6" t="s">
        <v>95</v>
      </c>
      <c r="L6">
        <v>-71.673716369999994</v>
      </c>
      <c r="M6">
        <f t="shared" si="0"/>
        <v>-987.76508713298381</v>
      </c>
      <c r="N6" t="s">
        <v>95</v>
      </c>
      <c r="O6" t="s">
        <v>1258</v>
      </c>
      <c r="P6" t="s">
        <v>93</v>
      </c>
      <c r="Q6">
        <v>0</v>
      </c>
      <c r="R6" t="s">
        <v>95</v>
      </c>
      <c r="S6">
        <v>-70.635867320000003</v>
      </c>
      <c r="T6">
        <f t="shared" si="1"/>
        <v>-973.46206073468727</v>
      </c>
      <c r="U6" t="s">
        <v>95</v>
      </c>
      <c r="V6">
        <v>109274</v>
      </c>
      <c r="W6" t="s">
        <v>510</v>
      </c>
      <c r="X6">
        <v>298</v>
      </c>
      <c r="Y6" t="s">
        <v>170</v>
      </c>
      <c r="Z6">
        <v>-70.7</v>
      </c>
      <c r="AA6" t="s">
        <v>95</v>
      </c>
      <c r="AB6">
        <f t="shared" si="2"/>
        <v>-974.34589968509488</v>
      </c>
      <c r="AC6" t="s">
        <v>93</v>
      </c>
      <c r="AD6">
        <v>4.2</v>
      </c>
      <c r="AE6" t="s">
        <v>95</v>
      </c>
      <c r="AF6" t="s">
        <v>93</v>
      </c>
      <c r="BD6">
        <v>0.33</v>
      </c>
      <c r="BQ6">
        <v>0.66</v>
      </c>
      <c r="CR6">
        <f t="shared" si="3"/>
        <v>-987.76508713298381</v>
      </c>
      <c r="CS6">
        <f t="shared" si="4"/>
        <v>-973.46206073468727</v>
      </c>
      <c r="CT6">
        <f t="shared" si="5"/>
        <v>-974.34589968509488</v>
      </c>
      <c r="CU6" s="7">
        <f t="shared" si="6"/>
        <v>-978.52434918425536</v>
      </c>
      <c r="CV6" s="9">
        <f t="shared" si="8"/>
        <v>72.561499999999995</v>
      </c>
      <c r="CW6" t="str">
        <f t="shared" si="7"/>
        <v>VB2</v>
      </c>
    </row>
    <row r="7" spans="1:101" ht="15.75" thickBot="1" x14ac:dyDescent="0.3">
      <c r="A7" t="s">
        <v>91</v>
      </c>
      <c r="B7" t="s">
        <v>1628</v>
      </c>
      <c r="C7" t="s">
        <v>3144</v>
      </c>
      <c r="E7" t="s">
        <v>3145</v>
      </c>
      <c r="F7" t="s">
        <v>93</v>
      </c>
      <c r="G7" t="s">
        <v>1629</v>
      </c>
      <c r="H7">
        <v>75.985500000000002</v>
      </c>
      <c r="I7">
        <v>626</v>
      </c>
      <c r="J7">
        <v>0</v>
      </c>
      <c r="K7" t="s">
        <v>95</v>
      </c>
      <c r="L7">
        <v>-74.105655459999994</v>
      </c>
      <c r="M7">
        <f t="shared" si="0"/>
        <v>-975.26048338169778</v>
      </c>
      <c r="N7" t="s">
        <v>95</v>
      </c>
      <c r="O7" t="s">
        <v>1630</v>
      </c>
      <c r="P7" t="s">
        <v>93</v>
      </c>
      <c r="Q7">
        <v>0</v>
      </c>
      <c r="R7" t="s">
        <v>95</v>
      </c>
      <c r="S7">
        <v>-76.304031050000006</v>
      </c>
      <c r="T7">
        <f t="shared" si="1"/>
        <v>-1004.1919978153728</v>
      </c>
      <c r="U7" t="s">
        <v>95</v>
      </c>
      <c r="V7">
        <v>8102</v>
      </c>
      <c r="W7" t="s">
        <v>358</v>
      </c>
      <c r="X7">
        <v>298</v>
      </c>
      <c r="Y7" t="s">
        <v>359</v>
      </c>
      <c r="Z7">
        <v>-72.599999999999994</v>
      </c>
      <c r="AA7" t="s">
        <v>95</v>
      </c>
      <c r="AB7">
        <f t="shared" si="2"/>
        <v>-955.44544682867115</v>
      </c>
      <c r="AC7" t="s">
        <v>93</v>
      </c>
      <c r="AD7">
        <v>1.9</v>
      </c>
      <c r="AE7" t="s">
        <v>95</v>
      </c>
      <c r="AF7" t="s">
        <v>93</v>
      </c>
      <c r="BA7">
        <v>0.5</v>
      </c>
      <c r="BX7">
        <v>0.5</v>
      </c>
      <c r="CR7">
        <f t="shared" si="3"/>
        <v>-975.26048338169778</v>
      </c>
      <c r="CS7">
        <f t="shared" si="4"/>
        <v>-1004.1919978153728</v>
      </c>
      <c r="CT7">
        <f t="shared" si="5"/>
        <v>-955.44544682867115</v>
      </c>
      <c r="CU7" s="7">
        <f t="shared" si="6"/>
        <v>-978.29930934191395</v>
      </c>
      <c r="CV7" s="9">
        <f t="shared" si="8"/>
        <v>75.985500000000002</v>
      </c>
      <c r="CW7" t="str">
        <f t="shared" si="7"/>
        <v>TiSi</v>
      </c>
    </row>
    <row r="8" spans="1:101" ht="15.75" thickBot="1" x14ac:dyDescent="0.3">
      <c r="A8" t="s">
        <v>91</v>
      </c>
      <c r="B8" t="s">
        <v>1109</v>
      </c>
      <c r="C8" t="s">
        <v>3144</v>
      </c>
      <c r="E8" t="s">
        <v>3145</v>
      </c>
      <c r="F8" t="s">
        <v>93</v>
      </c>
      <c r="G8" t="s">
        <v>1110</v>
      </c>
      <c r="H8">
        <v>129.88704000000001</v>
      </c>
      <c r="I8">
        <v>440</v>
      </c>
      <c r="J8">
        <v>0</v>
      </c>
      <c r="K8" t="s">
        <v>95</v>
      </c>
      <c r="L8">
        <v>-105.6237055</v>
      </c>
      <c r="M8">
        <f t="shared" si="0"/>
        <v>-813.19664764090396</v>
      </c>
      <c r="N8" t="s">
        <v>95</v>
      </c>
      <c r="O8" t="s">
        <v>1111</v>
      </c>
      <c r="P8" t="s">
        <v>93</v>
      </c>
      <c r="Q8">
        <v>8.4328200000000006E-3</v>
      </c>
      <c r="R8" t="s">
        <v>95</v>
      </c>
      <c r="S8">
        <v>-105.8555973</v>
      </c>
      <c r="T8">
        <f t="shared" si="1"/>
        <v>-814.98198203608297</v>
      </c>
      <c r="U8" t="s">
        <v>95</v>
      </c>
      <c r="V8">
        <v>10576</v>
      </c>
      <c r="W8" t="s">
        <v>102</v>
      </c>
      <c r="X8">
        <v>298</v>
      </c>
      <c r="Y8" t="s">
        <v>103</v>
      </c>
      <c r="Z8">
        <v>-106.3</v>
      </c>
      <c r="AA8" t="s">
        <v>95</v>
      </c>
      <c r="AB8">
        <f t="shared" si="2"/>
        <v>-818.40343732523274</v>
      </c>
      <c r="AC8" t="s">
        <v>93</v>
      </c>
      <c r="AD8">
        <v>1.6</v>
      </c>
      <c r="AE8" t="s">
        <v>95</v>
      </c>
      <c r="AF8" t="s">
        <v>93</v>
      </c>
      <c r="AR8">
        <v>0.5</v>
      </c>
      <c r="BF8">
        <v>0.5</v>
      </c>
      <c r="CR8">
        <f t="shared" si="3"/>
        <v>-813.19664764090396</v>
      </c>
      <c r="CS8">
        <f t="shared" si="4"/>
        <v>-814.98198203608297</v>
      </c>
      <c r="CT8">
        <f t="shared" si="5"/>
        <v>-818.40343732523274</v>
      </c>
      <c r="CU8" s="7">
        <f t="shared" si="6"/>
        <v>-815.52735566740648</v>
      </c>
      <c r="CV8" s="9">
        <f t="shared" si="8"/>
        <v>129.88704000000001</v>
      </c>
      <c r="CW8" t="str">
        <f t="shared" si="7"/>
        <v>AlRh</v>
      </c>
    </row>
    <row r="9" spans="1:101" ht="15.75" thickBot="1" x14ac:dyDescent="0.3">
      <c r="A9" t="s">
        <v>91</v>
      </c>
      <c r="B9" t="s">
        <v>1636</v>
      </c>
      <c r="C9" t="s">
        <v>3144</v>
      </c>
      <c r="E9" t="s">
        <v>3145</v>
      </c>
      <c r="F9" t="s">
        <v>93</v>
      </c>
      <c r="G9" t="s">
        <v>1637</v>
      </c>
      <c r="H9">
        <v>119.30549999999999</v>
      </c>
      <c r="I9">
        <v>629</v>
      </c>
      <c r="J9">
        <v>0</v>
      </c>
      <c r="K9" t="s">
        <v>95</v>
      </c>
      <c r="L9">
        <v>-90.058290670000005</v>
      </c>
      <c r="M9">
        <f t="shared" si="0"/>
        <v>-754.85447586238695</v>
      </c>
      <c r="N9" t="s">
        <v>95</v>
      </c>
      <c r="O9" t="s">
        <v>1638</v>
      </c>
      <c r="P9" t="s">
        <v>93</v>
      </c>
      <c r="Q9">
        <v>0.10127000999999999</v>
      </c>
      <c r="R9" t="s">
        <v>95</v>
      </c>
      <c r="S9">
        <v>-90.124274839999998</v>
      </c>
      <c r="T9">
        <f t="shared" si="1"/>
        <v>-755.40754483238413</v>
      </c>
      <c r="U9" t="s">
        <v>95</v>
      </c>
      <c r="V9">
        <v>3569</v>
      </c>
      <c r="W9" t="s">
        <v>358</v>
      </c>
      <c r="X9">
        <v>298</v>
      </c>
      <c r="Y9" t="s">
        <v>359</v>
      </c>
      <c r="Z9">
        <v>-94.5</v>
      </c>
      <c r="AA9" t="s">
        <v>95</v>
      </c>
      <c r="AB9">
        <f t="shared" si="2"/>
        <v>-792.08418723361456</v>
      </c>
      <c r="AC9" t="s">
        <v>93</v>
      </c>
      <c r="AD9">
        <v>2.2999999999999998</v>
      </c>
      <c r="AE9" t="s">
        <v>95</v>
      </c>
      <c r="AF9" t="s">
        <v>93</v>
      </c>
      <c r="AP9">
        <v>0.5</v>
      </c>
      <c r="BX9">
        <v>0.5</v>
      </c>
      <c r="CR9">
        <f t="shared" si="3"/>
        <v>-754.85447586238695</v>
      </c>
      <c r="CS9">
        <f t="shared" si="4"/>
        <v>-755.40754483238413</v>
      </c>
      <c r="CT9">
        <f t="shared" si="5"/>
        <v>-792.08418723361456</v>
      </c>
      <c r="CU9" s="7">
        <f t="shared" si="6"/>
        <v>-767.44873597612843</v>
      </c>
      <c r="CV9" s="9">
        <f t="shared" si="8"/>
        <v>119.30549999999999</v>
      </c>
      <c r="CW9" t="str">
        <f t="shared" si="7"/>
        <v>ZrSi</v>
      </c>
    </row>
    <row r="10" spans="1:101" ht="15.75" thickBot="1" x14ac:dyDescent="0.3">
      <c r="A10" t="s">
        <v>91</v>
      </c>
      <c r="B10" t="s">
        <v>266</v>
      </c>
      <c r="C10" t="s">
        <v>3144</v>
      </c>
      <c r="E10" t="s">
        <v>3145</v>
      </c>
      <c r="F10" t="s">
        <v>93</v>
      </c>
      <c r="G10" t="s">
        <v>268</v>
      </c>
      <c r="H10">
        <v>85.681539999999998</v>
      </c>
      <c r="I10">
        <v>84</v>
      </c>
      <c r="J10">
        <v>0</v>
      </c>
      <c r="K10" t="s">
        <v>95</v>
      </c>
      <c r="L10">
        <v>-63.549860010000003</v>
      </c>
      <c r="M10">
        <f t="shared" si="0"/>
        <v>-741.69838695709723</v>
      </c>
      <c r="N10" t="s">
        <v>95</v>
      </c>
      <c r="O10" t="s">
        <v>269</v>
      </c>
      <c r="P10" t="s">
        <v>93</v>
      </c>
      <c r="Q10">
        <v>0</v>
      </c>
      <c r="R10" t="s">
        <v>95</v>
      </c>
      <c r="S10">
        <v>-64.591732399999998</v>
      </c>
      <c r="T10">
        <f t="shared" si="1"/>
        <v>-753.85821029827423</v>
      </c>
      <c r="U10" t="s">
        <v>95</v>
      </c>
      <c r="V10">
        <v>94913</v>
      </c>
      <c r="W10" t="s">
        <v>102</v>
      </c>
      <c r="X10">
        <v>298</v>
      </c>
      <c r="Y10" t="s">
        <v>103</v>
      </c>
      <c r="Z10">
        <v>-61.8</v>
      </c>
      <c r="AA10" t="s">
        <v>95</v>
      </c>
      <c r="AB10">
        <f t="shared" si="2"/>
        <v>-721.27555130311612</v>
      </c>
      <c r="AC10" t="s">
        <v>93</v>
      </c>
      <c r="AD10">
        <v>1.1100000000000001</v>
      </c>
      <c r="AE10" t="s">
        <v>95</v>
      </c>
      <c r="AF10" t="s">
        <v>93</v>
      </c>
      <c r="AR10">
        <v>0.5</v>
      </c>
      <c r="AS10">
        <v>0.5</v>
      </c>
      <c r="CR10">
        <f t="shared" si="3"/>
        <v>-741.69838695709723</v>
      </c>
      <c r="CS10">
        <f t="shared" si="4"/>
        <v>-753.85821029827423</v>
      </c>
      <c r="CT10">
        <f t="shared" si="5"/>
        <v>-721.27555130311612</v>
      </c>
      <c r="CU10" s="7">
        <f t="shared" si="6"/>
        <v>-738.94404951949582</v>
      </c>
      <c r="CV10" s="9">
        <f t="shared" si="8"/>
        <v>85.681539999999998</v>
      </c>
      <c r="CW10" t="str">
        <f t="shared" si="7"/>
        <v>AlNi</v>
      </c>
    </row>
    <row r="11" spans="1:101" ht="15.75" thickBot="1" x14ac:dyDescent="0.3">
      <c r="A11" t="s">
        <v>91</v>
      </c>
      <c r="B11" t="s">
        <v>266</v>
      </c>
      <c r="C11" t="s">
        <v>3144</v>
      </c>
      <c r="E11" t="s">
        <v>3145</v>
      </c>
      <c r="F11" t="s">
        <v>93</v>
      </c>
      <c r="G11" t="s">
        <v>268</v>
      </c>
      <c r="H11">
        <v>85.681539999999998</v>
      </c>
      <c r="I11">
        <v>437</v>
      </c>
      <c r="J11">
        <v>0</v>
      </c>
      <c r="K11" t="s">
        <v>95</v>
      </c>
      <c r="L11">
        <v>-63.549860010000003</v>
      </c>
      <c r="M11">
        <f t="shared" si="0"/>
        <v>-741.69838695709723</v>
      </c>
      <c r="N11" t="s">
        <v>95</v>
      </c>
      <c r="O11" t="s">
        <v>269</v>
      </c>
      <c r="P11" t="s">
        <v>93</v>
      </c>
      <c r="Q11">
        <v>0</v>
      </c>
      <c r="R11" t="s">
        <v>95</v>
      </c>
      <c r="S11">
        <v>-64.591732399999998</v>
      </c>
      <c r="T11">
        <f t="shared" si="1"/>
        <v>-753.85821029827423</v>
      </c>
      <c r="U11" t="s">
        <v>95</v>
      </c>
      <c r="V11">
        <v>94913</v>
      </c>
      <c r="W11" t="s">
        <v>102</v>
      </c>
      <c r="X11">
        <v>298</v>
      </c>
      <c r="Y11" t="s">
        <v>103</v>
      </c>
      <c r="Z11">
        <v>-58.3</v>
      </c>
      <c r="AA11" t="s">
        <v>95</v>
      </c>
      <c r="AB11">
        <f t="shared" si="2"/>
        <v>-680.42661231345744</v>
      </c>
      <c r="AC11" t="s">
        <v>93</v>
      </c>
      <c r="AD11">
        <v>1.1000000000000001</v>
      </c>
      <c r="AE11" t="s">
        <v>95</v>
      </c>
      <c r="AF11" t="s">
        <v>93</v>
      </c>
      <c r="AR11">
        <v>0.5</v>
      </c>
      <c r="AS11">
        <v>0.5</v>
      </c>
      <c r="CR11">
        <f t="shared" si="3"/>
        <v>-741.69838695709723</v>
      </c>
      <c r="CS11">
        <f t="shared" si="4"/>
        <v>-753.85821029827423</v>
      </c>
      <c r="CT11">
        <f t="shared" si="5"/>
        <v>-680.42661231345744</v>
      </c>
      <c r="CU11" s="7">
        <f t="shared" si="6"/>
        <v>-725.32773652294293</v>
      </c>
      <c r="CV11" s="9">
        <f t="shared" si="8"/>
        <v>85.681539999999998</v>
      </c>
      <c r="CW11" t="str">
        <f t="shared" si="7"/>
        <v>AlNi</v>
      </c>
    </row>
    <row r="12" spans="1:101" ht="15.75" thickBot="1" x14ac:dyDescent="0.3">
      <c r="A12" t="s">
        <v>91</v>
      </c>
      <c r="B12" t="s">
        <v>1633</v>
      </c>
      <c r="C12" t="s">
        <v>3144</v>
      </c>
      <c r="E12" t="s">
        <v>3145</v>
      </c>
      <c r="F12" t="s">
        <v>93</v>
      </c>
      <c r="G12" t="s">
        <v>1634</v>
      </c>
      <c r="H12">
        <v>116.9914</v>
      </c>
      <c r="I12">
        <v>628</v>
      </c>
      <c r="J12">
        <v>0</v>
      </c>
      <c r="K12" t="s">
        <v>95</v>
      </c>
      <c r="L12">
        <v>-82.041299589999994</v>
      </c>
      <c r="M12">
        <f t="shared" si="0"/>
        <v>-701.25923435397817</v>
      </c>
      <c r="N12" t="s">
        <v>95</v>
      </c>
      <c r="O12" t="s">
        <v>1635</v>
      </c>
      <c r="P12" t="s">
        <v>93</v>
      </c>
      <c r="Q12">
        <v>0</v>
      </c>
      <c r="R12" t="s">
        <v>95</v>
      </c>
      <c r="S12">
        <v>-82.243944580000004</v>
      </c>
      <c r="T12">
        <f t="shared" si="1"/>
        <v>-702.99137013489883</v>
      </c>
      <c r="U12" t="s">
        <v>95</v>
      </c>
      <c r="V12">
        <v>7939</v>
      </c>
      <c r="W12" t="s">
        <v>430</v>
      </c>
      <c r="X12">
        <v>298</v>
      </c>
      <c r="Y12" t="s">
        <v>147</v>
      </c>
      <c r="Z12">
        <v>-80.7</v>
      </c>
      <c r="AA12" t="s">
        <v>95</v>
      </c>
      <c r="AB12">
        <f t="shared" si="2"/>
        <v>-689.79429257193271</v>
      </c>
      <c r="AC12" t="s">
        <v>93</v>
      </c>
      <c r="AD12">
        <v>1.3</v>
      </c>
      <c r="AE12" t="s">
        <v>95</v>
      </c>
      <c r="AF12" t="s">
        <v>93</v>
      </c>
      <c r="AG12">
        <v>0.5</v>
      </c>
      <c r="BX12">
        <v>0.5</v>
      </c>
      <c r="CR12">
        <f t="shared" si="3"/>
        <v>-701.25923435397817</v>
      </c>
      <c r="CS12">
        <f t="shared" si="4"/>
        <v>-702.99137013489883</v>
      </c>
      <c r="CT12">
        <f t="shared" si="5"/>
        <v>-689.79429257193271</v>
      </c>
      <c r="CU12" s="7">
        <f t="shared" si="6"/>
        <v>-698.01496568693653</v>
      </c>
      <c r="CV12" s="9">
        <f t="shared" si="8"/>
        <v>116.9914</v>
      </c>
      <c r="CW12" t="str">
        <f t="shared" si="7"/>
        <v>YSi</v>
      </c>
    </row>
    <row r="13" spans="1:101" ht="15.75" thickBot="1" x14ac:dyDescent="0.3">
      <c r="A13" t="s">
        <v>484</v>
      </c>
      <c r="B13" t="s">
        <v>1200</v>
      </c>
      <c r="C13" t="s">
        <v>3138</v>
      </c>
      <c r="D13" t="s">
        <v>3139</v>
      </c>
      <c r="F13" t="s">
        <v>3140</v>
      </c>
      <c r="G13" t="s">
        <v>1201</v>
      </c>
      <c r="H13">
        <v>65.748000000000005</v>
      </c>
      <c r="I13">
        <v>471</v>
      </c>
      <c r="J13">
        <v>0</v>
      </c>
      <c r="K13" t="s">
        <v>95</v>
      </c>
      <c r="L13">
        <v>-48.158434249999999</v>
      </c>
      <c r="M13">
        <f t="shared" si="0"/>
        <v>-732.46994965626322</v>
      </c>
      <c r="N13" t="s">
        <v>95</v>
      </c>
      <c r="O13" t="s">
        <v>1202</v>
      </c>
      <c r="P13" t="s">
        <v>93</v>
      </c>
      <c r="Q13">
        <v>0</v>
      </c>
      <c r="R13" t="s">
        <v>95</v>
      </c>
      <c r="S13">
        <v>-48.202148080000001</v>
      </c>
      <c r="T13">
        <f t="shared" si="1"/>
        <v>-733.13481900590125</v>
      </c>
      <c r="U13" t="s">
        <v>95</v>
      </c>
      <c r="V13">
        <v>13802</v>
      </c>
      <c r="W13" t="s">
        <v>358</v>
      </c>
      <c r="X13">
        <v>298</v>
      </c>
      <c r="Y13" t="s">
        <v>359</v>
      </c>
      <c r="Z13">
        <v>-35.799999999999997</v>
      </c>
      <c r="AA13" t="s">
        <v>95</v>
      </c>
      <c r="AB13">
        <f t="shared" si="2"/>
        <v>-544.50325485185851</v>
      </c>
      <c r="AC13" t="s">
        <v>93</v>
      </c>
      <c r="AD13">
        <v>2.4</v>
      </c>
      <c r="AE13" t="s">
        <v>95</v>
      </c>
      <c r="AF13" t="s">
        <v>93</v>
      </c>
      <c r="BQ13">
        <v>0.5</v>
      </c>
      <c r="BR13">
        <v>0.5</v>
      </c>
      <c r="CR13">
        <f t="shared" si="3"/>
        <v>-732.46994965626322</v>
      </c>
      <c r="CS13">
        <f t="shared" si="4"/>
        <v>-733.13481900590125</v>
      </c>
      <c r="CT13">
        <f t="shared" si="5"/>
        <v>-544.50325485185851</v>
      </c>
      <c r="CU13" s="7">
        <f t="shared" si="6"/>
        <v>-670.03600783800766</v>
      </c>
      <c r="CV13" s="9">
        <f t="shared" si="8"/>
        <v>65.748000000000005</v>
      </c>
      <c r="CW13" t="str">
        <f t="shared" si="7"/>
        <v>MnB</v>
      </c>
    </row>
    <row r="14" spans="1:101" ht="15.75" thickBot="1" x14ac:dyDescent="0.3">
      <c r="A14" t="s">
        <v>91</v>
      </c>
      <c r="B14" t="s">
        <v>1041</v>
      </c>
      <c r="C14" t="s">
        <v>3144</v>
      </c>
      <c r="E14" t="s">
        <v>3145</v>
      </c>
      <c r="F14" t="s">
        <v>93</v>
      </c>
      <c r="G14" t="s">
        <v>1044</v>
      </c>
      <c r="H14">
        <v>147.8614</v>
      </c>
      <c r="I14">
        <v>417</v>
      </c>
      <c r="J14">
        <v>0</v>
      </c>
      <c r="K14" t="s">
        <v>95</v>
      </c>
      <c r="L14">
        <v>-100.49716840000001</v>
      </c>
      <c r="M14">
        <f t="shared" si="0"/>
        <v>-679.67142472612863</v>
      </c>
      <c r="N14" t="s">
        <v>95</v>
      </c>
      <c r="O14" t="s">
        <v>1045</v>
      </c>
      <c r="P14" t="s">
        <v>93</v>
      </c>
      <c r="Q14">
        <v>9.3239530000000001E-2</v>
      </c>
      <c r="R14" t="s">
        <v>95</v>
      </c>
      <c r="S14">
        <v>-99.078174360000006</v>
      </c>
      <c r="T14">
        <f t="shared" si="1"/>
        <v>-670.07463989925702</v>
      </c>
      <c r="U14" t="s">
        <v>95</v>
      </c>
      <c r="V14">
        <v>18054</v>
      </c>
      <c r="W14" t="s">
        <v>102</v>
      </c>
      <c r="X14">
        <v>298</v>
      </c>
      <c r="Y14" t="s">
        <v>103</v>
      </c>
      <c r="Z14">
        <v>-94.5</v>
      </c>
      <c r="AA14" t="s">
        <v>95</v>
      </c>
      <c r="AB14">
        <f t="shared" si="2"/>
        <v>-639.11203329604609</v>
      </c>
      <c r="AC14" t="s">
        <v>93</v>
      </c>
      <c r="AD14">
        <v>1.5</v>
      </c>
      <c r="AE14" t="s">
        <v>95</v>
      </c>
      <c r="AF14" t="s">
        <v>93</v>
      </c>
      <c r="BF14">
        <v>0.5</v>
      </c>
      <c r="CR14">
        <f t="shared" si="3"/>
        <v>-679.67142472612863</v>
      </c>
      <c r="CS14">
        <f t="shared" si="4"/>
        <v>-670.07463989925702</v>
      </c>
      <c r="CT14">
        <f t="shared" si="5"/>
        <v>-639.11203329604609</v>
      </c>
      <c r="CU14" s="7">
        <f t="shared" si="6"/>
        <v>-662.95269930714392</v>
      </c>
      <c r="CV14" s="9">
        <f t="shared" si="8"/>
        <v>147.8614</v>
      </c>
      <c r="CW14" t="str">
        <f t="shared" ref="CW14:CW65" si="9">G14</f>
        <v>ScRh</v>
      </c>
    </row>
    <row r="15" spans="1:101" ht="15.75" thickBot="1" x14ac:dyDescent="0.3">
      <c r="A15" t="s">
        <v>91</v>
      </c>
      <c r="B15" t="s">
        <v>246</v>
      </c>
      <c r="C15" t="s">
        <v>3144</v>
      </c>
      <c r="E15" t="s">
        <v>3145</v>
      </c>
      <c r="F15" t="s">
        <v>93</v>
      </c>
      <c r="G15" t="s">
        <v>247</v>
      </c>
      <c r="H15">
        <v>85.914739999999995</v>
      </c>
      <c r="I15">
        <v>83</v>
      </c>
      <c r="J15">
        <v>0</v>
      </c>
      <c r="K15" t="s">
        <v>95</v>
      </c>
      <c r="L15">
        <v>-58.160199059999997</v>
      </c>
      <c r="M15">
        <f t="shared" si="0"/>
        <v>-676.95251199037557</v>
      </c>
      <c r="N15" t="s">
        <v>95</v>
      </c>
      <c r="O15" t="s">
        <v>248</v>
      </c>
      <c r="P15" t="s">
        <v>93</v>
      </c>
      <c r="Q15">
        <v>0.36224585999999998</v>
      </c>
      <c r="R15" t="s">
        <v>95</v>
      </c>
      <c r="S15">
        <v>-58.889046890000003</v>
      </c>
      <c r="T15">
        <f t="shared" si="1"/>
        <v>-685.43589714640359</v>
      </c>
      <c r="U15" t="s">
        <v>95</v>
      </c>
      <c r="V15">
        <v>10411</v>
      </c>
      <c r="W15" t="s">
        <v>102</v>
      </c>
      <c r="X15">
        <v>298</v>
      </c>
      <c r="Y15" t="s">
        <v>103</v>
      </c>
      <c r="Z15">
        <v>-53.4</v>
      </c>
      <c r="AA15" t="s">
        <v>95</v>
      </c>
      <c r="AB15">
        <f t="shared" si="2"/>
        <v>-621.54643079871971</v>
      </c>
      <c r="AC15" t="s">
        <v>93</v>
      </c>
      <c r="AD15">
        <v>1.4</v>
      </c>
      <c r="AE15" t="s">
        <v>95</v>
      </c>
      <c r="AF15" t="s">
        <v>93</v>
      </c>
      <c r="AR15">
        <v>0.5</v>
      </c>
      <c r="AW15">
        <v>0.5</v>
      </c>
      <c r="CR15">
        <f t="shared" si="3"/>
        <v>-676.95251199037557</v>
      </c>
      <c r="CS15">
        <f t="shared" si="4"/>
        <v>-685.43589714640359</v>
      </c>
      <c r="CT15">
        <f t="shared" si="5"/>
        <v>-621.54643079871971</v>
      </c>
      <c r="CU15" s="7">
        <f t="shared" si="6"/>
        <v>-661.31161331183296</v>
      </c>
      <c r="CV15" s="9">
        <f t="shared" si="8"/>
        <v>85.914739999999995</v>
      </c>
      <c r="CW15" t="str">
        <f t="shared" si="9"/>
        <v>AlCo</v>
      </c>
    </row>
    <row r="16" spans="1:101" ht="15.75" thickBot="1" x14ac:dyDescent="0.3">
      <c r="A16" t="s">
        <v>91</v>
      </c>
      <c r="B16" t="s">
        <v>246</v>
      </c>
      <c r="C16" t="s">
        <v>3144</v>
      </c>
      <c r="E16" t="s">
        <v>3145</v>
      </c>
      <c r="F16" t="s">
        <v>93</v>
      </c>
      <c r="G16" t="s">
        <v>247</v>
      </c>
      <c r="H16">
        <v>85.914739999999995</v>
      </c>
      <c r="I16">
        <v>69</v>
      </c>
      <c r="J16">
        <v>0</v>
      </c>
      <c r="K16" t="s">
        <v>95</v>
      </c>
      <c r="L16">
        <v>-58.160199059999997</v>
      </c>
      <c r="M16">
        <f t="shared" si="0"/>
        <v>-676.95251199037557</v>
      </c>
      <c r="N16" t="s">
        <v>95</v>
      </c>
      <c r="O16" t="s">
        <v>248</v>
      </c>
      <c r="P16" t="s">
        <v>93</v>
      </c>
      <c r="Q16">
        <v>0.36224585999999998</v>
      </c>
      <c r="R16" t="s">
        <v>95</v>
      </c>
      <c r="S16">
        <v>-58.889046890000003</v>
      </c>
      <c r="T16">
        <f t="shared" si="1"/>
        <v>-685.43589714640359</v>
      </c>
      <c r="U16" t="s">
        <v>95</v>
      </c>
      <c r="V16">
        <v>10411</v>
      </c>
      <c r="W16" t="s">
        <v>102</v>
      </c>
      <c r="X16">
        <v>298</v>
      </c>
      <c r="Y16" t="s">
        <v>103</v>
      </c>
      <c r="Z16">
        <v>-51.78</v>
      </c>
      <c r="AA16" t="s">
        <v>95</v>
      </c>
      <c r="AB16">
        <f t="shared" si="2"/>
        <v>-602.69052784190467</v>
      </c>
      <c r="AC16" t="s">
        <v>93</v>
      </c>
      <c r="AD16">
        <v>1.0900000000000001</v>
      </c>
      <c r="AE16" t="s">
        <v>95</v>
      </c>
      <c r="AF16" t="s">
        <v>93</v>
      </c>
      <c r="AR16">
        <v>0.5</v>
      </c>
      <c r="AW16">
        <v>0.5</v>
      </c>
      <c r="CR16">
        <f t="shared" si="3"/>
        <v>-676.95251199037557</v>
      </c>
      <c r="CS16">
        <f t="shared" si="4"/>
        <v>-685.43589714640359</v>
      </c>
      <c r="CT16">
        <f t="shared" si="5"/>
        <v>-602.69052784190467</v>
      </c>
      <c r="CU16" s="7">
        <f t="shared" si="6"/>
        <v>-655.02631232622787</v>
      </c>
      <c r="CV16" s="9">
        <f t="shared" si="8"/>
        <v>85.914739999999995</v>
      </c>
      <c r="CW16" t="str">
        <f t="shared" si="9"/>
        <v>AlCo</v>
      </c>
    </row>
    <row r="17" spans="1:101" ht="15.75" thickBot="1" x14ac:dyDescent="0.3">
      <c r="A17" t="s">
        <v>91</v>
      </c>
      <c r="B17" t="s">
        <v>309</v>
      </c>
      <c r="C17" t="s">
        <v>3144</v>
      </c>
      <c r="E17" t="s">
        <v>3145</v>
      </c>
      <c r="F17" t="s">
        <v>93</v>
      </c>
      <c r="G17" t="s">
        <v>311</v>
      </c>
      <c r="H17">
        <v>133.38154</v>
      </c>
      <c r="I17">
        <v>118</v>
      </c>
      <c r="J17">
        <v>3.0859199400000001</v>
      </c>
      <c r="K17" t="s">
        <v>95</v>
      </c>
      <c r="L17">
        <v>-85.122544140000002</v>
      </c>
      <c r="M17">
        <f t="shared" si="0"/>
        <v>-638.18834405420716</v>
      </c>
      <c r="N17" t="s">
        <v>95</v>
      </c>
      <c r="O17" t="s">
        <v>312</v>
      </c>
      <c r="P17" t="s">
        <v>93</v>
      </c>
      <c r="Q17">
        <v>3.4979745000000002</v>
      </c>
      <c r="R17" t="s">
        <v>95</v>
      </c>
      <c r="S17">
        <v>-84.518640719999993</v>
      </c>
      <c r="T17">
        <f t="shared" si="1"/>
        <v>-633.66070537197265</v>
      </c>
      <c r="U17" t="s">
        <v>95</v>
      </c>
      <c r="V17">
        <v>10550</v>
      </c>
      <c r="W17" t="s">
        <v>102</v>
      </c>
      <c r="X17">
        <v>298</v>
      </c>
      <c r="Y17" t="s">
        <v>103</v>
      </c>
      <c r="Z17">
        <v>-91.25</v>
      </c>
      <c r="AA17" t="s">
        <v>95</v>
      </c>
      <c r="AB17">
        <f t="shared" si="2"/>
        <v>-684.127653646824</v>
      </c>
      <c r="AC17" t="s">
        <v>93</v>
      </c>
      <c r="AD17">
        <v>4.6500000000000004</v>
      </c>
      <c r="AE17" t="s">
        <v>95</v>
      </c>
      <c r="AF17" t="s">
        <v>93</v>
      </c>
      <c r="AR17">
        <v>0.5</v>
      </c>
      <c r="AZ17">
        <v>0.5</v>
      </c>
      <c r="CR17">
        <f t="shared" si="3"/>
        <v>-638.18834405420716</v>
      </c>
      <c r="CS17">
        <f t="shared" si="4"/>
        <v>-633.66070537197265</v>
      </c>
      <c r="CT17">
        <f t="shared" si="5"/>
        <v>-684.127653646824</v>
      </c>
      <c r="CU17" s="7">
        <f t="shared" si="6"/>
        <v>-651.99223435766794</v>
      </c>
      <c r="CV17" s="9">
        <f t="shared" si="8"/>
        <v>133.38154</v>
      </c>
      <c r="CW17" t="str">
        <f t="shared" si="9"/>
        <v>AlPd</v>
      </c>
    </row>
    <row r="18" spans="1:101" ht="15.75" thickBot="1" x14ac:dyDescent="0.3">
      <c r="A18" t="s">
        <v>91</v>
      </c>
      <c r="B18" t="s">
        <v>1371</v>
      </c>
      <c r="C18" t="s">
        <v>3144</v>
      </c>
      <c r="E18" t="s">
        <v>3145</v>
      </c>
      <c r="F18" t="s">
        <v>93</v>
      </c>
      <c r="G18" t="s">
        <v>1372</v>
      </c>
      <c r="H18">
        <v>87.018699999999995</v>
      </c>
      <c r="I18">
        <v>531</v>
      </c>
      <c r="J18">
        <v>0</v>
      </c>
      <c r="K18" t="s">
        <v>95</v>
      </c>
      <c r="L18">
        <v>-59.29928348</v>
      </c>
      <c r="M18">
        <f t="shared" si="0"/>
        <v>-681.45448598979294</v>
      </c>
      <c r="N18" t="s">
        <v>95</v>
      </c>
      <c r="O18" t="s">
        <v>1373</v>
      </c>
      <c r="P18" t="s">
        <v>93</v>
      </c>
      <c r="Q18">
        <v>0</v>
      </c>
      <c r="R18" t="s">
        <v>95</v>
      </c>
      <c r="S18">
        <v>-60.235798940000002</v>
      </c>
      <c r="T18">
        <f t="shared" si="1"/>
        <v>-692.21671824561849</v>
      </c>
      <c r="U18" t="s">
        <v>95</v>
      </c>
      <c r="V18">
        <v>3604</v>
      </c>
      <c r="W18" t="s">
        <v>391</v>
      </c>
      <c r="X18">
        <v>298</v>
      </c>
      <c r="Y18" t="s">
        <v>1108</v>
      </c>
      <c r="Z18">
        <v>-49.3</v>
      </c>
      <c r="AA18" t="s">
        <v>95</v>
      </c>
      <c r="AB18">
        <f t="shared" si="2"/>
        <v>-566.54489207492179</v>
      </c>
      <c r="AC18" t="s">
        <v>93</v>
      </c>
      <c r="AD18">
        <v>1.3</v>
      </c>
      <c r="AE18" t="s">
        <v>95</v>
      </c>
      <c r="AF18" t="s">
        <v>93</v>
      </c>
      <c r="AW18">
        <v>0.5</v>
      </c>
      <c r="BX18">
        <v>0.5</v>
      </c>
      <c r="CR18">
        <f t="shared" si="3"/>
        <v>-681.45448598979294</v>
      </c>
      <c r="CS18">
        <f t="shared" si="4"/>
        <v>-692.21671824561849</v>
      </c>
      <c r="CT18">
        <f t="shared" si="5"/>
        <v>-566.54489207492179</v>
      </c>
      <c r="CU18" s="7">
        <f t="shared" si="6"/>
        <v>-646.73869877011111</v>
      </c>
      <c r="CV18" s="9">
        <f t="shared" si="8"/>
        <v>87.018699999999995</v>
      </c>
      <c r="CW18" t="str">
        <f t="shared" si="9"/>
        <v>CoSi</v>
      </c>
    </row>
    <row r="19" spans="1:101" ht="15.75" thickBot="1" x14ac:dyDescent="0.3">
      <c r="A19" t="s">
        <v>91</v>
      </c>
      <c r="B19" t="s">
        <v>2262</v>
      </c>
      <c r="C19" t="s">
        <v>3144</v>
      </c>
      <c r="E19" t="s">
        <v>3145</v>
      </c>
      <c r="F19" t="s">
        <v>93</v>
      </c>
      <c r="G19" t="s">
        <v>2263</v>
      </c>
      <c r="H19">
        <v>71.937439999999995</v>
      </c>
      <c r="I19">
        <v>904</v>
      </c>
      <c r="M19">
        <f t="shared" si="0"/>
        <v>0</v>
      </c>
      <c r="O19" t="s">
        <v>93</v>
      </c>
      <c r="P19" t="s">
        <v>93</v>
      </c>
      <c r="T19">
        <f t="shared" si="1"/>
        <v>0</v>
      </c>
      <c r="V19" t="s">
        <v>93</v>
      </c>
      <c r="W19" t="s">
        <v>93</v>
      </c>
      <c r="X19">
        <v>300</v>
      </c>
      <c r="Y19" t="s">
        <v>93</v>
      </c>
      <c r="Z19">
        <v>-46</v>
      </c>
      <c r="AA19" t="s">
        <v>95</v>
      </c>
      <c r="AB19">
        <f t="shared" si="2"/>
        <v>-639.44449510574748</v>
      </c>
      <c r="AF19" t="s">
        <v>93</v>
      </c>
      <c r="AH19" t="s">
        <v>93</v>
      </c>
      <c r="AI19" t="s">
        <v>93</v>
      </c>
      <c r="AJ19" t="s">
        <v>93</v>
      </c>
      <c r="AK19" t="s">
        <v>93</v>
      </c>
      <c r="AR19">
        <v>0.5</v>
      </c>
      <c r="CC19">
        <v>2</v>
      </c>
      <c r="CD19" t="s">
        <v>95</v>
      </c>
      <c r="CE19" t="s">
        <v>93</v>
      </c>
      <c r="CR19">
        <f t="shared" si="3"/>
        <v>0</v>
      </c>
      <c r="CS19">
        <f t="shared" si="4"/>
        <v>0</v>
      </c>
      <c r="CT19">
        <f t="shared" si="5"/>
        <v>-639.44449510574748</v>
      </c>
      <c r="CU19" s="7">
        <f t="shared" si="6"/>
        <v>-639.44449510574748</v>
      </c>
      <c r="CV19" s="9">
        <f t="shared" si="8"/>
        <v>71.937439999999995</v>
      </c>
      <c r="CW19" t="str">
        <f t="shared" si="9"/>
        <v>AlSc</v>
      </c>
    </row>
    <row r="20" spans="1:101" ht="15.75" thickBot="1" x14ac:dyDescent="0.3">
      <c r="A20" t="s">
        <v>484</v>
      </c>
      <c r="B20" t="s">
        <v>1573</v>
      </c>
      <c r="C20" t="s">
        <v>3138</v>
      </c>
      <c r="D20" t="s">
        <v>3139</v>
      </c>
      <c r="F20" t="s">
        <v>3140</v>
      </c>
      <c r="G20" t="s">
        <v>1574</v>
      </c>
      <c r="H20">
        <v>130.99100000000001</v>
      </c>
      <c r="I20">
        <v>604</v>
      </c>
      <c r="J20">
        <v>0</v>
      </c>
      <c r="K20" t="s">
        <v>95</v>
      </c>
      <c r="L20">
        <v>-79.383123209999994</v>
      </c>
      <c r="M20">
        <f t="shared" si="0"/>
        <v>-606.01967471047612</v>
      </c>
      <c r="N20" t="s">
        <v>95</v>
      </c>
      <c r="O20" t="s">
        <v>1575</v>
      </c>
      <c r="P20" t="s">
        <v>93</v>
      </c>
      <c r="Q20">
        <v>0</v>
      </c>
      <c r="R20" t="s">
        <v>95</v>
      </c>
      <c r="S20">
        <v>-79.514744109999995</v>
      </c>
      <c r="T20">
        <f t="shared" si="1"/>
        <v>-607.02448343779326</v>
      </c>
      <c r="U20" t="s">
        <v>95</v>
      </c>
      <c r="V20">
        <v>18901</v>
      </c>
      <c r="W20" t="s">
        <v>358</v>
      </c>
      <c r="X20">
        <v>298</v>
      </c>
      <c r="Y20" t="s">
        <v>359</v>
      </c>
      <c r="Z20">
        <v>-75</v>
      </c>
      <c r="AA20" t="s">
        <v>95</v>
      </c>
      <c r="AB20">
        <f t="shared" si="2"/>
        <v>-572.55842004412511</v>
      </c>
      <c r="AC20" t="s">
        <v>93</v>
      </c>
      <c r="AD20">
        <v>2.5</v>
      </c>
      <c r="AE20" t="s">
        <v>95</v>
      </c>
      <c r="AF20" t="s">
        <v>93</v>
      </c>
      <c r="BF20">
        <v>0.5</v>
      </c>
      <c r="BX20">
        <v>0.5</v>
      </c>
      <c r="CR20">
        <f t="shared" si="3"/>
        <v>-606.01967471047612</v>
      </c>
      <c r="CS20">
        <f t="shared" si="4"/>
        <v>-607.02448343779326</v>
      </c>
      <c r="CT20">
        <f t="shared" si="5"/>
        <v>-572.55842004412511</v>
      </c>
      <c r="CU20" s="7">
        <f t="shared" si="6"/>
        <v>-595.2008593974648</v>
      </c>
      <c r="CV20" s="9">
        <f t="shared" si="8"/>
        <v>130.99100000000001</v>
      </c>
      <c r="CW20" t="str">
        <f t="shared" si="9"/>
        <v>SiRh</v>
      </c>
    </row>
    <row r="21" spans="1:101" ht="15.75" thickBot="1" x14ac:dyDescent="0.3">
      <c r="A21" t="s">
        <v>91</v>
      </c>
      <c r="B21" t="s">
        <v>1115</v>
      </c>
      <c r="C21" t="s">
        <v>3144</v>
      </c>
      <c r="E21" t="s">
        <v>3145</v>
      </c>
      <c r="F21" t="s">
        <v>93</v>
      </c>
      <c r="G21" t="s">
        <v>1116</v>
      </c>
      <c r="H21">
        <v>71.937439999999995</v>
      </c>
      <c r="I21">
        <v>442</v>
      </c>
      <c r="J21">
        <v>0</v>
      </c>
      <c r="K21" t="s">
        <v>95</v>
      </c>
      <c r="L21">
        <v>-43.558372140000003</v>
      </c>
      <c r="M21">
        <f t="shared" si="0"/>
        <v>-605.5035061019687</v>
      </c>
      <c r="N21" t="s">
        <v>95</v>
      </c>
      <c r="O21" t="s">
        <v>1117</v>
      </c>
      <c r="P21" t="s">
        <v>93</v>
      </c>
      <c r="Q21">
        <v>1.8332E-4</v>
      </c>
      <c r="R21" t="s">
        <v>95</v>
      </c>
      <c r="S21">
        <v>-43.371040919999999</v>
      </c>
      <c r="T21">
        <f t="shared" si="1"/>
        <v>-602.89942094130674</v>
      </c>
      <c r="U21" t="s">
        <v>95</v>
      </c>
      <c r="V21">
        <v>10539</v>
      </c>
      <c r="W21" t="s">
        <v>102</v>
      </c>
      <c r="X21">
        <v>298</v>
      </c>
      <c r="Y21" t="s">
        <v>103</v>
      </c>
      <c r="Z21">
        <v>-41.1</v>
      </c>
      <c r="AA21" t="s">
        <v>95</v>
      </c>
      <c r="AB21">
        <f t="shared" si="2"/>
        <v>-571.32975540970051</v>
      </c>
      <c r="AC21" t="s">
        <v>93</v>
      </c>
      <c r="AD21">
        <v>1.5</v>
      </c>
      <c r="AE21" t="s">
        <v>95</v>
      </c>
      <c r="AF21" t="s">
        <v>93</v>
      </c>
      <c r="AR21">
        <v>0.5</v>
      </c>
      <c r="CR21">
        <f t="shared" si="3"/>
        <v>-605.5035061019687</v>
      </c>
      <c r="CS21">
        <f t="shared" si="4"/>
        <v>-602.89942094130674</v>
      </c>
      <c r="CT21">
        <f t="shared" si="5"/>
        <v>-571.32975540970051</v>
      </c>
      <c r="CU21" s="7">
        <f t="shared" si="6"/>
        <v>-593.24422748432528</v>
      </c>
      <c r="CV21" s="9">
        <f t="shared" si="8"/>
        <v>71.937439999999995</v>
      </c>
      <c r="CW21" t="str">
        <f t="shared" si="9"/>
        <v>ScAl</v>
      </c>
    </row>
    <row r="22" spans="1:101" ht="15.75" thickBot="1" x14ac:dyDescent="0.3">
      <c r="A22" t="s">
        <v>91</v>
      </c>
      <c r="B22" t="s">
        <v>1052</v>
      </c>
      <c r="C22" t="s">
        <v>3144</v>
      </c>
      <c r="E22" t="s">
        <v>3145</v>
      </c>
      <c r="F22" t="s">
        <v>93</v>
      </c>
      <c r="G22" t="s">
        <v>1053</v>
      </c>
      <c r="H22">
        <v>151.35589999999999</v>
      </c>
      <c r="I22">
        <v>420</v>
      </c>
      <c r="J22">
        <v>0</v>
      </c>
      <c r="K22" t="s">
        <v>95</v>
      </c>
      <c r="L22">
        <v>-87.648678360000005</v>
      </c>
      <c r="M22">
        <f t="shared" si="0"/>
        <v>-579.08993544354735</v>
      </c>
      <c r="N22" t="s">
        <v>95</v>
      </c>
      <c r="O22" t="s">
        <v>1054</v>
      </c>
      <c r="P22" t="s">
        <v>93</v>
      </c>
      <c r="Q22">
        <v>7.2670319999999997E-2</v>
      </c>
      <c r="R22" t="s">
        <v>95</v>
      </c>
      <c r="S22">
        <v>-87.551105000000007</v>
      </c>
      <c r="T22">
        <f t="shared" si="1"/>
        <v>-578.44527368936406</v>
      </c>
      <c r="U22" t="s">
        <v>95</v>
      </c>
      <c r="V22">
        <v>17944</v>
      </c>
      <c r="W22" t="s">
        <v>102</v>
      </c>
      <c r="X22">
        <v>298</v>
      </c>
      <c r="Y22" t="s">
        <v>103</v>
      </c>
      <c r="Z22">
        <v>-89.3</v>
      </c>
      <c r="AA22" t="s">
        <v>95</v>
      </c>
      <c r="AB22">
        <f t="shared" si="2"/>
        <v>-590.00012553194165</v>
      </c>
      <c r="AC22" t="s">
        <v>93</v>
      </c>
      <c r="AD22">
        <v>2.2000000000000002</v>
      </c>
      <c r="AE22" t="s">
        <v>95</v>
      </c>
      <c r="AF22" t="s">
        <v>93</v>
      </c>
      <c r="AZ22">
        <v>0.5</v>
      </c>
      <c r="CR22">
        <f t="shared" si="3"/>
        <v>-579.08993544354735</v>
      </c>
      <c r="CS22">
        <f t="shared" si="4"/>
        <v>-578.44527368936406</v>
      </c>
      <c r="CT22">
        <f t="shared" si="5"/>
        <v>-590.00012553194165</v>
      </c>
      <c r="CU22" s="7">
        <f t="shared" si="6"/>
        <v>-582.51177822161765</v>
      </c>
      <c r="CV22" s="9">
        <f t="shared" si="8"/>
        <v>151.35589999999999</v>
      </c>
      <c r="CW22" t="str">
        <f t="shared" si="9"/>
        <v>ScPd</v>
      </c>
    </row>
    <row r="23" spans="1:101" ht="15.75" thickBot="1" x14ac:dyDescent="0.3">
      <c r="A23" t="s">
        <v>91</v>
      </c>
      <c r="B23" t="s">
        <v>1573</v>
      </c>
      <c r="C23" t="s">
        <v>3144</v>
      </c>
      <c r="E23" t="s">
        <v>3145</v>
      </c>
      <c r="F23" t="s">
        <v>93</v>
      </c>
      <c r="G23" t="s">
        <v>1574</v>
      </c>
      <c r="H23">
        <v>130.99100000000001</v>
      </c>
      <c r="I23">
        <v>605</v>
      </c>
      <c r="M23">
        <f t="shared" si="0"/>
        <v>0</v>
      </c>
      <c r="O23" t="s">
        <v>93</v>
      </c>
      <c r="P23" t="s">
        <v>1576</v>
      </c>
      <c r="T23">
        <f t="shared" si="1"/>
        <v>0</v>
      </c>
      <c r="V23" t="s">
        <v>93</v>
      </c>
      <c r="W23" t="s">
        <v>93</v>
      </c>
      <c r="X23">
        <v>298</v>
      </c>
      <c r="Y23" t="s">
        <v>93</v>
      </c>
      <c r="Z23">
        <v>-75.8</v>
      </c>
      <c r="AA23" t="s">
        <v>95</v>
      </c>
      <c r="AB23">
        <f t="shared" si="2"/>
        <v>-578.66570985792907</v>
      </c>
      <c r="AC23" t="s">
        <v>93</v>
      </c>
      <c r="AD23">
        <v>1.6</v>
      </c>
      <c r="AE23" t="s">
        <v>95</v>
      </c>
      <c r="AF23" t="s">
        <v>93</v>
      </c>
      <c r="AH23" t="s">
        <v>93</v>
      </c>
      <c r="AI23" t="s">
        <v>93</v>
      </c>
      <c r="AJ23" t="s">
        <v>93</v>
      </c>
      <c r="AK23" t="s">
        <v>93</v>
      </c>
      <c r="BF23">
        <v>0.5</v>
      </c>
      <c r="BX23">
        <v>0.5</v>
      </c>
      <c r="CR23">
        <f t="shared" si="3"/>
        <v>0</v>
      </c>
      <c r="CS23">
        <f t="shared" si="4"/>
        <v>0</v>
      </c>
      <c r="CT23">
        <f t="shared" si="5"/>
        <v>-578.66570985792907</v>
      </c>
      <c r="CU23" s="7">
        <f t="shared" si="6"/>
        <v>-578.66570985792907</v>
      </c>
      <c r="CV23" s="9">
        <f t="shared" si="8"/>
        <v>130.99100000000001</v>
      </c>
      <c r="CW23" t="str">
        <f t="shared" si="9"/>
        <v>SiRh</v>
      </c>
    </row>
    <row r="24" spans="1:101" ht="15.75" thickBot="1" x14ac:dyDescent="0.3">
      <c r="A24" t="s">
        <v>91</v>
      </c>
      <c r="B24" t="s">
        <v>1235</v>
      </c>
      <c r="C24" t="s">
        <v>3144</v>
      </c>
      <c r="E24" t="s">
        <v>3145</v>
      </c>
      <c r="F24" t="s">
        <v>93</v>
      </c>
      <c r="G24" t="s">
        <v>1236</v>
      </c>
      <c r="H24">
        <v>114.5264</v>
      </c>
      <c r="I24">
        <v>484</v>
      </c>
      <c r="J24">
        <v>0</v>
      </c>
      <c r="K24" t="s">
        <v>95</v>
      </c>
      <c r="L24">
        <v>-66.91023199</v>
      </c>
      <c r="M24">
        <f t="shared" si="0"/>
        <v>-584.23413282876265</v>
      </c>
      <c r="N24" t="s">
        <v>95</v>
      </c>
      <c r="O24" t="s">
        <v>1237</v>
      </c>
      <c r="P24" t="s">
        <v>93</v>
      </c>
      <c r="Q24">
        <v>0</v>
      </c>
      <c r="R24" t="s">
        <v>95</v>
      </c>
      <c r="S24">
        <v>-67.062315209999994</v>
      </c>
      <c r="T24">
        <f t="shared" si="1"/>
        <v>-585.5620643799158</v>
      </c>
      <c r="U24" t="s">
        <v>95</v>
      </c>
      <c r="V24">
        <v>5806</v>
      </c>
      <c r="W24" t="s">
        <v>510</v>
      </c>
      <c r="X24">
        <v>298</v>
      </c>
      <c r="Y24" t="s">
        <v>170</v>
      </c>
      <c r="Z24">
        <v>-60.3</v>
      </c>
      <c r="AA24" t="s">
        <v>95</v>
      </c>
      <c r="AB24">
        <f t="shared" si="2"/>
        <v>-526.51615697341401</v>
      </c>
      <c r="AC24" t="s">
        <v>93</v>
      </c>
      <c r="AD24">
        <v>1.5</v>
      </c>
      <c r="AE24" t="s">
        <v>95</v>
      </c>
      <c r="AF24" t="s">
        <v>93</v>
      </c>
      <c r="AU24">
        <v>0.33</v>
      </c>
      <c r="BQ24">
        <v>0.66</v>
      </c>
      <c r="CR24">
        <f t="shared" si="3"/>
        <v>-584.23413282876265</v>
      </c>
      <c r="CS24">
        <f t="shared" si="4"/>
        <v>-585.5620643799158</v>
      </c>
      <c r="CT24">
        <f t="shared" si="5"/>
        <v>-526.51615697341401</v>
      </c>
      <c r="CU24" s="7">
        <f t="shared" si="6"/>
        <v>-565.43745139403075</v>
      </c>
      <c r="CV24" s="9">
        <f t="shared" si="8"/>
        <v>114.5264</v>
      </c>
      <c r="CW24" t="str">
        <f t="shared" si="9"/>
        <v>NbB2</v>
      </c>
    </row>
    <row r="25" spans="1:101" ht="15.75" thickBot="1" x14ac:dyDescent="0.3">
      <c r="A25" t="s">
        <v>91</v>
      </c>
      <c r="B25" t="s">
        <v>1416</v>
      </c>
      <c r="C25" t="s">
        <v>3144</v>
      </c>
      <c r="E25" t="s">
        <v>3145</v>
      </c>
      <c r="F25" t="s">
        <v>93</v>
      </c>
      <c r="G25" t="s">
        <v>1417</v>
      </c>
      <c r="H25">
        <v>83.932500000000005</v>
      </c>
      <c r="I25">
        <v>546</v>
      </c>
      <c r="J25">
        <v>0</v>
      </c>
      <c r="K25" t="s">
        <v>95</v>
      </c>
      <c r="L25">
        <v>-49.242154149999998</v>
      </c>
      <c r="M25">
        <f t="shared" si="0"/>
        <v>-586.68756619902888</v>
      </c>
      <c r="N25" t="s">
        <v>95</v>
      </c>
      <c r="O25" t="s">
        <v>1418</v>
      </c>
      <c r="P25" t="s">
        <v>93</v>
      </c>
      <c r="Q25">
        <v>0</v>
      </c>
      <c r="R25" t="s">
        <v>95</v>
      </c>
      <c r="S25">
        <v>-49.607266009999996</v>
      </c>
      <c r="T25">
        <f t="shared" si="1"/>
        <v>-591.03763154916146</v>
      </c>
      <c r="U25" t="s">
        <v>95</v>
      </c>
      <c r="V25">
        <v>6697</v>
      </c>
      <c r="W25" t="s">
        <v>391</v>
      </c>
      <c r="X25">
        <v>298</v>
      </c>
      <c r="Y25" t="s">
        <v>1108</v>
      </c>
      <c r="Z25">
        <v>-38.6</v>
      </c>
      <c r="AA25" t="s">
        <v>95</v>
      </c>
      <c r="AB25">
        <f t="shared" si="2"/>
        <v>-459.89336669347392</v>
      </c>
      <c r="AC25" t="s">
        <v>93</v>
      </c>
      <c r="AD25">
        <v>1.8</v>
      </c>
      <c r="AE25" t="s">
        <v>95</v>
      </c>
      <c r="AF25" t="s">
        <v>93</v>
      </c>
      <c r="AT25">
        <v>0.5</v>
      </c>
      <c r="BX25">
        <v>0.5</v>
      </c>
      <c r="CR25">
        <f t="shared" si="3"/>
        <v>-586.68756619902888</v>
      </c>
      <c r="CS25">
        <f t="shared" si="4"/>
        <v>-591.03763154916146</v>
      </c>
      <c r="CT25">
        <f t="shared" si="5"/>
        <v>-459.89336669347392</v>
      </c>
      <c r="CU25" s="7">
        <f t="shared" si="6"/>
        <v>-545.87285481388801</v>
      </c>
      <c r="CV25" s="9">
        <f t="shared" si="8"/>
        <v>83.932500000000005</v>
      </c>
      <c r="CW25" t="str">
        <f t="shared" si="9"/>
        <v>FeSi</v>
      </c>
    </row>
    <row r="26" spans="1:101" ht="15.75" thickBot="1" x14ac:dyDescent="0.3">
      <c r="A26" t="s">
        <v>91</v>
      </c>
      <c r="B26" t="s">
        <v>2094</v>
      </c>
      <c r="C26" t="s">
        <v>3144</v>
      </c>
      <c r="E26" t="s">
        <v>3145</v>
      </c>
      <c r="G26" t="s">
        <v>2095</v>
      </c>
      <c r="H26">
        <v>74.881540000000001</v>
      </c>
      <c r="I26">
        <v>829</v>
      </c>
      <c r="J26">
        <v>0</v>
      </c>
      <c r="K26" t="s">
        <v>95</v>
      </c>
      <c r="L26">
        <v>-38.86481655</v>
      </c>
      <c r="M26">
        <f t="shared" si="0"/>
        <v>-519.0173245635707</v>
      </c>
      <c r="N26" t="s">
        <v>95</v>
      </c>
      <c r="O26" t="s">
        <v>2096</v>
      </c>
      <c r="P26" t="s">
        <v>93</v>
      </c>
      <c r="Q26">
        <v>0</v>
      </c>
      <c r="R26" t="s">
        <v>95</v>
      </c>
      <c r="S26">
        <v>-42.070555499999998</v>
      </c>
      <c r="T26">
        <f t="shared" si="1"/>
        <v>-561.82812880183815</v>
      </c>
      <c r="U26" t="s">
        <v>95</v>
      </c>
      <c r="V26">
        <v>18721</v>
      </c>
      <c r="W26" t="s">
        <v>2097</v>
      </c>
      <c r="X26">
        <v>1173</v>
      </c>
      <c r="Y26" t="s">
        <v>1988</v>
      </c>
      <c r="AB26">
        <f t="shared" si="2"/>
        <v>0</v>
      </c>
      <c r="AC26" t="s">
        <v>93</v>
      </c>
      <c r="AD26">
        <v>0.5</v>
      </c>
      <c r="AE26" t="s">
        <v>95</v>
      </c>
      <c r="AF26" t="s">
        <v>93</v>
      </c>
      <c r="AR26">
        <v>0.5</v>
      </c>
      <c r="BA26">
        <v>0.5</v>
      </c>
      <c r="CG26">
        <v>-40.200000000000003</v>
      </c>
      <c r="CH26" t="s">
        <v>95</v>
      </c>
      <c r="CI26" t="s">
        <v>93</v>
      </c>
      <c r="CR26">
        <f t="shared" si="3"/>
        <v>-519.0173245635707</v>
      </c>
      <c r="CS26">
        <f t="shared" si="4"/>
        <v>-561.82812880183815</v>
      </c>
      <c r="CT26">
        <f t="shared" si="5"/>
        <v>0</v>
      </c>
      <c r="CU26" s="7">
        <f t="shared" si="6"/>
        <v>-540.42272668270448</v>
      </c>
      <c r="CV26" s="9">
        <f t="shared" si="8"/>
        <v>74.881540000000001</v>
      </c>
      <c r="CW26" t="str">
        <f t="shared" si="9"/>
        <v>TiAl</v>
      </c>
    </row>
    <row r="27" spans="1:101" ht="15.75" thickBot="1" x14ac:dyDescent="0.3">
      <c r="A27" t="s">
        <v>91</v>
      </c>
      <c r="B27" t="s">
        <v>2094</v>
      </c>
      <c r="C27" t="s">
        <v>3144</v>
      </c>
      <c r="E27" t="s">
        <v>3145</v>
      </c>
      <c r="G27" t="s">
        <v>2095</v>
      </c>
      <c r="H27">
        <v>74.881540000000001</v>
      </c>
      <c r="I27">
        <v>830</v>
      </c>
      <c r="J27">
        <v>0</v>
      </c>
      <c r="K27" t="s">
        <v>95</v>
      </c>
      <c r="L27">
        <v>-38.86481655</v>
      </c>
      <c r="M27">
        <f t="shared" si="0"/>
        <v>-519.0173245635707</v>
      </c>
      <c r="N27" t="s">
        <v>95</v>
      </c>
      <c r="O27" t="s">
        <v>2096</v>
      </c>
      <c r="P27" t="s">
        <v>93</v>
      </c>
      <c r="Q27">
        <v>0</v>
      </c>
      <c r="R27" t="s">
        <v>95</v>
      </c>
      <c r="S27">
        <v>-42.070555499999998</v>
      </c>
      <c r="T27">
        <f t="shared" si="1"/>
        <v>-561.82812880183815</v>
      </c>
      <c r="U27" t="s">
        <v>95</v>
      </c>
      <c r="V27">
        <v>18721</v>
      </c>
      <c r="W27" t="s">
        <v>2097</v>
      </c>
      <c r="X27">
        <v>1173</v>
      </c>
      <c r="Y27" t="s">
        <v>1988</v>
      </c>
      <c r="AB27">
        <f t="shared" si="2"/>
        <v>0</v>
      </c>
      <c r="AC27" t="s">
        <v>93</v>
      </c>
      <c r="AD27">
        <v>0.5</v>
      </c>
      <c r="AE27" t="s">
        <v>95</v>
      </c>
      <c r="AF27" t="s">
        <v>93</v>
      </c>
      <c r="AR27">
        <v>0.5</v>
      </c>
      <c r="BA27">
        <v>0.5</v>
      </c>
      <c r="CG27">
        <v>-35.1</v>
      </c>
      <c r="CH27" t="s">
        <v>95</v>
      </c>
      <c r="CI27" t="s">
        <v>93</v>
      </c>
      <c r="CR27">
        <f t="shared" si="3"/>
        <v>-519.0173245635707</v>
      </c>
      <c r="CS27">
        <f t="shared" si="4"/>
        <v>-561.82812880183815</v>
      </c>
      <c r="CT27">
        <f t="shared" si="5"/>
        <v>0</v>
      </c>
      <c r="CU27" s="7">
        <f t="shared" si="6"/>
        <v>-540.42272668270448</v>
      </c>
      <c r="CV27" s="9">
        <f t="shared" si="8"/>
        <v>74.881540000000001</v>
      </c>
      <c r="CW27" t="str">
        <f t="shared" si="9"/>
        <v>TiAl</v>
      </c>
    </row>
    <row r="28" spans="1:101" ht="15.75" thickBot="1" x14ac:dyDescent="0.3">
      <c r="A28" t="s">
        <v>484</v>
      </c>
      <c r="B28" t="s">
        <v>1533</v>
      </c>
      <c r="C28" t="s">
        <v>3138</v>
      </c>
      <c r="D28" t="s">
        <v>3139</v>
      </c>
      <c r="F28" t="s">
        <v>3140</v>
      </c>
      <c r="G28" t="s">
        <v>1534</v>
      </c>
      <c r="H28">
        <v>86.785499999999999</v>
      </c>
      <c r="I28">
        <v>588</v>
      </c>
      <c r="J28">
        <v>0</v>
      </c>
      <c r="K28" t="s">
        <v>95</v>
      </c>
      <c r="L28">
        <v>-48.428680890000003</v>
      </c>
      <c r="M28">
        <f t="shared" si="0"/>
        <v>-558.02733048723587</v>
      </c>
      <c r="N28" t="s">
        <v>95</v>
      </c>
      <c r="O28" t="s">
        <v>1535</v>
      </c>
      <c r="P28" t="s">
        <v>93</v>
      </c>
      <c r="Q28">
        <v>0</v>
      </c>
      <c r="R28" t="s">
        <v>95</v>
      </c>
      <c r="S28">
        <v>-48.609911740000001</v>
      </c>
      <c r="T28">
        <f t="shared" si="1"/>
        <v>-560.11559235125685</v>
      </c>
      <c r="U28" t="s">
        <v>95</v>
      </c>
      <c r="V28">
        <v>5883</v>
      </c>
      <c r="W28" t="s">
        <v>358</v>
      </c>
      <c r="X28">
        <v>298</v>
      </c>
      <c r="Y28" t="s">
        <v>359</v>
      </c>
      <c r="Z28">
        <v>-42.4</v>
      </c>
      <c r="AA28" t="s">
        <v>95</v>
      </c>
      <c r="AB28">
        <f t="shared" si="2"/>
        <v>-488.56087710504636</v>
      </c>
      <c r="AC28" t="s">
        <v>93</v>
      </c>
      <c r="AD28">
        <v>1</v>
      </c>
      <c r="AE28" t="s">
        <v>95</v>
      </c>
      <c r="AF28" t="s">
        <v>93</v>
      </c>
      <c r="AS28">
        <v>0.5</v>
      </c>
      <c r="BX28">
        <v>0.5</v>
      </c>
      <c r="CR28">
        <f t="shared" si="3"/>
        <v>-558.02733048723587</v>
      </c>
      <c r="CS28">
        <f t="shared" si="4"/>
        <v>-560.11559235125685</v>
      </c>
      <c r="CT28">
        <f t="shared" si="5"/>
        <v>-488.56087710504636</v>
      </c>
      <c r="CU28" s="7">
        <f t="shared" si="6"/>
        <v>-535.56793331451297</v>
      </c>
      <c r="CV28" s="9">
        <f t="shared" si="8"/>
        <v>86.785499999999999</v>
      </c>
      <c r="CW28" t="str">
        <f t="shared" si="9"/>
        <v>SiNi</v>
      </c>
    </row>
    <row r="29" spans="1:101" ht="15.75" thickBot="1" x14ac:dyDescent="0.3">
      <c r="A29" t="s">
        <v>484</v>
      </c>
      <c r="B29" t="s">
        <v>1646</v>
      </c>
      <c r="C29" t="s">
        <v>3138</v>
      </c>
      <c r="D29" t="s">
        <v>3139</v>
      </c>
      <c r="F29" t="s">
        <v>3140</v>
      </c>
      <c r="G29" t="s">
        <v>1647</v>
      </c>
      <c r="H29">
        <v>104.071</v>
      </c>
      <c r="I29">
        <v>633</v>
      </c>
      <c r="J29">
        <v>0</v>
      </c>
      <c r="K29" t="s">
        <v>95</v>
      </c>
      <c r="L29">
        <v>-53.166380629999999</v>
      </c>
      <c r="M29">
        <f t="shared" si="0"/>
        <v>-510.86643378078429</v>
      </c>
      <c r="N29" t="s">
        <v>95</v>
      </c>
      <c r="O29" t="s">
        <v>1648</v>
      </c>
      <c r="P29" t="s">
        <v>93</v>
      </c>
      <c r="Q29">
        <v>0.79354064999999996</v>
      </c>
      <c r="R29" t="s">
        <v>95</v>
      </c>
      <c r="S29">
        <v>-55.225061529999998</v>
      </c>
      <c r="T29">
        <f t="shared" si="1"/>
        <v>-530.64793775403336</v>
      </c>
      <c r="U29" t="s">
        <v>95</v>
      </c>
      <c r="V29">
        <v>1833</v>
      </c>
      <c r="W29" t="s">
        <v>1453</v>
      </c>
      <c r="X29">
        <v>298</v>
      </c>
      <c r="Y29" t="s">
        <v>1454</v>
      </c>
      <c r="Z29">
        <v>-57</v>
      </c>
      <c r="AA29" t="s">
        <v>95</v>
      </c>
      <c r="AB29">
        <f t="shared" si="2"/>
        <v>-547.70301044479254</v>
      </c>
      <c r="AC29" t="s">
        <v>93</v>
      </c>
      <c r="AD29">
        <v>2.8</v>
      </c>
      <c r="AE29" t="s">
        <v>95</v>
      </c>
      <c r="AF29" t="s">
        <v>93</v>
      </c>
      <c r="BA29">
        <v>0.33</v>
      </c>
      <c r="BX29">
        <v>0.66</v>
      </c>
      <c r="CR29">
        <f t="shared" si="3"/>
        <v>-510.86643378078429</v>
      </c>
      <c r="CS29">
        <f t="shared" si="4"/>
        <v>-530.64793775403336</v>
      </c>
      <c r="CT29">
        <f t="shared" si="5"/>
        <v>-547.70301044479254</v>
      </c>
      <c r="CU29" s="7">
        <f t="shared" si="6"/>
        <v>-529.73912732653673</v>
      </c>
      <c r="CV29" s="9">
        <f t="shared" si="8"/>
        <v>104.071</v>
      </c>
      <c r="CW29" t="str">
        <f t="shared" si="9"/>
        <v>TiSi2</v>
      </c>
    </row>
    <row r="30" spans="1:101" ht="15.75" thickBot="1" x14ac:dyDescent="0.3">
      <c r="A30" t="s">
        <v>91</v>
      </c>
      <c r="B30" t="s">
        <v>2997</v>
      </c>
      <c r="C30" t="s">
        <v>3144</v>
      </c>
      <c r="E30" t="s">
        <v>3145</v>
      </c>
      <c r="G30" t="s">
        <v>2998</v>
      </c>
      <c r="H30">
        <v>33.922539999999998</v>
      </c>
      <c r="I30">
        <v>1262</v>
      </c>
      <c r="J30">
        <v>0</v>
      </c>
      <c r="K30" t="s">
        <v>95</v>
      </c>
      <c r="L30">
        <v>-17.304785209999999</v>
      </c>
      <c r="M30">
        <f t="shared" si="0"/>
        <v>-510.12645898567735</v>
      </c>
      <c r="N30" t="s">
        <v>95</v>
      </c>
      <c r="O30" t="s">
        <v>2999</v>
      </c>
      <c r="P30" t="s">
        <v>93</v>
      </c>
      <c r="Q30">
        <v>0</v>
      </c>
      <c r="R30" t="s">
        <v>95</v>
      </c>
      <c r="S30">
        <v>-17.958153079999999</v>
      </c>
      <c r="T30">
        <f t="shared" si="1"/>
        <v>-529.38704118264729</v>
      </c>
      <c r="U30" t="s">
        <v>95</v>
      </c>
      <c r="V30">
        <v>2012</v>
      </c>
      <c r="W30" t="s">
        <v>184</v>
      </c>
      <c r="X30">
        <v>956</v>
      </c>
      <c r="Y30" t="s">
        <v>160</v>
      </c>
      <c r="AB30">
        <f t="shared" si="2"/>
        <v>0</v>
      </c>
      <c r="AC30" t="s">
        <v>93</v>
      </c>
      <c r="AD30">
        <v>0.2</v>
      </c>
      <c r="AE30" t="s">
        <v>95</v>
      </c>
      <c r="AF30" t="s">
        <v>93</v>
      </c>
      <c r="AR30">
        <v>0.5</v>
      </c>
      <c r="CG30">
        <v>-20.399999999999999</v>
      </c>
      <c r="CH30" t="s">
        <v>95</v>
      </c>
      <c r="CI30" t="s">
        <v>93</v>
      </c>
      <c r="CN30">
        <v>0.5</v>
      </c>
      <c r="CR30">
        <f t="shared" si="3"/>
        <v>-510.12645898567735</v>
      </c>
      <c r="CS30">
        <f t="shared" si="4"/>
        <v>-529.38704118264729</v>
      </c>
      <c r="CT30">
        <f t="shared" si="5"/>
        <v>0</v>
      </c>
      <c r="CU30" s="7">
        <f t="shared" si="6"/>
        <v>-519.75675008416238</v>
      </c>
      <c r="CV30" s="9">
        <f t="shared" si="8"/>
        <v>33.922539999999998</v>
      </c>
      <c r="CW30" t="str">
        <f t="shared" si="9"/>
        <v>AlLi</v>
      </c>
    </row>
    <row r="31" spans="1:101" ht="15.75" thickBot="1" x14ac:dyDescent="0.3">
      <c r="A31" t="s">
        <v>91</v>
      </c>
      <c r="B31" t="s">
        <v>1507</v>
      </c>
      <c r="C31" t="s">
        <v>3144</v>
      </c>
      <c r="E31" t="s">
        <v>3145</v>
      </c>
      <c r="F31" t="s">
        <v>93</v>
      </c>
      <c r="G31" t="s">
        <v>1508</v>
      </c>
      <c r="H31">
        <v>83.023499999999999</v>
      </c>
      <c r="I31">
        <v>579</v>
      </c>
      <c r="J31">
        <v>0</v>
      </c>
      <c r="K31" t="s">
        <v>95</v>
      </c>
      <c r="L31">
        <v>-44.900981880000003</v>
      </c>
      <c r="M31">
        <f t="shared" si="0"/>
        <v>-540.82256084120763</v>
      </c>
      <c r="N31" t="s">
        <v>95</v>
      </c>
      <c r="O31" t="s">
        <v>1509</v>
      </c>
      <c r="P31" t="s">
        <v>93</v>
      </c>
      <c r="Q31">
        <v>0</v>
      </c>
      <c r="R31" t="s">
        <v>95</v>
      </c>
      <c r="S31">
        <v>-44.793377040000003</v>
      </c>
      <c r="T31">
        <f t="shared" si="1"/>
        <v>-539.52648394731614</v>
      </c>
      <c r="U31" t="s">
        <v>95</v>
      </c>
      <c r="V31">
        <v>3603</v>
      </c>
      <c r="W31" t="s">
        <v>391</v>
      </c>
      <c r="X31">
        <v>298</v>
      </c>
      <c r="Y31" t="s">
        <v>1108</v>
      </c>
      <c r="Z31">
        <v>-39.4</v>
      </c>
      <c r="AA31" t="s">
        <v>95</v>
      </c>
      <c r="AB31">
        <f t="shared" si="2"/>
        <v>-474.56443055279527</v>
      </c>
      <c r="AC31" t="s">
        <v>93</v>
      </c>
      <c r="AD31">
        <v>1.7</v>
      </c>
      <c r="AE31" t="s">
        <v>95</v>
      </c>
      <c r="AF31" t="s">
        <v>93</v>
      </c>
      <c r="BR31">
        <v>0.5</v>
      </c>
      <c r="BX31">
        <v>0.5</v>
      </c>
      <c r="CR31">
        <f t="shared" si="3"/>
        <v>-540.82256084120763</v>
      </c>
      <c r="CS31">
        <f t="shared" si="4"/>
        <v>-539.52648394731614</v>
      </c>
      <c r="CT31">
        <f t="shared" si="5"/>
        <v>-474.56443055279527</v>
      </c>
      <c r="CU31" s="7">
        <f t="shared" si="6"/>
        <v>-518.30449178043966</v>
      </c>
      <c r="CV31" s="9">
        <f t="shared" si="8"/>
        <v>83.023499999999999</v>
      </c>
      <c r="CW31" t="str">
        <f t="shared" si="9"/>
        <v>MnSi</v>
      </c>
    </row>
    <row r="32" spans="1:101" ht="15.75" thickBot="1" x14ac:dyDescent="0.3">
      <c r="A32" t="s">
        <v>484</v>
      </c>
      <c r="B32" t="s">
        <v>1018</v>
      </c>
      <c r="C32" t="s">
        <v>3138</v>
      </c>
      <c r="D32" t="s">
        <v>3139</v>
      </c>
      <c r="F32" t="s">
        <v>3140</v>
      </c>
      <c r="G32" t="s">
        <v>1019</v>
      </c>
      <c r="H32">
        <v>148.97</v>
      </c>
      <c r="I32">
        <v>408</v>
      </c>
      <c r="J32">
        <v>0</v>
      </c>
      <c r="K32" t="s">
        <v>95</v>
      </c>
      <c r="L32">
        <v>-74.612082099999995</v>
      </c>
      <c r="M32">
        <f t="shared" si="0"/>
        <v>-500.8530717594146</v>
      </c>
      <c r="N32" t="s">
        <v>95</v>
      </c>
      <c r="O32" t="s">
        <v>1020</v>
      </c>
      <c r="P32" t="s">
        <v>93</v>
      </c>
      <c r="Q32">
        <v>3.7050400000000002E-3</v>
      </c>
      <c r="R32" t="s">
        <v>95</v>
      </c>
      <c r="S32">
        <v>-76.075249450000001</v>
      </c>
      <c r="T32">
        <f t="shared" si="1"/>
        <v>-510.67496442236688</v>
      </c>
      <c r="U32" t="s">
        <v>95</v>
      </c>
      <c r="V32">
        <v>94574</v>
      </c>
      <c r="W32" t="s">
        <v>102</v>
      </c>
      <c r="X32">
        <v>298</v>
      </c>
      <c r="Y32" t="s">
        <v>103</v>
      </c>
      <c r="Z32">
        <v>-77</v>
      </c>
      <c r="AA32" t="s">
        <v>95</v>
      </c>
      <c r="AB32">
        <f t="shared" si="2"/>
        <v>-516.88259381083435</v>
      </c>
      <c r="AC32" t="s">
        <v>93</v>
      </c>
      <c r="AD32">
        <v>3.7</v>
      </c>
      <c r="AE32" t="s">
        <v>95</v>
      </c>
      <c r="AF32" t="s">
        <v>93</v>
      </c>
      <c r="AV32">
        <v>0.5</v>
      </c>
      <c r="BA32">
        <v>0.5</v>
      </c>
      <c r="CR32">
        <f t="shared" si="3"/>
        <v>-500.8530717594146</v>
      </c>
      <c r="CS32">
        <f t="shared" si="4"/>
        <v>-510.67496442236688</v>
      </c>
      <c r="CT32">
        <f t="shared" si="5"/>
        <v>-516.88259381083435</v>
      </c>
      <c r="CU32" s="7">
        <f t="shared" si="6"/>
        <v>-509.47020999753863</v>
      </c>
      <c r="CV32" s="9">
        <f t="shared" si="8"/>
        <v>148.97</v>
      </c>
      <c r="CW32" t="str">
        <f t="shared" si="9"/>
        <v>TiRu</v>
      </c>
    </row>
    <row r="33" spans="1:101" ht="15.75" thickBot="1" x14ac:dyDescent="0.3">
      <c r="A33" t="s">
        <v>91</v>
      </c>
      <c r="B33" t="s">
        <v>1112</v>
      </c>
      <c r="C33" t="s">
        <v>3144</v>
      </c>
      <c r="E33" t="s">
        <v>3145</v>
      </c>
      <c r="F33" t="s">
        <v>93</v>
      </c>
      <c r="G33" t="s">
        <v>1113</v>
      </c>
      <c r="H33">
        <v>128.05153999999999</v>
      </c>
      <c r="I33">
        <v>441</v>
      </c>
      <c r="J33">
        <v>0</v>
      </c>
      <c r="K33" t="s">
        <v>95</v>
      </c>
      <c r="L33">
        <v>-66.92060223</v>
      </c>
      <c r="M33">
        <f t="shared" si="0"/>
        <v>-522.60677403801628</v>
      </c>
      <c r="N33" t="s">
        <v>95</v>
      </c>
      <c r="O33" t="s">
        <v>1114</v>
      </c>
      <c r="P33" t="s">
        <v>93</v>
      </c>
      <c r="Q33">
        <v>4.3804E-4</v>
      </c>
      <c r="R33" t="s">
        <v>95</v>
      </c>
      <c r="S33">
        <v>-63.94643533</v>
      </c>
      <c r="T33">
        <f t="shared" si="1"/>
        <v>-499.38044735736878</v>
      </c>
      <c r="U33" t="s">
        <v>95</v>
      </c>
      <c r="V33">
        <v>18193</v>
      </c>
      <c r="W33" t="s">
        <v>102</v>
      </c>
      <c r="X33">
        <v>298</v>
      </c>
      <c r="Y33" t="s">
        <v>103</v>
      </c>
      <c r="Z33">
        <v>-62.1</v>
      </c>
      <c r="AA33" t="s">
        <v>95</v>
      </c>
      <c r="AB33">
        <f t="shared" si="2"/>
        <v>-484.96097743143116</v>
      </c>
      <c r="AC33" t="s">
        <v>93</v>
      </c>
      <c r="AD33">
        <v>1.7</v>
      </c>
      <c r="AE33" t="s">
        <v>95</v>
      </c>
      <c r="AF33" t="s">
        <v>93</v>
      </c>
      <c r="AR33">
        <v>0.5</v>
      </c>
      <c r="AV33">
        <v>0.5</v>
      </c>
      <c r="CR33">
        <f t="shared" si="3"/>
        <v>-522.60677403801628</v>
      </c>
      <c r="CS33">
        <f t="shared" si="4"/>
        <v>-499.38044735736878</v>
      </c>
      <c r="CT33">
        <f t="shared" si="5"/>
        <v>-484.96097743143116</v>
      </c>
      <c r="CU33" s="7">
        <f t="shared" si="6"/>
        <v>-502.31606627560541</v>
      </c>
      <c r="CV33" s="9">
        <f t="shared" si="8"/>
        <v>128.05153999999999</v>
      </c>
      <c r="CW33" t="str">
        <f t="shared" si="9"/>
        <v>AlRu</v>
      </c>
    </row>
    <row r="34" spans="1:101" ht="15.75" thickBot="1" x14ac:dyDescent="0.3">
      <c r="A34" t="s">
        <v>91</v>
      </c>
      <c r="B34" t="s">
        <v>1007</v>
      </c>
      <c r="C34" t="s">
        <v>3144</v>
      </c>
      <c r="E34" t="s">
        <v>3145</v>
      </c>
      <c r="F34" t="s">
        <v>93</v>
      </c>
      <c r="G34" t="s">
        <v>1008</v>
      </c>
      <c r="H34">
        <v>150.80549999999999</v>
      </c>
      <c r="I34">
        <v>403</v>
      </c>
      <c r="M34">
        <f t="shared" si="0"/>
        <v>0</v>
      </c>
      <c r="O34" t="s">
        <v>93</v>
      </c>
      <c r="P34" t="s">
        <v>93</v>
      </c>
      <c r="Q34">
        <v>0.61426188999999998</v>
      </c>
      <c r="R34" t="s">
        <v>95</v>
      </c>
      <c r="S34">
        <v>-73.466092230000001</v>
      </c>
      <c r="T34">
        <f t="shared" si="1"/>
        <v>-487.15791022210726</v>
      </c>
      <c r="U34" t="s">
        <v>95</v>
      </c>
      <c r="V34">
        <v>755406</v>
      </c>
      <c r="W34" t="s">
        <v>1010</v>
      </c>
      <c r="X34">
        <v>298</v>
      </c>
      <c r="Y34" t="s">
        <v>402</v>
      </c>
      <c r="Z34">
        <v>-74.400000000000006</v>
      </c>
      <c r="AA34" t="s">
        <v>95</v>
      </c>
      <c r="AB34">
        <f t="shared" si="2"/>
        <v>-493.3507067049942</v>
      </c>
      <c r="AC34" t="s">
        <v>93</v>
      </c>
      <c r="AD34">
        <v>0.8</v>
      </c>
      <c r="AE34" t="s">
        <v>95</v>
      </c>
      <c r="AF34" t="s">
        <v>93</v>
      </c>
      <c r="AH34" t="s">
        <v>93</v>
      </c>
      <c r="AI34" t="s">
        <v>93</v>
      </c>
      <c r="BA34">
        <v>0.5</v>
      </c>
      <c r="BF34">
        <v>0.5</v>
      </c>
      <c r="CR34">
        <f t="shared" si="3"/>
        <v>0</v>
      </c>
      <c r="CS34">
        <f t="shared" si="4"/>
        <v>-487.15791022210726</v>
      </c>
      <c r="CT34">
        <f t="shared" si="5"/>
        <v>-493.3507067049942</v>
      </c>
      <c r="CU34" s="7">
        <f t="shared" si="6"/>
        <v>-490.25430846355073</v>
      </c>
      <c r="CV34" s="9">
        <f t="shared" si="8"/>
        <v>150.80549999999999</v>
      </c>
      <c r="CW34" t="str">
        <f t="shared" si="9"/>
        <v>TiRh</v>
      </c>
    </row>
    <row r="35" spans="1:101" ht="15.75" thickBot="1" x14ac:dyDescent="0.3">
      <c r="A35" t="s">
        <v>91</v>
      </c>
      <c r="B35" t="s">
        <v>2264</v>
      </c>
      <c r="C35" t="s">
        <v>3144</v>
      </c>
      <c r="E35" t="s">
        <v>3145</v>
      </c>
      <c r="F35" t="s">
        <v>93</v>
      </c>
      <c r="G35" t="s">
        <v>2265</v>
      </c>
      <c r="H35">
        <v>98.918980000000005</v>
      </c>
      <c r="I35">
        <v>905</v>
      </c>
      <c r="J35">
        <v>0</v>
      </c>
      <c r="K35" t="s">
        <v>95</v>
      </c>
      <c r="L35">
        <v>-46.832716390000002</v>
      </c>
      <c r="M35">
        <f t="shared" si="0"/>
        <v>-473.44520121416537</v>
      </c>
      <c r="N35" t="s">
        <v>95</v>
      </c>
      <c r="O35" t="s">
        <v>2266</v>
      </c>
      <c r="P35" t="s">
        <v>93</v>
      </c>
      <c r="Q35">
        <v>0</v>
      </c>
      <c r="R35" t="s">
        <v>95</v>
      </c>
      <c r="S35">
        <v>-46.89185947</v>
      </c>
      <c r="T35">
        <f t="shared" si="1"/>
        <v>-474.04309536956407</v>
      </c>
      <c r="U35" t="s">
        <v>95</v>
      </c>
      <c r="V35">
        <v>10541</v>
      </c>
      <c r="W35" t="s">
        <v>159</v>
      </c>
      <c r="X35">
        <v>300</v>
      </c>
      <c r="Y35" t="s">
        <v>160</v>
      </c>
      <c r="Z35">
        <v>-48</v>
      </c>
      <c r="AA35" t="s">
        <v>95</v>
      </c>
      <c r="AB35">
        <f t="shared" si="2"/>
        <v>-485.24560200681407</v>
      </c>
      <c r="AF35" t="s">
        <v>93</v>
      </c>
      <c r="AR35">
        <v>0.66</v>
      </c>
      <c r="CC35">
        <v>2</v>
      </c>
      <c r="CD35" t="s">
        <v>95</v>
      </c>
      <c r="CE35" t="s">
        <v>93</v>
      </c>
      <c r="CR35">
        <f t="shared" si="3"/>
        <v>-473.44520121416537</v>
      </c>
      <c r="CS35">
        <f t="shared" si="4"/>
        <v>-474.04309536956407</v>
      </c>
      <c r="CT35">
        <f t="shared" si="5"/>
        <v>-485.24560200681407</v>
      </c>
      <c r="CU35" s="7">
        <f t="shared" si="6"/>
        <v>-477.57796619684785</v>
      </c>
      <c r="CV35" s="9">
        <f t="shared" si="8"/>
        <v>98.918980000000005</v>
      </c>
      <c r="CW35" t="str">
        <f t="shared" si="9"/>
        <v>ScAl2</v>
      </c>
    </row>
    <row r="36" spans="1:101" ht="15.75" thickBot="1" x14ac:dyDescent="0.3">
      <c r="A36" t="s">
        <v>484</v>
      </c>
      <c r="B36" t="s">
        <v>1217</v>
      </c>
      <c r="C36" t="s">
        <v>3138</v>
      </c>
      <c r="D36" t="s">
        <v>3139</v>
      </c>
      <c r="F36" t="s">
        <v>3140</v>
      </c>
      <c r="G36" t="s">
        <v>1218</v>
      </c>
      <c r="H36">
        <v>73.616</v>
      </c>
      <c r="I36">
        <v>478</v>
      </c>
      <c r="J36">
        <v>6.1408384700000003</v>
      </c>
      <c r="K36" t="s">
        <v>95</v>
      </c>
      <c r="L36">
        <v>-32.848284149999998</v>
      </c>
      <c r="M36">
        <f t="shared" si="0"/>
        <v>-446.21120612366872</v>
      </c>
      <c r="N36" t="s">
        <v>95</v>
      </c>
      <c r="O36" t="s">
        <v>1219</v>
      </c>
      <c r="P36" t="s">
        <v>93</v>
      </c>
      <c r="Q36">
        <v>6.1961064099999996</v>
      </c>
      <c r="R36" t="s">
        <v>95</v>
      </c>
      <c r="S36">
        <v>-32.539464809999998</v>
      </c>
      <c r="T36">
        <f t="shared" si="1"/>
        <v>-442.01620313518799</v>
      </c>
      <c r="U36" t="s">
        <v>95</v>
      </c>
      <c r="V36">
        <v>5847</v>
      </c>
      <c r="W36" t="s">
        <v>510</v>
      </c>
      <c r="X36">
        <v>298</v>
      </c>
      <c r="Y36" t="s">
        <v>170</v>
      </c>
      <c r="Z36">
        <v>-39.799999999999997</v>
      </c>
      <c r="AA36" t="s">
        <v>95</v>
      </c>
      <c r="AB36">
        <f t="shared" si="2"/>
        <v>-540.64333840469453</v>
      </c>
      <c r="AC36" t="s">
        <v>93</v>
      </c>
      <c r="AD36">
        <v>1.1000000000000001</v>
      </c>
      <c r="AE36" t="s">
        <v>95</v>
      </c>
      <c r="AF36" t="s">
        <v>93</v>
      </c>
      <c r="BQ36">
        <v>0.66</v>
      </c>
      <c r="BV36">
        <v>0.33</v>
      </c>
      <c r="CR36">
        <f t="shared" si="3"/>
        <v>-446.21120612366872</v>
      </c>
      <c r="CS36">
        <f t="shared" si="4"/>
        <v>-442.01620313518799</v>
      </c>
      <c r="CT36">
        <f t="shared" si="5"/>
        <v>-540.64333840469453</v>
      </c>
      <c r="CU36" s="7">
        <f t="shared" si="6"/>
        <v>-476.29024922118379</v>
      </c>
      <c r="CV36" s="9">
        <f t="shared" si="8"/>
        <v>73.616</v>
      </c>
      <c r="CW36" t="str">
        <f t="shared" si="9"/>
        <v>CrB2</v>
      </c>
    </row>
    <row r="37" spans="1:101" ht="15.75" thickBot="1" x14ac:dyDescent="0.3">
      <c r="A37" t="s">
        <v>91</v>
      </c>
      <c r="B37" t="s">
        <v>2071</v>
      </c>
      <c r="C37" t="s">
        <v>3144</v>
      </c>
      <c r="E37" t="s">
        <v>3145</v>
      </c>
      <c r="G37" t="s">
        <v>1584</v>
      </c>
      <c r="H37">
        <v>129.15549999999999</v>
      </c>
      <c r="I37">
        <v>816</v>
      </c>
      <c r="J37">
        <v>1.3626834999999999</v>
      </c>
      <c r="K37" t="s">
        <v>95</v>
      </c>
      <c r="L37">
        <v>-61.521144939999999</v>
      </c>
      <c r="M37">
        <f t="shared" si="0"/>
        <v>-476.33391485457457</v>
      </c>
      <c r="N37" t="s">
        <v>95</v>
      </c>
      <c r="O37" t="s">
        <v>2072</v>
      </c>
      <c r="P37" t="s">
        <v>93</v>
      </c>
      <c r="Q37">
        <v>0.21926159000000001</v>
      </c>
      <c r="R37" t="s">
        <v>95</v>
      </c>
      <c r="S37">
        <v>-61.442552839999998</v>
      </c>
      <c r="T37">
        <f t="shared" si="1"/>
        <v>-475.72540728037137</v>
      </c>
      <c r="U37" t="s">
        <v>95</v>
      </c>
      <c r="V37">
        <v>74704</v>
      </c>
      <c r="W37" t="s">
        <v>102</v>
      </c>
      <c r="X37">
        <v>1515</v>
      </c>
      <c r="Y37" t="s">
        <v>103</v>
      </c>
      <c r="AB37">
        <f t="shared" si="2"/>
        <v>0</v>
      </c>
      <c r="AC37" t="s">
        <v>93</v>
      </c>
      <c r="AD37">
        <v>1.4</v>
      </c>
      <c r="AE37" t="s">
        <v>95</v>
      </c>
      <c r="AF37" t="s">
        <v>93</v>
      </c>
      <c r="AV37">
        <v>0.5</v>
      </c>
      <c r="BX37">
        <v>0.5</v>
      </c>
      <c r="CG37">
        <v>-57.7</v>
      </c>
      <c r="CH37" t="s">
        <v>95</v>
      </c>
      <c r="CI37" t="s">
        <v>93</v>
      </c>
      <c r="CR37">
        <f t="shared" si="3"/>
        <v>-476.33391485457457</v>
      </c>
      <c r="CS37">
        <f t="shared" si="4"/>
        <v>-475.72540728037137</v>
      </c>
      <c r="CT37">
        <f t="shared" si="5"/>
        <v>0</v>
      </c>
      <c r="CU37" s="7">
        <f t="shared" si="6"/>
        <v>-476.02966106747294</v>
      </c>
      <c r="CV37" s="9">
        <f t="shared" si="8"/>
        <v>129.15549999999999</v>
      </c>
      <c r="CW37" t="str">
        <f t="shared" si="9"/>
        <v>SiRu</v>
      </c>
    </row>
    <row r="38" spans="1:101" ht="15.75" thickBot="1" x14ac:dyDescent="0.3">
      <c r="A38" t="s">
        <v>91</v>
      </c>
      <c r="B38" t="s">
        <v>1058</v>
      </c>
      <c r="C38" t="s">
        <v>3144</v>
      </c>
      <c r="E38" t="s">
        <v>3145</v>
      </c>
      <c r="F38" t="s">
        <v>93</v>
      </c>
      <c r="G38" t="s">
        <v>1059</v>
      </c>
      <c r="H38">
        <v>240.04589999999999</v>
      </c>
      <c r="I38">
        <v>422</v>
      </c>
      <c r="J38">
        <v>0</v>
      </c>
      <c r="K38" t="s">
        <v>95</v>
      </c>
      <c r="L38">
        <v>-117.7199435</v>
      </c>
      <c r="M38">
        <f t="shared" si="0"/>
        <v>-490.40597444072154</v>
      </c>
      <c r="N38" t="s">
        <v>95</v>
      </c>
      <c r="O38" t="s">
        <v>1060</v>
      </c>
      <c r="P38" t="s">
        <v>93</v>
      </c>
      <c r="Q38">
        <v>0.1504915</v>
      </c>
      <c r="R38" t="s">
        <v>95</v>
      </c>
      <c r="S38">
        <v>-118.5599955</v>
      </c>
      <c r="T38">
        <f t="shared" si="1"/>
        <v>-493.90552181895214</v>
      </c>
      <c r="U38" t="s">
        <v>95</v>
      </c>
      <c r="V38">
        <v>17995</v>
      </c>
      <c r="W38" t="s">
        <v>102</v>
      </c>
      <c r="X38">
        <v>298</v>
      </c>
      <c r="Y38" t="s">
        <v>103</v>
      </c>
      <c r="Z38">
        <v>-104.8</v>
      </c>
      <c r="AA38" t="s">
        <v>95</v>
      </c>
      <c r="AB38">
        <f t="shared" si="2"/>
        <v>-436.58317013537828</v>
      </c>
      <c r="AC38" t="s">
        <v>93</v>
      </c>
      <c r="AD38">
        <v>5.4</v>
      </c>
      <c r="AE38" t="s">
        <v>95</v>
      </c>
      <c r="AF38" t="s">
        <v>93</v>
      </c>
      <c r="AY38">
        <v>0.5</v>
      </c>
      <c r="CR38">
        <f t="shared" si="3"/>
        <v>-490.40597444072154</v>
      </c>
      <c r="CS38">
        <f t="shared" si="4"/>
        <v>-493.90552181895214</v>
      </c>
      <c r="CT38">
        <f t="shared" si="5"/>
        <v>-436.58317013537828</v>
      </c>
      <c r="CU38" s="7">
        <f t="shared" si="6"/>
        <v>-473.6315554650173</v>
      </c>
      <c r="CV38" s="9">
        <f t="shared" si="8"/>
        <v>240.04589999999999</v>
      </c>
      <c r="CW38" t="str">
        <f t="shared" si="9"/>
        <v>ScPt</v>
      </c>
    </row>
    <row r="39" spans="1:101" ht="15.75" thickBot="1" x14ac:dyDescent="0.3">
      <c r="A39" t="s">
        <v>484</v>
      </c>
      <c r="B39" t="s">
        <v>1583</v>
      </c>
      <c r="C39" t="s">
        <v>3138</v>
      </c>
      <c r="D39" t="s">
        <v>3139</v>
      </c>
      <c r="F39" t="s">
        <v>3140</v>
      </c>
      <c r="G39" t="s">
        <v>1584</v>
      </c>
      <c r="H39">
        <v>129.15549999999999</v>
      </c>
      <c r="I39">
        <v>608</v>
      </c>
      <c r="J39">
        <v>0</v>
      </c>
      <c r="K39" t="s">
        <v>95</v>
      </c>
      <c r="L39">
        <v>-62.883828350000002</v>
      </c>
      <c r="M39">
        <f t="shared" si="0"/>
        <v>-486.8846340264256</v>
      </c>
      <c r="N39" t="s">
        <v>95</v>
      </c>
      <c r="O39" t="s">
        <v>1585</v>
      </c>
      <c r="P39" t="s">
        <v>93</v>
      </c>
      <c r="Q39">
        <v>0</v>
      </c>
      <c r="R39" t="s">
        <v>95</v>
      </c>
      <c r="S39">
        <v>-61.66181443</v>
      </c>
      <c r="T39">
        <f t="shared" si="1"/>
        <v>-477.42306312932868</v>
      </c>
      <c r="U39" t="s">
        <v>95</v>
      </c>
      <c r="V39">
        <v>14277</v>
      </c>
      <c r="W39" t="s">
        <v>391</v>
      </c>
      <c r="X39">
        <v>298</v>
      </c>
      <c r="Y39" t="s">
        <v>1108</v>
      </c>
      <c r="Z39">
        <v>-58.1</v>
      </c>
      <c r="AA39" t="s">
        <v>95</v>
      </c>
      <c r="AB39">
        <f t="shared" si="2"/>
        <v>-449.84534146823023</v>
      </c>
      <c r="AC39" t="s">
        <v>93</v>
      </c>
      <c r="AD39">
        <v>3.7</v>
      </c>
      <c r="AE39" t="s">
        <v>95</v>
      </c>
      <c r="AF39" t="s">
        <v>93</v>
      </c>
      <c r="AV39">
        <v>0.5</v>
      </c>
      <c r="BX39">
        <v>0.5</v>
      </c>
      <c r="CR39">
        <f t="shared" si="3"/>
        <v>-486.8846340264256</v>
      </c>
      <c r="CS39">
        <f t="shared" si="4"/>
        <v>-477.42306312932868</v>
      </c>
      <c r="CT39">
        <f t="shared" si="5"/>
        <v>-449.84534146823023</v>
      </c>
      <c r="CU39" s="7">
        <f t="shared" si="6"/>
        <v>-471.38434620799489</v>
      </c>
      <c r="CV39" s="9">
        <f t="shared" si="8"/>
        <v>129.15549999999999</v>
      </c>
      <c r="CW39" t="str">
        <f t="shared" si="9"/>
        <v>SiRu</v>
      </c>
    </row>
    <row r="40" spans="1:101" ht="15.75" thickBot="1" x14ac:dyDescent="0.3">
      <c r="A40" t="s">
        <v>484</v>
      </c>
      <c r="B40" t="s">
        <v>1007</v>
      </c>
      <c r="C40" t="s">
        <v>3138</v>
      </c>
      <c r="D40" t="s">
        <v>3139</v>
      </c>
      <c r="F40" t="s">
        <v>3140</v>
      </c>
      <c r="G40" t="s">
        <v>1008</v>
      </c>
      <c r="H40">
        <v>150.80549999999999</v>
      </c>
      <c r="I40">
        <v>402</v>
      </c>
      <c r="J40">
        <v>2.64865415</v>
      </c>
      <c r="K40" t="s">
        <v>95</v>
      </c>
      <c r="L40">
        <v>-69.248167300000006</v>
      </c>
      <c r="M40">
        <f t="shared" si="0"/>
        <v>-459.18860585323483</v>
      </c>
      <c r="N40" t="s">
        <v>95</v>
      </c>
      <c r="O40" t="s">
        <v>1009</v>
      </c>
      <c r="P40" t="s">
        <v>93</v>
      </c>
      <c r="Q40">
        <v>1.7331157500000001</v>
      </c>
      <c r="R40" t="s">
        <v>95</v>
      </c>
      <c r="S40">
        <v>-72.347238369999999</v>
      </c>
      <c r="T40">
        <f t="shared" si="1"/>
        <v>-479.73872551067433</v>
      </c>
      <c r="U40" t="s">
        <v>95</v>
      </c>
      <c r="V40">
        <v>18073</v>
      </c>
      <c r="W40" t="s">
        <v>102</v>
      </c>
      <c r="X40">
        <v>298</v>
      </c>
      <c r="Y40" t="s">
        <v>103</v>
      </c>
      <c r="Z40">
        <v>-71.5</v>
      </c>
      <c r="AA40" t="s">
        <v>95</v>
      </c>
      <c r="AB40">
        <f t="shared" si="2"/>
        <v>-474.12063883611671</v>
      </c>
      <c r="AC40" t="s">
        <v>93</v>
      </c>
      <c r="AD40">
        <v>4.9000000000000004</v>
      </c>
      <c r="AE40" t="s">
        <v>95</v>
      </c>
      <c r="AF40" t="s">
        <v>93</v>
      </c>
      <c r="BA40">
        <v>0.5</v>
      </c>
      <c r="BF40">
        <v>0.5</v>
      </c>
      <c r="CR40">
        <f t="shared" si="3"/>
        <v>-459.18860585323483</v>
      </c>
      <c r="CS40">
        <f t="shared" si="4"/>
        <v>-479.73872551067433</v>
      </c>
      <c r="CT40">
        <f t="shared" si="5"/>
        <v>-474.12063883611671</v>
      </c>
      <c r="CU40" s="7">
        <f t="shared" si="6"/>
        <v>-471.01599006667533</v>
      </c>
      <c r="CV40" s="9">
        <f t="shared" si="8"/>
        <v>150.80549999999999</v>
      </c>
      <c r="CW40" t="str">
        <f t="shared" si="9"/>
        <v>TiRh</v>
      </c>
    </row>
    <row r="41" spans="1:101" ht="15.75" thickBot="1" x14ac:dyDescent="0.3">
      <c r="A41" t="s">
        <v>91</v>
      </c>
      <c r="B41" t="s">
        <v>903</v>
      </c>
      <c r="C41" t="s">
        <v>3144</v>
      </c>
      <c r="E41" t="s">
        <v>3145</v>
      </c>
      <c r="F41" t="s">
        <v>93</v>
      </c>
      <c r="G41" t="s">
        <v>904</v>
      </c>
      <c r="H41">
        <v>195.30590000000001</v>
      </c>
      <c r="I41">
        <v>359</v>
      </c>
      <c r="M41">
        <f t="shared" si="0"/>
        <v>0</v>
      </c>
      <c r="O41" t="s">
        <v>93</v>
      </c>
      <c r="P41" t="s">
        <v>93</v>
      </c>
      <c r="Q41">
        <v>0</v>
      </c>
      <c r="R41" t="s">
        <v>95</v>
      </c>
      <c r="S41">
        <v>-88.115602089999996</v>
      </c>
      <c r="T41">
        <f t="shared" si="1"/>
        <v>-451.16712854040765</v>
      </c>
      <c r="U41" t="s">
        <v>95</v>
      </c>
      <c r="V41">
        <v>21469</v>
      </c>
      <c r="W41" t="s">
        <v>430</v>
      </c>
      <c r="X41">
        <v>298</v>
      </c>
      <c r="Y41" t="s">
        <v>147</v>
      </c>
      <c r="Z41">
        <v>-94.9</v>
      </c>
      <c r="AA41" t="s">
        <v>95</v>
      </c>
      <c r="AB41">
        <f t="shared" si="2"/>
        <v>-485.90441968214992</v>
      </c>
      <c r="AC41" t="s">
        <v>93</v>
      </c>
      <c r="AD41">
        <v>3.8</v>
      </c>
      <c r="AE41" t="s">
        <v>95</v>
      </c>
      <c r="AF41" t="s">
        <v>93</v>
      </c>
      <c r="AG41">
        <v>0.5</v>
      </c>
      <c r="AH41" t="s">
        <v>93</v>
      </c>
      <c r="AI41" t="s">
        <v>93</v>
      </c>
      <c r="AZ41">
        <v>0.5</v>
      </c>
      <c r="CR41">
        <f t="shared" si="3"/>
        <v>0</v>
      </c>
      <c r="CS41">
        <f t="shared" si="4"/>
        <v>-451.16712854040765</v>
      </c>
      <c r="CT41">
        <f t="shared" si="5"/>
        <v>-485.90441968214992</v>
      </c>
      <c r="CU41" s="7">
        <f t="shared" si="6"/>
        <v>-468.53577411127878</v>
      </c>
      <c r="CV41" s="9">
        <f t="shared" si="8"/>
        <v>195.30590000000001</v>
      </c>
      <c r="CW41" t="str">
        <f t="shared" si="9"/>
        <v>YPd</v>
      </c>
    </row>
    <row r="42" spans="1:101" ht="15.75" thickBot="1" x14ac:dyDescent="0.3">
      <c r="A42" t="s">
        <v>91</v>
      </c>
      <c r="B42" t="s">
        <v>1035</v>
      </c>
      <c r="C42" t="s">
        <v>3144</v>
      </c>
      <c r="E42" t="s">
        <v>3145</v>
      </c>
      <c r="F42" t="s">
        <v>93</v>
      </c>
      <c r="G42" t="s">
        <v>1036</v>
      </c>
      <c r="H42">
        <v>103.6559</v>
      </c>
      <c r="I42">
        <v>414</v>
      </c>
      <c r="J42">
        <v>0</v>
      </c>
      <c r="K42" t="s">
        <v>95</v>
      </c>
      <c r="L42">
        <v>-48.93758923</v>
      </c>
      <c r="M42">
        <f t="shared" si="0"/>
        <v>-472.11581038802422</v>
      </c>
      <c r="N42" t="s">
        <v>95</v>
      </c>
      <c r="O42" t="s">
        <v>1037</v>
      </c>
      <c r="P42" t="s">
        <v>93</v>
      </c>
      <c r="Q42">
        <v>2.7201619999999999E-2</v>
      </c>
      <c r="R42" t="s">
        <v>95</v>
      </c>
      <c r="S42">
        <v>-49.771008700000003</v>
      </c>
      <c r="T42">
        <f t="shared" si="1"/>
        <v>-480.1560615459419</v>
      </c>
      <c r="U42" t="s">
        <v>95</v>
      </c>
      <c r="V42">
        <v>17795</v>
      </c>
      <c r="W42" t="s">
        <v>102</v>
      </c>
      <c r="X42">
        <v>298</v>
      </c>
      <c r="Y42" t="s">
        <v>103</v>
      </c>
      <c r="Z42">
        <v>-44.7</v>
      </c>
      <c r="AA42" t="s">
        <v>95</v>
      </c>
      <c r="AB42">
        <f t="shared" si="2"/>
        <v>-431.23449798805473</v>
      </c>
      <c r="AC42" t="s">
        <v>93</v>
      </c>
      <c r="AD42">
        <v>2.2999999999999998</v>
      </c>
      <c r="AE42" t="s">
        <v>95</v>
      </c>
      <c r="AF42" t="s">
        <v>93</v>
      </c>
      <c r="AS42">
        <v>0.5</v>
      </c>
      <c r="CR42">
        <f t="shared" si="3"/>
        <v>-472.11581038802422</v>
      </c>
      <c r="CS42">
        <f t="shared" si="4"/>
        <v>-480.1560615459419</v>
      </c>
      <c r="CT42">
        <f t="shared" si="5"/>
        <v>-431.23449798805473</v>
      </c>
      <c r="CU42" s="7">
        <f t="shared" si="6"/>
        <v>-461.16878997400698</v>
      </c>
      <c r="CV42" s="9">
        <f t="shared" si="8"/>
        <v>103.6559</v>
      </c>
      <c r="CW42" t="str">
        <f t="shared" si="9"/>
        <v>ScNi</v>
      </c>
    </row>
    <row r="43" spans="1:101" ht="15.75" thickBot="1" x14ac:dyDescent="0.3">
      <c r="A43" t="s">
        <v>484</v>
      </c>
      <c r="B43" t="s">
        <v>1105</v>
      </c>
      <c r="C43" t="s">
        <v>3138</v>
      </c>
      <c r="D43" t="s">
        <v>3139</v>
      </c>
      <c r="F43" t="s">
        <v>3140</v>
      </c>
      <c r="G43" t="s">
        <v>1106</v>
      </c>
      <c r="H43">
        <v>222.07154</v>
      </c>
      <c r="I43">
        <v>438</v>
      </c>
      <c r="J43">
        <v>0</v>
      </c>
      <c r="K43" t="s">
        <v>95</v>
      </c>
      <c r="L43">
        <v>-101.1233324</v>
      </c>
      <c r="M43">
        <f t="shared" si="0"/>
        <v>-455.3637643076641</v>
      </c>
      <c r="N43" t="s">
        <v>95</v>
      </c>
      <c r="O43" t="s">
        <v>1107</v>
      </c>
      <c r="P43" t="s">
        <v>93</v>
      </c>
      <c r="Q43">
        <v>0</v>
      </c>
      <c r="R43" t="s">
        <v>95</v>
      </c>
      <c r="S43">
        <v>-101.1453667</v>
      </c>
      <c r="T43">
        <f t="shared" si="1"/>
        <v>-455.46298593687425</v>
      </c>
      <c r="U43" t="s">
        <v>95</v>
      </c>
      <c r="V43">
        <v>10562</v>
      </c>
      <c r="W43" t="s">
        <v>391</v>
      </c>
      <c r="X43">
        <v>298</v>
      </c>
      <c r="Y43" t="s">
        <v>1108</v>
      </c>
      <c r="Z43">
        <v>-100.2</v>
      </c>
      <c r="AA43" t="s">
        <v>95</v>
      </c>
      <c r="AB43">
        <f t="shared" si="2"/>
        <v>-451.2059492179863</v>
      </c>
      <c r="AC43" t="s">
        <v>93</v>
      </c>
      <c r="AD43">
        <v>4.4000000000000004</v>
      </c>
      <c r="AE43" t="s">
        <v>95</v>
      </c>
      <c r="AF43" t="s">
        <v>93</v>
      </c>
      <c r="AR43">
        <v>0.5</v>
      </c>
      <c r="AY43">
        <v>0.5</v>
      </c>
      <c r="CR43">
        <f t="shared" si="3"/>
        <v>-455.3637643076641</v>
      </c>
      <c r="CS43">
        <f t="shared" si="4"/>
        <v>-455.46298593687425</v>
      </c>
      <c r="CT43">
        <f t="shared" si="5"/>
        <v>-451.2059492179863</v>
      </c>
      <c r="CU43" s="7">
        <f t="shared" si="6"/>
        <v>-454.01089982084153</v>
      </c>
      <c r="CV43" s="9">
        <f t="shared" si="8"/>
        <v>222.07154</v>
      </c>
      <c r="CW43" t="str">
        <f t="shared" si="9"/>
        <v>AlPt</v>
      </c>
    </row>
    <row r="44" spans="1:101" ht="15.75" thickBot="1" x14ac:dyDescent="0.3">
      <c r="A44" t="s">
        <v>91</v>
      </c>
      <c r="B44" t="s">
        <v>1105</v>
      </c>
      <c r="C44" t="s">
        <v>3144</v>
      </c>
      <c r="E44" t="s">
        <v>3145</v>
      </c>
      <c r="F44" t="s">
        <v>93</v>
      </c>
      <c r="G44" t="s">
        <v>1106</v>
      </c>
      <c r="H44">
        <v>222.07154</v>
      </c>
      <c r="I44">
        <v>439</v>
      </c>
      <c r="J44">
        <v>0</v>
      </c>
      <c r="K44" t="s">
        <v>95</v>
      </c>
      <c r="L44">
        <v>-101.1233324</v>
      </c>
      <c r="M44">
        <f t="shared" si="0"/>
        <v>-455.3637643076641</v>
      </c>
      <c r="N44" t="s">
        <v>95</v>
      </c>
      <c r="O44" t="s">
        <v>1107</v>
      </c>
      <c r="P44" t="s">
        <v>93</v>
      </c>
      <c r="Q44">
        <v>0</v>
      </c>
      <c r="R44" t="s">
        <v>95</v>
      </c>
      <c r="S44">
        <v>-101.1453667</v>
      </c>
      <c r="T44">
        <f t="shared" si="1"/>
        <v>-455.46298593687425</v>
      </c>
      <c r="U44" t="s">
        <v>95</v>
      </c>
      <c r="V44">
        <v>10562</v>
      </c>
      <c r="W44" t="s">
        <v>391</v>
      </c>
      <c r="X44">
        <v>298</v>
      </c>
      <c r="Y44" t="s">
        <v>1108</v>
      </c>
      <c r="Z44">
        <v>-97.6</v>
      </c>
      <c r="AA44" t="s">
        <v>95</v>
      </c>
      <c r="AB44">
        <f t="shared" si="2"/>
        <v>-439.49801041592275</v>
      </c>
      <c r="AC44" t="s">
        <v>93</v>
      </c>
      <c r="AD44">
        <v>5.0999999999999996</v>
      </c>
      <c r="AE44" t="s">
        <v>95</v>
      </c>
      <c r="AF44" t="s">
        <v>93</v>
      </c>
      <c r="AR44">
        <v>0.5</v>
      </c>
      <c r="AY44">
        <v>0.5</v>
      </c>
      <c r="CR44">
        <f t="shared" si="3"/>
        <v>-455.3637643076641</v>
      </c>
      <c r="CS44">
        <f t="shared" si="4"/>
        <v>-455.46298593687425</v>
      </c>
      <c r="CT44">
        <f t="shared" si="5"/>
        <v>-439.49801041592275</v>
      </c>
      <c r="CU44" s="7">
        <f t="shared" si="6"/>
        <v>-450.10825355348697</v>
      </c>
      <c r="CV44" s="9">
        <f t="shared" si="8"/>
        <v>222.07154</v>
      </c>
      <c r="CW44" t="str">
        <f t="shared" si="9"/>
        <v>AlPt</v>
      </c>
    </row>
    <row r="45" spans="1:101" ht="15.75" thickBot="1" x14ac:dyDescent="0.3">
      <c r="A45" t="s">
        <v>91</v>
      </c>
      <c r="B45" t="s">
        <v>1583</v>
      </c>
      <c r="C45" t="s">
        <v>3144</v>
      </c>
      <c r="E45" t="s">
        <v>3145</v>
      </c>
      <c r="F45" t="s">
        <v>93</v>
      </c>
      <c r="G45" t="s">
        <v>1584</v>
      </c>
      <c r="H45">
        <v>129.15549999999999</v>
      </c>
      <c r="I45">
        <v>609</v>
      </c>
      <c r="M45">
        <f t="shared" si="0"/>
        <v>0</v>
      </c>
      <c r="O45" t="s">
        <v>93</v>
      </c>
      <c r="P45" t="s">
        <v>1576</v>
      </c>
      <c r="T45">
        <f t="shared" si="1"/>
        <v>0</v>
      </c>
      <c r="V45" t="s">
        <v>93</v>
      </c>
      <c r="W45" t="s">
        <v>93</v>
      </c>
      <c r="X45">
        <v>298</v>
      </c>
      <c r="Y45" t="s">
        <v>93</v>
      </c>
      <c r="Z45">
        <v>-58.1</v>
      </c>
      <c r="AA45" t="s">
        <v>95</v>
      </c>
      <c r="AB45">
        <f t="shared" si="2"/>
        <v>-449.84534146823023</v>
      </c>
      <c r="AC45" t="s">
        <v>93</v>
      </c>
      <c r="AD45">
        <v>2.1</v>
      </c>
      <c r="AE45" t="s">
        <v>95</v>
      </c>
      <c r="AF45" t="s">
        <v>93</v>
      </c>
      <c r="AH45" t="s">
        <v>93</v>
      </c>
      <c r="AI45" t="s">
        <v>93</v>
      </c>
      <c r="AJ45" t="s">
        <v>93</v>
      </c>
      <c r="AK45" t="s">
        <v>93</v>
      </c>
      <c r="AV45">
        <v>0.5</v>
      </c>
      <c r="BX45">
        <v>0.5</v>
      </c>
      <c r="CR45">
        <f t="shared" si="3"/>
        <v>0</v>
      </c>
      <c r="CS45">
        <f t="shared" si="4"/>
        <v>0</v>
      </c>
      <c r="CT45">
        <f t="shared" si="5"/>
        <v>-449.84534146823023</v>
      </c>
      <c r="CU45" s="7">
        <f t="shared" si="6"/>
        <v>-449.84534146823023</v>
      </c>
      <c r="CV45" s="9">
        <f t="shared" si="8"/>
        <v>129.15549999999999</v>
      </c>
      <c r="CW45" t="str">
        <f t="shared" si="9"/>
        <v>SiRu</v>
      </c>
    </row>
    <row r="46" spans="1:101" ht="15.75" thickBot="1" x14ac:dyDescent="0.3">
      <c r="A46" t="s">
        <v>91</v>
      </c>
      <c r="B46" t="s">
        <v>1304</v>
      </c>
      <c r="C46" t="s">
        <v>3144</v>
      </c>
      <c r="E46" t="s">
        <v>3145</v>
      </c>
      <c r="F46" t="s">
        <v>93</v>
      </c>
      <c r="G46" t="s">
        <v>1305</v>
      </c>
      <c r="H46">
        <v>101.9228</v>
      </c>
      <c r="I46">
        <v>510</v>
      </c>
      <c r="M46">
        <f t="shared" si="0"/>
        <v>0</v>
      </c>
      <c r="O46" t="s">
        <v>93</v>
      </c>
      <c r="P46" t="s">
        <v>93</v>
      </c>
      <c r="T46">
        <f t="shared" si="1"/>
        <v>0</v>
      </c>
      <c r="V46" t="s">
        <v>93</v>
      </c>
      <c r="W46" t="s">
        <v>1306</v>
      </c>
      <c r="X46">
        <v>298</v>
      </c>
      <c r="Y46" t="s">
        <v>160</v>
      </c>
      <c r="Z46">
        <v>-45.5</v>
      </c>
      <c r="AA46" t="s">
        <v>95</v>
      </c>
      <c r="AB46">
        <f t="shared" si="2"/>
        <v>-446.41630724430649</v>
      </c>
      <c r="AC46" t="s">
        <v>93</v>
      </c>
      <c r="AD46">
        <v>1.6</v>
      </c>
      <c r="AE46" t="s">
        <v>95</v>
      </c>
      <c r="AF46" t="s">
        <v>93</v>
      </c>
      <c r="AH46" t="s">
        <v>93</v>
      </c>
      <c r="AI46" t="s">
        <v>93</v>
      </c>
      <c r="AJ46" t="s">
        <v>93</v>
      </c>
      <c r="AK46" t="s">
        <v>93</v>
      </c>
      <c r="BU46">
        <v>0.33</v>
      </c>
      <c r="CR46">
        <f t="shared" si="3"/>
        <v>0</v>
      </c>
      <c r="CS46">
        <f t="shared" si="4"/>
        <v>0</v>
      </c>
      <c r="CT46">
        <f t="shared" si="5"/>
        <v>-446.41630724430649</v>
      </c>
      <c r="CU46" s="7">
        <f t="shared" si="6"/>
        <v>-446.41630724430649</v>
      </c>
      <c r="CV46" s="9">
        <f t="shared" si="8"/>
        <v>101.9228</v>
      </c>
      <c r="CW46" t="str">
        <f t="shared" si="9"/>
        <v>CSc2</v>
      </c>
    </row>
    <row r="47" spans="1:101" ht="15.75" thickBot="1" x14ac:dyDescent="0.3">
      <c r="A47" t="s">
        <v>91</v>
      </c>
      <c r="B47" t="s">
        <v>1623</v>
      </c>
      <c r="C47" t="s">
        <v>3144</v>
      </c>
      <c r="E47" t="s">
        <v>3145</v>
      </c>
      <c r="F47" t="s">
        <v>93</v>
      </c>
      <c r="G47" t="s">
        <v>1624</v>
      </c>
      <c r="H47">
        <v>178.4855</v>
      </c>
      <c r="I47">
        <v>624</v>
      </c>
      <c r="M47">
        <f t="shared" si="0"/>
        <v>0</v>
      </c>
      <c r="O47" t="s">
        <v>93</v>
      </c>
      <c r="P47" t="s">
        <v>93</v>
      </c>
      <c r="Q47">
        <v>0</v>
      </c>
      <c r="R47" t="s">
        <v>95</v>
      </c>
      <c r="S47">
        <v>-76.938846049999995</v>
      </c>
      <c r="T47">
        <f t="shared" si="1"/>
        <v>-431.06496634180365</v>
      </c>
      <c r="U47" t="s">
        <v>95</v>
      </c>
      <c r="V47">
        <v>31066</v>
      </c>
      <c r="W47" t="s">
        <v>358</v>
      </c>
      <c r="X47">
        <v>298</v>
      </c>
      <c r="Y47" t="s">
        <v>359</v>
      </c>
      <c r="Z47">
        <v>-79.7</v>
      </c>
      <c r="AA47" t="s">
        <v>95</v>
      </c>
      <c r="AB47">
        <f t="shared" si="2"/>
        <v>-446.53487258068589</v>
      </c>
      <c r="AC47" t="s">
        <v>93</v>
      </c>
      <c r="AD47">
        <v>2.9</v>
      </c>
      <c r="AE47" t="s">
        <v>95</v>
      </c>
      <c r="AF47" t="s">
        <v>93</v>
      </c>
      <c r="AH47" t="s">
        <v>93</v>
      </c>
      <c r="AI47" t="s">
        <v>93</v>
      </c>
      <c r="BN47">
        <v>0.5</v>
      </c>
      <c r="BX47">
        <v>0.5</v>
      </c>
      <c r="CR47">
        <f t="shared" si="3"/>
        <v>0</v>
      </c>
      <c r="CS47">
        <f t="shared" si="4"/>
        <v>-431.06496634180365</v>
      </c>
      <c r="CT47">
        <f t="shared" si="5"/>
        <v>-446.53487258068589</v>
      </c>
      <c r="CU47" s="7">
        <f t="shared" si="6"/>
        <v>-438.79991946124477</v>
      </c>
      <c r="CV47" s="9">
        <f t="shared" si="8"/>
        <v>178.4855</v>
      </c>
      <c r="CW47" t="str">
        <f t="shared" si="9"/>
        <v>SmSi</v>
      </c>
    </row>
    <row r="48" spans="1:101" ht="15.75" thickBot="1" x14ac:dyDescent="0.3">
      <c r="A48" t="s">
        <v>91</v>
      </c>
      <c r="B48" t="s">
        <v>1527</v>
      </c>
      <c r="C48" t="s">
        <v>3144</v>
      </c>
      <c r="E48" t="s">
        <v>3145</v>
      </c>
      <c r="F48" t="s">
        <v>93</v>
      </c>
      <c r="G48" t="s">
        <v>1528</v>
      </c>
      <c r="H48">
        <v>172.32550000000001</v>
      </c>
      <c r="I48">
        <v>586</v>
      </c>
      <c r="J48">
        <v>0</v>
      </c>
      <c r="K48" t="s">
        <v>95</v>
      </c>
      <c r="L48">
        <v>-73.716548099999997</v>
      </c>
      <c r="M48">
        <f t="shared" si="0"/>
        <v>-427.77504257930485</v>
      </c>
      <c r="N48" t="s">
        <v>95</v>
      </c>
      <c r="O48" t="s">
        <v>1529</v>
      </c>
      <c r="P48" t="s">
        <v>93</v>
      </c>
      <c r="Q48">
        <v>0</v>
      </c>
      <c r="R48" t="s">
        <v>95</v>
      </c>
      <c r="S48">
        <v>-73.923581530000007</v>
      </c>
      <c r="T48">
        <f t="shared" si="1"/>
        <v>-428.97645171492326</v>
      </c>
      <c r="U48" t="s">
        <v>95</v>
      </c>
      <c r="V48">
        <v>7934</v>
      </c>
      <c r="W48" t="s">
        <v>358</v>
      </c>
      <c r="X48">
        <v>298</v>
      </c>
      <c r="Y48" t="s">
        <v>359</v>
      </c>
      <c r="Z48">
        <v>-78.7</v>
      </c>
      <c r="AA48" t="s">
        <v>95</v>
      </c>
      <c r="AB48">
        <f t="shared" si="2"/>
        <v>-456.69387293232865</v>
      </c>
      <c r="AC48" t="s">
        <v>93</v>
      </c>
      <c r="AD48">
        <v>2.5</v>
      </c>
      <c r="AE48" t="s">
        <v>95</v>
      </c>
      <c r="AF48" t="s">
        <v>93</v>
      </c>
      <c r="AO48">
        <v>0.5</v>
      </c>
      <c r="BX48">
        <v>0.5</v>
      </c>
      <c r="CR48">
        <f t="shared" si="3"/>
        <v>-427.77504257930485</v>
      </c>
      <c r="CS48">
        <f t="shared" si="4"/>
        <v>-428.97645171492326</v>
      </c>
      <c r="CT48">
        <f t="shared" si="5"/>
        <v>-456.69387293232865</v>
      </c>
      <c r="CU48" s="7">
        <f t="shared" si="6"/>
        <v>-437.81512240885223</v>
      </c>
      <c r="CV48" s="9">
        <f t="shared" si="8"/>
        <v>172.32550000000001</v>
      </c>
      <c r="CW48" t="str">
        <f t="shared" si="9"/>
        <v>NdSi</v>
      </c>
    </row>
    <row r="49" spans="1:101" ht="15.75" thickBot="1" x14ac:dyDescent="0.3">
      <c r="A49" t="s">
        <v>91</v>
      </c>
      <c r="B49" t="s">
        <v>1558</v>
      </c>
      <c r="C49" t="s">
        <v>3144</v>
      </c>
      <c r="E49" t="s">
        <v>3145</v>
      </c>
      <c r="F49" t="s">
        <v>93</v>
      </c>
      <c r="G49" t="s">
        <v>1559</v>
      </c>
      <c r="H49">
        <v>168.9932</v>
      </c>
      <c r="I49">
        <v>597</v>
      </c>
      <c r="J49">
        <v>0</v>
      </c>
      <c r="K49" t="s">
        <v>95</v>
      </c>
      <c r="L49">
        <v>-71.715568020000006</v>
      </c>
      <c r="M49">
        <f t="shared" si="0"/>
        <v>-424.36954871556964</v>
      </c>
      <c r="N49" t="s">
        <v>95</v>
      </c>
      <c r="O49" t="s">
        <v>1560</v>
      </c>
      <c r="P49" t="s">
        <v>93</v>
      </c>
      <c r="Q49">
        <v>0</v>
      </c>
      <c r="R49" t="s">
        <v>95</v>
      </c>
      <c r="S49">
        <v>-71.906114239999994</v>
      </c>
      <c r="T49">
        <f t="shared" si="1"/>
        <v>-425.49708650998969</v>
      </c>
      <c r="U49" t="s">
        <v>95</v>
      </c>
      <c r="V49">
        <v>7935</v>
      </c>
      <c r="W49" t="s">
        <v>358</v>
      </c>
      <c r="X49">
        <v>298</v>
      </c>
      <c r="Y49" t="s">
        <v>359</v>
      </c>
      <c r="Z49">
        <v>-78.099999999999994</v>
      </c>
      <c r="AA49" t="s">
        <v>95</v>
      </c>
      <c r="AB49">
        <f t="shared" si="2"/>
        <v>-462.14877285003178</v>
      </c>
      <c r="AC49" t="s">
        <v>93</v>
      </c>
      <c r="AD49">
        <v>1.9</v>
      </c>
      <c r="AE49" t="s">
        <v>95</v>
      </c>
      <c r="AF49" t="s">
        <v>93</v>
      </c>
      <c r="AN49">
        <v>0.5</v>
      </c>
      <c r="BX49">
        <v>0.5</v>
      </c>
      <c r="CR49">
        <f t="shared" si="3"/>
        <v>-424.36954871556964</v>
      </c>
      <c r="CS49">
        <f t="shared" si="4"/>
        <v>-425.49708650998969</v>
      </c>
      <c r="CT49">
        <f t="shared" si="5"/>
        <v>-462.14877285003178</v>
      </c>
      <c r="CU49" s="7">
        <f t="shared" si="6"/>
        <v>-437.33846935853035</v>
      </c>
      <c r="CV49" s="9">
        <f t="shared" si="8"/>
        <v>168.9932</v>
      </c>
      <c r="CW49" t="str">
        <f t="shared" si="9"/>
        <v>PrSi</v>
      </c>
    </row>
    <row r="50" spans="1:101" ht="15.75" thickBot="1" x14ac:dyDescent="0.3">
      <c r="A50" t="s">
        <v>91</v>
      </c>
      <c r="B50" t="s">
        <v>1259</v>
      </c>
      <c r="C50" t="s">
        <v>3144</v>
      </c>
      <c r="E50" t="s">
        <v>3145</v>
      </c>
      <c r="F50" t="s">
        <v>93</v>
      </c>
      <c r="G50" t="s">
        <v>1260</v>
      </c>
      <c r="H50">
        <v>110.52589999999999</v>
      </c>
      <c r="I50">
        <v>492</v>
      </c>
      <c r="J50">
        <v>0</v>
      </c>
      <c r="K50" t="s">
        <v>95</v>
      </c>
      <c r="L50">
        <v>-54.494894930000001</v>
      </c>
      <c r="M50">
        <f t="shared" si="0"/>
        <v>-493.05090417721101</v>
      </c>
      <c r="N50" t="s">
        <v>95</v>
      </c>
      <c r="O50" t="s">
        <v>1261</v>
      </c>
      <c r="P50" t="s">
        <v>93</v>
      </c>
      <c r="Q50">
        <v>0</v>
      </c>
      <c r="R50" t="s">
        <v>95</v>
      </c>
      <c r="S50">
        <v>-54.377651210000003</v>
      </c>
      <c r="T50">
        <f t="shared" si="1"/>
        <v>-491.99012367237009</v>
      </c>
      <c r="U50" t="s">
        <v>95</v>
      </c>
      <c r="V50">
        <v>8475</v>
      </c>
      <c r="W50" t="s">
        <v>510</v>
      </c>
      <c r="X50">
        <v>298</v>
      </c>
      <c r="Y50" t="s">
        <v>170</v>
      </c>
      <c r="Z50">
        <v>-35.700000000000003</v>
      </c>
      <c r="AA50" t="s">
        <v>95</v>
      </c>
      <c r="AB50">
        <f t="shared" si="2"/>
        <v>-323.00121509980926</v>
      </c>
      <c r="AC50" t="s">
        <v>93</v>
      </c>
      <c r="AD50">
        <v>2.6</v>
      </c>
      <c r="AE50" t="s">
        <v>95</v>
      </c>
      <c r="AF50" t="s">
        <v>93</v>
      </c>
      <c r="AG50">
        <v>0.33</v>
      </c>
      <c r="BQ50">
        <v>0.66</v>
      </c>
      <c r="CR50">
        <f t="shared" si="3"/>
        <v>-493.05090417721101</v>
      </c>
      <c r="CS50">
        <f t="shared" si="4"/>
        <v>-491.99012367237009</v>
      </c>
      <c r="CT50">
        <f t="shared" si="5"/>
        <v>-323.00121509980926</v>
      </c>
      <c r="CU50" s="7">
        <f t="shared" si="6"/>
        <v>-436.0140809831301</v>
      </c>
      <c r="CV50" s="9">
        <f t="shared" si="8"/>
        <v>110.52589999999999</v>
      </c>
      <c r="CW50" t="str">
        <f t="shared" si="9"/>
        <v>YB2</v>
      </c>
    </row>
    <row r="51" spans="1:101" ht="15.75" thickBot="1" x14ac:dyDescent="0.3">
      <c r="A51" t="s">
        <v>91</v>
      </c>
      <c r="B51" t="s">
        <v>1492</v>
      </c>
      <c r="C51" t="s">
        <v>3144</v>
      </c>
      <c r="E51" t="s">
        <v>3145</v>
      </c>
      <c r="F51" t="s">
        <v>93</v>
      </c>
      <c r="G51" t="s">
        <v>1493</v>
      </c>
      <c r="H51">
        <v>166.99099999999899</v>
      </c>
      <c r="I51">
        <v>574</v>
      </c>
      <c r="J51">
        <v>1.28961258</v>
      </c>
      <c r="K51" t="s">
        <v>95</v>
      </c>
      <c r="L51">
        <v>-71.715358940000002</v>
      </c>
      <c r="M51">
        <f t="shared" si="0"/>
        <v>-429.45643142445067</v>
      </c>
      <c r="N51" t="s">
        <v>95</v>
      </c>
      <c r="O51" t="s">
        <v>1494</v>
      </c>
      <c r="P51" t="s">
        <v>121</v>
      </c>
      <c r="Q51">
        <v>1.29581196</v>
      </c>
      <c r="R51" t="s">
        <v>95</v>
      </c>
      <c r="S51">
        <v>-71.234464630000005</v>
      </c>
      <c r="T51">
        <f t="shared" si="1"/>
        <v>-426.57666958099799</v>
      </c>
      <c r="U51" t="s">
        <v>95</v>
      </c>
      <c r="V51">
        <v>2938</v>
      </c>
      <c r="W51" t="s">
        <v>358</v>
      </c>
      <c r="X51">
        <v>298</v>
      </c>
      <c r="Y51" t="s">
        <v>359</v>
      </c>
      <c r="Z51">
        <v>-73.900000000000006</v>
      </c>
      <c r="AA51" t="s">
        <v>95</v>
      </c>
      <c r="AB51">
        <f t="shared" si="2"/>
        <v>-442.53881945733872</v>
      </c>
      <c r="AC51" t="s">
        <v>93</v>
      </c>
      <c r="AD51">
        <v>2.7</v>
      </c>
      <c r="AE51" t="s">
        <v>95</v>
      </c>
      <c r="AF51" t="s">
        <v>93</v>
      </c>
      <c r="AL51">
        <v>0.5</v>
      </c>
      <c r="BX51">
        <v>0.5</v>
      </c>
      <c r="CR51">
        <f t="shared" si="3"/>
        <v>-429.45643142445067</v>
      </c>
      <c r="CS51">
        <f t="shared" si="4"/>
        <v>-426.57666958099799</v>
      </c>
      <c r="CT51">
        <f t="shared" si="5"/>
        <v>-442.53881945733872</v>
      </c>
      <c r="CU51" s="7">
        <f t="shared" si="6"/>
        <v>-432.85730682092913</v>
      </c>
      <c r="CV51" s="9">
        <f t="shared" si="8"/>
        <v>166.99099999999899</v>
      </c>
      <c r="CW51" t="str">
        <f t="shared" si="9"/>
        <v>LaSi</v>
      </c>
    </row>
    <row r="52" spans="1:101" ht="15.75" thickBot="1" x14ac:dyDescent="0.3">
      <c r="A52" t="s">
        <v>91</v>
      </c>
      <c r="B52" t="s">
        <v>1661</v>
      </c>
      <c r="C52" t="s">
        <v>3144</v>
      </c>
      <c r="E52" t="s">
        <v>3145</v>
      </c>
      <c r="F52" t="s">
        <v>93</v>
      </c>
      <c r="G52" t="s">
        <v>1662</v>
      </c>
      <c r="H52">
        <v>147.39099999999999</v>
      </c>
      <c r="I52">
        <v>638</v>
      </c>
      <c r="J52">
        <v>0</v>
      </c>
      <c r="K52" t="s">
        <v>95</v>
      </c>
      <c r="L52">
        <v>-62.937827990000002</v>
      </c>
      <c r="M52">
        <f t="shared" si="0"/>
        <v>-427.01269405866032</v>
      </c>
      <c r="N52" t="s">
        <v>95</v>
      </c>
      <c r="O52" t="s">
        <v>1663</v>
      </c>
      <c r="P52" t="s">
        <v>93</v>
      </c>
      <c r="Q52">
        <v>0</v>
      </c>
      <c r="R52" t="s">
        <v>95</v>
      </c>
      <c r="S52">
        <v>-63.036374600000002</v>
      </c>
      <c r="T52">
        <f t="shared" si="1"/>
        <v>-427.68130075784819</v>
      </c>
      <c r="U52" t="s">
        <v>95</v>
      </c>
      <c r="V52">
        <v>3570</v>
      </c>
      <c r="W52" t="s">
        <v>1664</v>
      </c>
      <c r="X52">
        <v>298</v>
      </c>
      <c r="Y52" t="s">
        <v>147</v>
      </c>
      <c r="Z52">
        <v>-60.3</v>
      </c>
      <c r="AA52" t="s">
        <v>95</v>
      </c>
      <c r="AB52">
        <f t="shared" si="2"/>
        <v>-409.11588902985937</v>
      </c>
      <c r="AC52" t="s">
        <v>93</v>
      </c>
      <c r="AD52">
        <v>1.7</v>
      </c>
      <c r="AE52" t="s">
        <v>95</v>
      </c>
      <c r="AF52" t="s">
        <v>93</v>
      </c>
      <c r="AP52">
        <v>0.33</v>
      </c>
      <c r="BX52">
        <v>0.66</v>
      </c>
      <c r="CR52">
        <f t="shared" si="3"/>
        <v>-427.01269405866032</v>
      </c>
      <c r="CS52">
        <f t="shared" si="4"/>
        <v>-427.68130075784819</v>
      </c>
      <c r="CT52">
        <f t="shared" si="5"/>
        <v>-409.11588902985937</v>
      </c>
      <c r="CU52" s="7">
        <f t="shared" si="6"/>
        <v>-421.26996128212267</v>
      </c>
      <c r="CV52" s="9">
        <f t="shared" si="8"/>
        <v>147.39099999999999</v>
      </c>
      <c r="CW52" t="str">
        <f t="shared" si="9"/>
        <v>ZrSi2</v>
      </c>
    </row>
    <row r="53" spans="1:101" ht="15.75" thickBot="1" x14ac:dyDescent="0.3">
      <c r="A53" t="s">
        <v>91</v>
      </c>
      <c r="B53" t="s">
        <v>1448</v>
      </c>
      <c r="C53" t="s">
        <v>3144</v>
      </c>
      <c r="E53" t="s">
        <v>3145</v>
      </c>
      <c r="F53" t="s">
        <v>93</v>
      </c>
      <c r="G53" t="s">
        <v>1449</v>
      </c>
      <c r="H53">
        <v>158.6259</v>
      </c>
      <c r="I53">
        <v>557</v>
      </c>
      <c r="J53">
        <v>0</v>
      </c>
      <c r="K53" t="s">
        <v>95</v>
      </c>
      <c r="L53">
        <v>-64.098654400000001</v>
      </c>
      <c r="M53">
        <f t="shared" si="0"/>
        <v>-404.0869391442381</v>
      </c>
      <c r="N53" t="s">
        <v>95</v>
      </c>
      <c r="O53" t="s">
        <v>1450</v>
      </c>
      <c r="P53" t="s">
        <v>93</v>
      </c>
      <c r="Q53">
        <v>0</v>
      </c>
      <c r="R53" t="s">
        <v>95</v>
      </c>
      <c r="S53">
        <v>-64.338497079999996</v>
      </c>
      <c r="T53">
        <f t="shared" si="1"/>
        <v>-405.5989411565198</v>
      </c>
      <c r="U53" t="s">
        <v>95</v>
      </c>
      <c r="V53">
        <v>30366</v>
      </c>
      <c r="W53" t="s">
        <v>430</v>
      </c>
      <c r="X53">
        <v>298</v>
      </c>
      <c r="Y53" t="s">
        <v>147</v>
      </c>
      <c r="Z53">
        <v>-71.400000000000006</v>
      </c>
      <c r="AA53" t="s">
        <v>95</v>
      </c>
      <c r="AB53">
        <f t="shared" si="2"/>
        <v>-450.11564946203617</v>
      </c>
      <c r="AC53" t="s">
        <v>93</v>
      </c>
      <c r="AD53">
        <v>1.7</v>
      </c>
      <c r="AE53" t="s">
        <v>95</v>
      </c>
      <c r="AF53" t="s">
        <v>93</v>
      </c>
      <c r="AG53">
        <v>0.5</v>
      </c>
      <c r="BY53">
        <v>0.5</v>
      </c>
      <c r="CR53">
        <f t="shared" si="3"/>
        <v>-404.0869391442381</v>
      </c>
      <c r="CS53">
        <f t="shared" si="4"/>
        <v>-405.5989411565198</v>
      </c>
      <c r="CT53">
        <f t="shared" si="5"/>
        <v>-450.11564946203617</v>
      </c>
      <c r="CU53" s="7">
        <f t="shared" si="6"/>
        <v>-419.93384325426467</v>
      </c>
      <c r="CV53" s="9">
        <f t="shared" si="8"/>
        <v>158.6259</v>
      </c>
      <c r="CW53" t="str">
        <f t="shared" si="9"/>
        <v>YGa</v>
      </c>
    </row>
    <row r="54" spans="1:101" ht="15.75" thickBot="1" x14ac:dyDescent="0.3">
      <c r="A54" t="s">
        <v>484</v>
      </c>
      <c r="B54" t="s">
        <v>1283</v>
      </c>
      <c r="C54" t="s">
        <v>3138</v>
      </c>
      <c r="D54" t="s">
        <v>3139</v>
      </c>
      <c r="F54" t="s">
        <v>3140</v>
      </c>
      <c r="G54" t="s">
        <v>1284</v>
      </c>
      <c r="H54">
        <v>132.14590000000001</v>
      </c>
      <c r="I54">
        <v>502</v>
      </c>
      <c r="J54">
        <v>0</v>
      </c>
      <c r="K54" t="s">
        <v>95</v>
      </c>
      <c r="L54">
        <v>-56.987970590000003</v>
      </c>
      <c r="M54">
        <f t="shared" si="0"/>
        <v>-431.25038756404854</v>
      </c>
      <c r="N54" t="s">
        <v>95</v>
      </c>
      <c r="O54" t="s">
        <v>1285</v>
      </c>
      <c r="P54" t="s">
        <v>93</v>
      </c>
      <c r="Q54">
        <v>0</v>
      </c>
      <c r="R54" t="s">
        <v>95</v>
      </c>
      <c r="S54">
        <v>-56.877713270000001</v>
      </c>
      <c r="T54">
        <f t="shared" si="1"/>
        <v>-430.41602705797152</v>
      </c>
      <c r="U54" t="s">
        <v>95</v>
      </c>
      <c r="V54">
        <v>5124</v>
      </c>
      <c r="W54" t="s">
        <v>1100</v>
      </c>
      <c r="X54">
        <v>298</v>
      </c>
      <c r="Y54" t="s">
        <v>1273</v>
      </c>
      <c r="Z54">
        <v>-52.3</v>
      </c>
      <c r="AA54" t="s">
        <v>95</v>
      </c>
      <c r="AB54">
        <f t="shared" si="2"/>
        <v>-395.77467026975484</v>
      </c>
      <c r="AC54" t="s">
        <v>93</v>
      </c>
      <c r="AD54">
        <v>1.8</v>
      </c>
      <c r="AE54" t="s">
        <v>95</v>
      </c>
      <c r="AF54" t="s">
        <v>93</v>
      </c>
      <c r="AG54">
        <v>0.2</v>
      </c>
      <c r="BQ54">
        <v>0.8</v>
      </c>
      <c r="CR54">
        <f t="shared" si="3"/>
        <v>-431.25038756404854</v>
      </c>
      <c r="CS54">
        <f t="shared" si="4"/>
        <v>-430.41602705797152</v>
      </c>
      <c r="CT54">
        <f t="shared" si="5"/>
        <v>-395.77467026975484</v>
      </c>
      <c r="CU54" s="7">
        <f t="shared" si="6"/>
        <v>-419.14702829725826</v>
      </c>
      <c r="CV54" s="9">
        <f t="shared" si="8"/>
        <v>132.14590000000001</v>
      </c>
      <c r="CW54" t="str">
        <f t="shared" si="9"/>
        <v>YB4</v>
      </c>
    </row>
    <row r="55" spans="1:101" ht="15.75" thickBot="1" x14ac:dyDescent="0.3">
      <c r="A55" t="s">
        <v>91</v>
      </c>
      <c r="B55" t="s">
        <v>343</v>
      </c>
      <c r="C55" t="s">
        <v>3144</v>
      </c>
      <c r="E55" t="s">
        <v>3145</v>
      </c>
      <c r="F55" t="s">
        <v>93</v>
      </c>
      <c r="G55" t="s">
        <v>344</v>
      </c>
      <c r="H55">
        <v>219.20153999999999</v>
      </c>
      <c r="I55">
        <v>143</v>
      </c>
      <c r="J55">
        <v>0</v>
      </c>
      <c r="K55" t="s">
        <v>95</v>
      </c>
      <c r="L55">
        <v>-91.212541900000005</v>
      </c>
      <c r="M55">
        <f t="shared" si="0"/>
        <v>-416.11268743823615</v>
      </c>
      <c r="N55" t="s">
        <v>95</v>
      </c>
      <c r="O55" t="s">
        <v>345</v>
      </c>
      <c r="P55" t="s">
        <v>93</v>
      </c>
      <c r="Q55">
        <v>4.3996999999999998E-4</v>
      </c>
      <c r="R55" t="s">
        <v>95</v>
      </c>
      <c r="S55">
        <v>-91.305977299999995</v>
      </c>
      <c r="T55">
        <f t="shared" si="1"/>
        <v>-416.53894083043394</v>
      </c>
      <c r="U55" t="s">
        <v>95</v>
      </c>
      <c r="V55">
        <v>10480</v>
      </c>
      <c r="W55" t="s">
        <v>102</v>
      </c>
      <c r="X55">
        <v>298</v>
      </c>
      <c r="Y55" t="s">
        <v>103</v>
      </c>
      <c r="Z55">
        <v>-92.8</v>
      </c>
      <c r="AA55" t="s">
        <v>95</v>
      </c>
      <c r="AB55">
        <f t="shared" si="2"/>
        <v>-423.35468993511637</v>
      </c>
      <c r="AC55" t="s">
        <v>93</v>
      </c>
      <c r="AD55">
        <v>1.8</v>
      </c>
      <c r="AE55" t="s">
        <v>95</v>
      </c>
      <c r="AF55" t="s">
        <v>93</v>
      </c>
      <c r="AR55">
        <v>0.5</v>
      </c>
      <c r="BB55">
        <v>0.5</v>
      </c>
      <c r="CR55">
        <f t="shared" si="3"/>
        <v>-416.11268743823615</v>
      </c>
      <c r="CS55">
        <f t="shared" si="4"/>
        <v>-416.53894083043394</v>
      </c>
      <c r="CT55">
        <f t="shared" si="5"/>
        <v>-423.35468993511637</v>
      </c>
      <c r="CU55" s="7">
        <f t="shared" si="6"/>
        <v>-418.66877273459545</v>
      </c>
      <c r="CV55" s="9">
        <f t="shared" si="8"/>
        <v>219.20153999999999</v>
      </c>
      <c r="CW55" t="str">
        <f t="shared" si="9"/>
        <v>AlIr</v>
      </c>
    </row>
    <row r="56" spans="1:101" ht="15.75" thickBot="1" x14ac:dyDescent="0.3">
      <c r="A56" t="s">
        <v>91</v>
      </c>
      <c r="B56" t="s">
        <v>1631</v>
      </c>
      <c r="C56" t="s">
        <v>3144</v>
      </c>
      <c r="E56" t="s">
        <v>3145</v>
      </c>
      <c r="F56" t="s">
        <v>93</v>
      </c>
      <c r="G56" t="s">
        <v>1632</v>
      </c>
      <c r="H56">
        <v>197.0197</v>
      </c>
      <c r="I56">
        <v>627</v>
      </c>
      <c r="M56">
        <f t="shared" si="0"/>
        <v>0</v>
      </c>
      <c r="O56" t="s">
        <v>93</v>
      </c>
      <c r="P56" t="s">
        <v>93</v>
      </c>
      <c r="Q56">
        <v>0</v>
      </c>
      <c r="R56" t="s">
        <v>95</v>
      </c>
      <c r="S56">
        <v>-78.802653269999993</v>
      </c>
      <c r="T56">
        <f t="shared" si="1"/>
        <v>-399.97347102853161</v>
      </c>
      <c r="U56" t="s">
        <v>95</v>
      </c>
      <c r="V56">
        <v>31068</v>
      </c>
      <c r="W56" t="s">
        <v>430</v>
      </c>
      <c r="X56">
        <v>298</v>
      </c>
      <c r="Y56" t="s">
        <v>147</v>
      </c>
      <c r="Z56">
        <v>-86.1</v>
      </c>
      <c r="AA56" t="s">
        <v>95</v>
      </c>
      <c r="AB56">
        <f t="shared" si="2"/>
        <v>-437.01213634981673</v>
      </c>
      <c r="AC56" t="s">
        <v>93</v>
      </c>
      <c r="AD56">
        <v>2.2999999999999998</v>
      </c>
      <c r="AE56" t="s">
        <v>95</v>
      </c>
      <c r="AF56" t="s">
        <v>93</v>
      </c>
      <c r="AH56" t="s">
        <v>93</v>
      </c>
      <c r="AI56" t="s">
        <v>93</v>
      </c>
      <c r="BO56">
        <v>0.5</v>
      </c>
      <c r="BX56">
        <v>0.5</v>
      </c>
      <c r="CR56">
        <f t="shared" si="3"/>
        <v>0</v>
      </c>
      <c r="CS56">
        <f t="shared" si="4"/>
        <v>-399.97347102853161</v>
      </c>
      <c r="CT56">
        <f t="shared" si="5"/>
        <v>-437.01213634981673</v>
      </c>
      <c r="CU56" s="7">
        <f t="shared" si="6"/>
        <v>-418.49280368917414</v>
      </c>
      <c r="CV56" s="9">
        <f t="shared" si="8"/>
        <v>197.0197</v>
      </c>
      <c r="CW56" t="str">
        <f t="shared" si="9"/>
        <v>TmSi</v>
      </c>
    </row>
    <row r="57" spans="1:101" ht="15.75" thickBot="1" x14ac:dyDescent="0.3">
      <c r="A57" t="s">
        <v>91</v>
      </c>
      <c r="B57" t="s">
        <v>994</v>
      </c>
      <c r="C57" t="s">
        <v>3144</v>
      </c>
      <c r="E57" t="s">
        <v>3145</v>
      </c>
      <c r="F57" t="s">
        <v>93</v>
      </c>
      <c r="G57" t="s">
        <v>995</v>
      </c>
      <c r="H57">
        <v>191.81139999999999</v>
      </c>
      <c r="I57">
        <v>397</v>
      </c>
      <c r="J57">
        <v>0</v>
      </c>
      <c r="K57" t="s">
        <v>95</v>
      </c>
      <c r="L57">
        <v>-82.811203079999999</v>
      </c>
      <c r="M57">
        <f t="shared" si="0"/>
        <v>-431.73243654965245</v>
      </c>
      <c r="N57" t="s">
        <v>95</v>
      </c>
      <c r="O57" t="s">
        <v>996</v>
      </c>
      <c r="P57" t="s">
        <v>93</v>
      </c>
      <c r="Q57">
        <v>3.3379569999999997E-2</v>
      </c>
      <c r="R57" t="s">
        <v>95</v>
      </c>
      <c r="S57">
        <v>-81.261880050000002</v>
      </c>
      <c r="T57">
        <f t="shared" si="1"/>
        <v>-423.65511147929692</v>
      </c>
      <c r="U57" t="s">
        <v>95</v>
      </c>
      <c r="V57">
        <v>18083</v>
      </c>
      <c r="W57" t="s">
        <v>102</v>
      </c>
      <c r="X57">
        <v>298</v>
      </c>
      <c r="Y57" t="s">
        <v>103</v>
      </c>
      <c r="Z57">
        <v>-76.099999999999994</v>
      </c>
      <c r="AA57" t="s">
        <v>95</v>
      </c>
      <c r="AB57">
        <f t="shared" si="2"/>
        <v>-396.74388487858386</v>
      </c>
      <c r="AC57" t="s">
        <v>93</v>
      </c>
      <c r="AD57">
        <v>3.4</v>
      </c>
      <c r="AE57" t="s">
        <v>95</v>
      </c>
      <c r="AF57" t="s">
        <v>93</v>
      </c>
      <c r="AG57">
        <v>0.5</v>
      </c>
      <c r="BF57">
        <v>0.5</v>
      </c>
      <c r="CR57">
        <f t="shared" si="3"/>
        <v>-431.73243654965245</v>
      </c>
      <c r="CS57">
        <f t="shared" si="4"/>
        <v>-423.65511147929692</v>
      </c>
      <c r="CT57">
        <f t="shared" si="5"/>
        <v>-396.74388487858386</v>
      </c>
      <c r="CU57" s="7">
        <f t="shared" si="6"/>
        <v>-417.37714430251111</v>
      </c>
      <c r="CV57" s="9">
        <f t="shared" si="8"/>
        <v>191.81139999999999</v>
      </c>
      <c r="CW57" t="str">
        <f t="shared" si="9"/>
        <v>YRh</v>
      </c>
    </row>
    <row r="58" spans="1:101" ht="15.75" thickBot="1" x14ac:dyDescent="0.3">
      <c r="A58" t="s">
        <v>91</v>
      </c>
      <c r="B58" t="s">
        <v>2090</v>
      </c>
      <c r="C58" t="s">
        <v>3144</v>
      </c>
      <c r="E58" t="s">
        <v>3145</v>
      </c>
      <c r="G58" t="s">
        <v>2091</v>
      </c>
      <c r="H58">
        <v>101.86308</v>
      </c>
      <c r="I58">
        <v>827</v>
      </c>
      <c r="J58">
        <v>0</v>
      </c>
      <c r="K58" t="s">
        <v>95</v>
      </c>
      <c r="L58">
        <v>-41.466833860000001</v>
      </c>
      <c r="M58">
        <f t="shared" si="0"/>
        <v>-407.08403731754436</v>
      </c>
      <c r="N58" t="s">
        <v>95</v>
      </c>
      <c r="O58" t="s">
        <v>2092</v>
      </c>
      <c r="P58" t="s">
        <v>93</v>
      </c>
      <c r="Q58">
        <v>0</v>
      </c>
      <c r="R58" t="s">
        <v>95</v>
      </c>
      <c r="S58">
        <v>-43.382871559999998</v>
      </c>
      <c r="T58">
        <f t="shared" si="1"/>
        <v>-425.89397021963208</v>
      </c>
      <c r="U58" t="s">
        <v>95</v>
      </c>
      <c r="V58">
        <v>18487</v>
      </c>
      <c r="W58" t="s">
        <v>2048</v>
      </c>
      <c r="X58">
        <v>1073</v>
      </c>
      <c r="Y58" t="s">
        <v>2093</v>
      </c>
      <c r="AB58">
        <f t="shared" si="2"/>
        <v>0</v>
      </c>
      <c r="AC58" t="s">
        <v>93</v>
      </c>
      <c r="AD58">
        <v>0.9</v>
      </c>
      <c r="AE58" t="s">
        <v>95</v>
      </c>
      <c r="AF58" t="s">
        <v>93</v>
      </c>
      <c r="AR58">
        <v>0.67</v>
      </c>
      <c r="BA58">
        <v>0.33</v>
      </c>
      <c r="CG58">
        <v>-44</v>
      </c>
      <c r="CH58" t="s">
        <v>95</v>
      </c>
      <c r="CI58" t="s">
        <v>93</v>
      </c>
      <c r="CR58">
        <f t="shared" si="3"/>
        <v>-407.08403731754436</v>
      </c>
      <c r="CS58">
        <f t="shared" si="4"/>
        <v>-425.89397021963208</v>
      </c>
      <c r="CT58">
        <f t="shared" si="5"/>
        <v>0</v>
      </c>
      <c r="CU58" s="7">
        <f t="shared" si="6"/>
        <v>-416.48900376858819</v>
      </c>
      <c r="CV58" s="9">
        <f t="shared" si="8"/>
        <v>101.86308</v>
      </c>
      <c r="CW58" t="str">
        <f t="shared" si="9"/>
        <v>TiAl2</v>
      </c>
    </row>
    <row r="59" spans="1:101" ht="15.75" thickBot="1" x14ac:dyDescent="0.3">
      <c r="A59" t="s">
        <v>91</v>
      </c>
      <c r="B59" t="s">
        <v>2090</v>
      </c>
      <c r="C59" t="s">
        <v>3144</v>
      </c>
      <c r="E59" t="s">
        <v>3145</v>
      </c>
      <c r="G59" t="s">
        <v>2091</v>
      </c>
      <c r="H59">
        <v>101.86308</v>
      </c>
      <c r="I59">
        <v>828</v>
      </c>
      <c r="J59">
        <v>0</v>
      </c>
      <c r="K59" t="s">
        <v>95</v>
      </c>
      <c r="L59">
        <v>-41.466833860000001</v>
      </c>
      <c r="M59">
        <f t="shared" si="0"/>
        <v>-407.08403731754436</v>
      </c>
      <c r="N59" t="s">
        <v>95</v>
      </c>
      <c r="O59" t="s">
        <v>2092</v>
      </c>
      <c r="P59" t="s">
        <v>93</v>
      </c>
      <c r="Q59">
        <v>0</v>
      </c>
      <c r="R59" t="s">
        <v>95</v>
      </c>
      <c r="S59">
        <v>-43.382871559999998</v>
      </c>
      <c r="T59">
        <f t="shared" si="1"/>
        <v>-425.89397021963208</v>
      </c>
      <c r="U59" t="s">
        <v>95</v>
      </c>
      <c r="V59">
        <v>18487</v>
      </c>
      <c r="W59" t="s">
        <v>2048</v>
      </c>
      <c r="X59">
        <v>1073</v>
      </c>
      <c r="Y59" t="s">
        <v>2093</v>
      </c>
      <c r="AB59">
        <f t="shared" si="2"/>
        <v>0</v>
      </c>
      <c r="AC59" t="s">
        <v>93</v>
      </c>
      <c r="AD59">
        <v>0.9</v>
      </c>
      <c r="AE59" t="s">
        <v>95</v>
      </c>
      <c r="AF59" t="s">
        <v>93</v>
      </c>
      <c r="AR59">
        <v>0.67</v>
      </c>
      <c r="BA59">
        <v>0.33</v>
      </c>
      <c r="CG59">
        <v>-37.1</v>
      </c>
      <c r="CH59" t="s">
        <v>95</v>
      </c>
      <c r="CI59" t="s">
        <v>93</v>
      </c>
      <c r="CR59">
        <f t="shared" si="3"/>
        <v>-407.08403731754436</v>
      </c>
      <c r="CS59">
        <f t="shared" si="4"/>
        <v>-425.89397021963208</v>
      </c>
      <c r="CT59">
        <f t="shared" si="5"/>
        <v>0</v>
      </c>
      <c r="CU59" s="7">
        <f t="shared" si="6"/>
        <v>-416.48900376858819</v>
      </c>
      <c r="CV59" s="9">
        <f t="shared" si="8"/>
        <v>101.86308</v>
      </c>
      <c r="CW59" t="str">
        <f t="shared" si="9"/>
        <v>TiAl2</v>
      </c>
    </row>
    <row r="60" spans="1:101" ht="15.75" thickBot="1" x14ac:dyDescent="0.3">
      <c r="A60" t="s">
        <v>91</v>
      </c>
      <c r="B60" t="s">
        <v>1407</v>
      </c>
      <c r="C60" t="s">
        <v>3144</v>
      </c>
      <c r="E60" t="s">
        <v>3145</v>
      </c>
      <c r="F60" t="s">
        <v>93</v>
      </c>
      <c r="G60" t="s">
        <v>1408</v>
      </c>
      <c r="H60">
        <v>195.34549999999999</v>
      </c>
      <c r="I60">
        <v>543</v>
      </c>
      <c r="J60">
        <v>0</v>
      </c>
      <c r="K60" t="s">
        <v>95</v>
      </c>
      <c r="L60">
        <v>-79.325501799999998</v>
      </c>
      <c r="M60">
        <f t="shared" si="0"/>
        <v>-406.07795828416829</v>
      </c>
      <c r="N60" t="s">
        <v>95</v>
      </c>
      <c r="O60" t="s">
        <v>1409</v>
      </c>
      <c r="P60" t="s">
        <v>93</v>
      </c>
      <c r="Q60">
        <v>0.15356407</v>
      </c>
      <c r="R60" t="s">
        <v>95</v>
      </c>
      <c r="S60">
        <v>-79.654510880000004</v>
      </c>
      <c r="T60">
        <f t="shared" si="1"/>
        <v>-407.76220020425353</v>
      </c>
      <c r="U60" t="s">
        <v>95</v>
      </c>
      <c r="V60">
        <v>2939</v>
      </c>
      <c r="W60" t="s">
        <v>430</v>
      </c>
      <c r="X60">
        <v>298</v>
      </c>
      <c r="Y60" t="s">
        <v>147</v>
      </c>
      <c r="Z60">
        <v>-84.9</v>
      </c>
      <c r="AA60" t="s">
        <v>95</v>
      </c>
      <c r="AB60">
        <f t="shared" si="2"/>
        <v>-434.61456752267139</v>
      </c>
      <c r="AC60" t="s">
        <v>93</v>
      </c>
      <c r="AD60">
        <v>2.5</v>
      </c>
      <c r="AE60" t="s">
        <v>95</v>
      </c>
      <c r="AF60" t="s">
        <v>93</v>
      </c>
      <c r="BH60">
        <v>0.5</v>
      </c>
      <c r="BX60">
        <v>0.5</v>
      </c>
      <c r="CR60">
        <f t="shared" si="3"/>
        <v>-406.07795828416829</v>
      </c>
      <c r="CS60">
        <f t="shared" si="4"/>
        <v>-407.76220020425353</v>
      </c>
      <c r="CT60">
        <f t="shared" si="5"/>
        <v>-434.61456752267139</v>
      </c>
      <c r="CU60" s="7">
        <f t="shared" si="6"/>
        <v>-416.15157533703109</v>
      </c>
      <c r="CV60" s="9">
        <f t="shared" si="8"/>
        <v>195.34549999999999</v>
      </c>
      <c r="CW60" t="str">
        <f t="shared" si="9"/>
        <v>ErSi</v>
      </c>
    </row>
    <row r="61" spans="1:101" ht="15.75" thickBot="1" x14ac:dyDescent="0.3">
      <c r="A61" t="s">
        <v>91</v>
      </c>
      <c r="B61" t="s">
        <v>1481</v>
      </c>
      <c r="C61" t="s">
        <v>3144</v>
      </c>
      <c r="E61" t="s">
        <v>3145</v>
      </c>
      <c r="F61" t="s">
        <v>93</v>
      </c>
      <c r="G61" t="s">
        <v>1482</v>
      </c>
      <c r="H61">
        <v>193.01589999999999</v>
      </c>
      <c r="I61">
        <v>569</v>
      </c>
      <c r="J61">
        <v>0.19142375</v>
      </c>
      <c r="K61" t="s">
        <v>95</v>
      </c>
      <c r="L61">
        <v>-79.81610852</v>
      </c>
      <c r="M61">
        <f t="shared" si="0"/>
        <v>-413.52089915908482</v>
      </c>
      <c r="N61" t="s">
        <v>95</v>
      </c>
      <c r="O61" t="s">
        <v>1483</v>
      </c>
      <c r="P61" t="s">
        <v>93</v>
      </c>
      <c r="Q61">
        <v>0.16028707</v>
      </c>
      <c r="R61" t="s">
        <v>95</v>
      </c>
      <c r="S61">
        <v>-79.993546620000004</v>
      </c>
      <c r="T61">
        <f t="shared" si="1"/>
        <v>-414.44019181839423</v>
      </c>
      <c r="U61" t="s">
        <v>95</v>
      </c>
      <c r="V61">
        <v>19859</v>
      </c>
      <c r="W61" t="s">
        <v>430</v>
      </c>
      <c r="X61">
        <v>298</v>
      </c>
      <c r="Y61" t="s">
        <v>147</v>
      </c>
      <c r="Z61">
        <v>-80.900000000000006</v>
      </c>
      <c r="AA61" t="s">
        <v>95</v>
      </c>
      <c r="AB61">
        <f t="shared" si="2"/>
        <v>-419.13645456151539</v>
      </c>
      <c r="AC61" t="s">
        <v>93</v>
      </c>
      <c r="AD61">
        <v>2.2000000000000002</v>
      </c>
      <c r="AE61" t="s">
        <v>95</v>
      </c>
      <c r="AF61" t="s">
        <v>93</v>
      </c>
      <c r="BJ61">
        <v>0.5</v>
      </c>
      <c r="BX61">
        <v>0.5</v>
      </c>
      <c r="CR61">
        <f t="shared" si="3"/>
        <v>-413.52089915908482</v>
      </c>
      <c r="CS61">
        <f t="shared" si="4"/>
        <v>-414.44019181839423</v>
      </c>
      <c r="CT61">
        <f t="shared" si="5"/>
        <v>-419.13645456151539</v>
      </c>
      <c r="CU61" s="7">
        <f t="shared" si="6"/>
        <v>-415.69918184633144</v>
      </c>
      <c r="CV61" s="9">
        <f t="shared" si="8"/>
        <v>193.01589999999999</v>
      </c>
      <c r="CW61" t="str">
        <f t="shared" si="9"/>
        <v>HoSi</v>
      </c>
    </row>
    <row r="62" spans="1:101" ht="15.75" thickBot="1" x14ac:dyDescent="0.3">
      <c r="A62" t="s">
        <v>91</v>
      </c>
      <c r="B62" t="s">
        <v>1466</v>
      </c>
      <c r="C62" t="s">
        <v>3144</v>
      </c>
      <c r="E62" t="s">
        <v>3145</v>
      </c>
      <c r="F62" t="s">
        <v>93</v>
      </c>
      <c r="G62" t="s">
        <v>1468</v>
      </c>
      <c r="H62">
        <v>185.3355</v>
      </c>
      <c r="I62">
        <v>564</v>
      </c>
      <c r="J62">
        <v>0</v>
      </c>
      <c r="K62" t="s">
        <v>95</v>
      </c>
      <c r="L62">
        <v>-75.577800870000004</v>
      </c>
      <c r="M62">
        <f t="shared" si="0"/>
        <v>-407.78912226745553</v>
      </c>
      <c r="N62" t="s">
        <v>95</v>
      </c>
      <c r="O62" t="s">
        <v>1469</v>
      </c>
      <c r="P62" t="s">
        <v>93</v>
      </c>
      <c r="Q62">
        <v>0</v>
      </c>
      <c r="R62" t="s">
        <v>95</v>
      </c>
      <c r="S62">
        <v>-79.601294899999999</v>
      </c>
      <c r="T62">
        <f t="shared" si="1"/>
        <v>-429.49836863417966</v>
      </c>
      <c r="U62" t="s">
        <v>95</v>
      </c>
      <c r="V62">
        <v>12494</v>
      </c>
      <c r="W62" t="s">
        <v>358</v>
      </c>
      <c r="X62">
        <v>298</v>
      </c>
      <c r="Y62" t="s">
        <v>359</v>
      </c>
      <c r="Z62">
        <v>-75.599999999999994</v>
      </c>
      <c r="AA62" t="s">
        <v>95</v>
      </c>
      <c r="AB62">
        <f t="shared" si="2"/>
        <v>-407.90890034558947</v>
      </c>
      <c r="AC62" t="s">
        <v>93</v>
      </c>
      <c r="AD62">
        <v>2.2999999999999998</v>
      </c>
      <c r="AE62" t="s">
        <v>95</v>
      </c>
      <c r="AF62" t="s">
        <v>93</v>
      </c>
      <c r="BI62">
        <v>0.5</v>
      </c>
      <c r="BX62">
        <v>0.5</v>
      </c>
      <c r="CR62">
        <f t="shared" si="3"/>
        <v>-407.78912226745553</v>
      </c>
      <c r="CS62">
        <f t="shared" si="4"/>
        <v>-429.49836863417966</v>
      </c>
      <c r="CT62">
        <f t="shared" si="5"/>
        <v>-407.90890034558947</v>
      </c>
      <c r="CU62" s="7">
        <f t="shared" si="6"/>
        <v>-415.06546374907492</v>
      </c>
      <c r="CV62" s="9">
        <f t="shared" si="8"/>
        <v>185.3355</v>
      </c>
      <c r="CW62" t="str">
        <f t="shared" si="9"/>
        <v>GdSi</v>
      </c>
    </row>
    <row r="63" spans="1:101" ht="15.75" thickBot="1" x14ac:dyDescent="0.3">
      <c r="A63" t="s">
        <v>91</v>
      </c>
      <c r="B63" t="s">
        <v>1652</v>
      </c>
      <c r="C63" t="s">
        <v>3144</v>
      </c>
      <c r="E63" t="s">
        <v>3145</v>
      </c>
      <c r="F63" t="s">
        <v>93</v>
      </c>
      <c r="G63" t="s">
        <v>1653</v>
      </c>
      <c r="H63">
        <v>107.1125</v>
      </c>
      <c r="I63">
        <v>812</v>
      </c>
      <c r="J63">
        <v>0</v>
      </c>
      <c r="K63" t="s">
        <v>95</v>
      </c>
      <c r="L63">
        <v>-46.893417130000003</v>
      </c>
      <c r="M63">
        <f t="shared" si="0"/>
        <v>-437.79593539502866</v>
      </c>
      <c r="N63" t="s">
        <v>95</v>
      </c>
      <c r="O63" t="s">
        <v>1654</v>
      </c>
      <c r="P63" t="s">
        <v>93</v>
      </c>
      <c r="T63">
        <f t="shared" si="1"/>
        <v>0</v>
      </c>
      <c r="V63" t="s">
        <v>93</v>
      </c>
      <c r="W63" t="s">
        <v>164</v>
      </c>
      <c r="X63">
        <v>298</v>
      </c>
      <c r="Y63" t="s">
        <v>1380</v>
      </c>
      <c r="Z63">
        <v>-41.67</v>
      </c>
      <c r="AA63" t="s">
        <v>95</v>
      </c>
      <c r="AB63">
        <f t="shared" si="2"/>
        <v>-389.03022523048202</v>
      </c>
      <c r="AC63" t="s">
        <v>93</v>
      </c>
      <c r="AD63">
        <v>3</v>
      </c>
      <c r="AE63" t="s">
        <v>95</v>
      </c>
      <c r="AF63" t="s">
        <v>93</v>
      </c>
      <c r="AJ63" t="s">
        <v>93</v>
      </c>
      <c r="AK63" t="s">
        <v>93</v>
      </c>
      <c r="BD63">
        <v>0.33329999999999999</v>
      </c>
      <c r="BX63">
        <v>0.66669999999999996</v>
      </c>
      <c r="CR63">
        <f t="shared" si="3"/>
        <v>-437.79593539502866</v>
      </c>
      <c r="CS63">
        <f t="shared" si="4"/>
        <v>0</v>
      </c>
      <c r="CT63">
        <f t="shared" si="5"/>
        <v>-389.03022523048202</v>
      </c>
      <c r="CU63" s="7">
        <f t="shared" si="6"/>
        <v>-413.41308031275537</v>
      </c>
      <c r="CV63" s="9">
        <f t="shared" si="8"/>
        <v>107.1125</v>
      </c>
      <c r="CW63" t="str">
        <f t="shared" si="9"/>
        <v>VSi2</v>
      </c>
    </row>
    <row r="64" spans="1:101" ht="15.75" thickBot="1" x14ac:dyDescent="0.3">
      <c r="A64" t="s">
        <v>91</v>
      </c>
      <c r="B64" t="s">
        <v>1046</v>
      </c>
      <c r="C64" t="s">
        <v>3144</v>
      </c>
      <c r="E64" t="s">
        <v>3145</v>
      </c>
      <c r="F64" t="s">
        <v>93</v>
      </c>
      <c r="G64" t="s">
        <v>1047</v>
      </c>
      <c r="H64">
        <v>237.17590000000001</v>
      </c>
      <c r="I64">
        <v>418</v>
      </c>
      <c r="J64">
        <v>0</v>
      </c>
      <c r="K64" t="s">
        <v>95</v>
      </c>
      <c r="L64">
        <v>-101.4162338</v>
      </c>
      <c r="M64">
        <f t="shared" si="0"/>
        <v>-427.59923668467161</v>
      </c>
      <c r="N64" t="s">
        <v>95</v>
      </c>
      <c r="O64" t="s">
        <v>1048</v>
      </c>
      <c r="P64" t="s">
        <v>93</v>
      </c>
      <c r="Q64">
        <v>6.119484E-2</v>
      </c>
      <c r="R64" t="s">
        <v>95</v>
      </c>
      <c r="S64">
        <v>-99.393963510000006</v>
      </c>
      <c r="T64">
        <f t="shared" si="1"/>
        <v>-419.07277893748903</v>
      </c>
      <c r="U64" t="s">
        <v>95</v>
      </c>
      <c r="V64">
        <v>17512</v>
      </c>
      <c r="W64" t="s">
        <v>102</v>
      </c>
      <c r="X64">
        <v>298</v>
      </c>
      <c r="Y64" t="s">
        <v>103</v>
      </c>
      <c r="Z64">
        <v>-89.7</v>
      </c>
      <c r="AA64" t="s">
        <v>95</v>
      </c>
      <c r="AB64">
        <f t="shared" si="2"/>
        <v>-378.20031461881246</v>
      </c>
      <c r="AC64" t="s">
        <v>93</v>
      </c>
      <c r="AD64">
        <v>3</v>
      </c>
      <c r="AE64" t="s">
        <v>95</v>
      </c>
      <c r="AF64" t="s">
        <v>93</v>
      </c>
      <c r="BB64">
        <v>0.5</v>
      </c>
      <c r="CR64">
        <f t="shared" si="3"/>
        <v>-427.59923668467161</v>
      </c>
      <c r="CS64">
        <f t="shared" si="4"/>
        <v>-419.07277893748903</v>
      </c>
      <c r="CT64">
        <f t="shared" si="5"/>
        <v>-378.20031461881246</v>
      </c>
      <c r="CU64" s="7">
        <f t="shared" si="6"/>
        <v>-408.29077674699101</v>
      </c>
      <c r="CV64" s="9">
        <f t="shared" si="8"/>
        <v>237.17590000000001</v>
      </c>
      <c r="CW64" t="str">
        <f t="shared" si="9"/>
        <v>ScIr</v>
      </c>
    </row>
    <row r="65" spans="1:101" ht="15.75" thickBot="1" x14ac:dyDescent="0.3">
      <c r="A65" t="s">
        <v>91</v>
      </c>
      <c r="B65" t="s">
        <v>343</v>
      </c>
      <c r="C65" t="s">
        <v>3144</v>
      </c>
      <c r="E65" t="s">
        <v>3145</v>
      </c>
      <c r="F65" t="s">
        <v>93</v>
      </c>
      <c r="G65" t="s">
        <v>344</v>
      </c>
      <c r="H65">
        <v>219.20153999999999</v>
      </c>
      <c r="I65">
        <v>142</v>
      </c>
      <c r="J65">
        <v>0</v>
      </c>
      <c r="K65" t="s">
        <v>95</v>
      </c>
      <c r="L65">
        <v>-91.212541900000005</v>
      </c>
      <c r="M65">
        <f t="shared" si="0"/>
        <v>-416.11268743823615</v>
      </c>
      <c r="N65" t="s">
        <v>95</v>
      </c>
      <c r="O65" t="s">
        <v>345</v>
      </c>
      <c r="P65" t="s">
        <v>93</v>
      </c>
      <c r="Q65">
        <v>4.3996999999999998E-4</v>
      </c>
      <c r="R65" t="s">
        <v>95</v>
      </c>
      <c r="S65">
        <v>-91.305977299999995</v>
      </c>
      <c r="T65">
        <f t="shared" si="1"/>
        <v>-416.53894083043394</v>
      </c>
      <c r="U65" t="s">
        <v>95</v>
      </c>
      <c r="V65">
        <v>10480</v>
      </c>
      <c r="W65" t="s">
        <v>102</v>
      </c>
      <c r="X65">
        <v>298</v>
      </c>
      <c r="Y65" t="s">
        <v>103</v>
      </c>
      <c r="Z65">
        <v>-85.63</v>
      </c>
      <c r="AA65" t="s">
        <v>95</v>
      </c>
      <c r="AB65">
        <f t="shared" si="2"/>
        <v>-390.64506572353463</v>
      </c>
      <c r="AC65" t="s">
        <v>93</v>
      </c>
      <c r="AD65">
        <v>0.35</v>
      </c>
      <c r="AE65" t="s">
        <v>95</v>
      </c>
      <c r="AF65" t="s">
        <v>93</v>
      </c>
      <c r="AR65">
        <v>0.5</v>
      </c>
      <c r="BB65">
        <v>0.5</v>
      </c>
      <c r="CR65">
        <f t="shared" si="3"/>
        <v>-416.11268743823615</v>
      </c>
      <c r="CS65">
        <f t="shared" si="4"/>
        <v>-416.53894083043394</v>
      </c>
      <c r="CT65">
        <f t="shared" si="5"/>
        <v>-390.64506572353463</v>
      </c>
      <c r="CU65" s="7">
        <f t="shared" si="6"/>
        <v>-407.76556466406822</v>
      </c>
      <c r="CV65" s="9">
        <f t="shared" si="8"/>
        <v>219.20153999999999</v>
      </c>
      <c r="CW65" t="str">
        <f t="shared" si="9"/>
        <v>AlIr</v>
      </c>
    </row>
    <row r="66" spans="1:101" ht="15.75" thickBot="1" x14ac:dyDescent="0.3">
      <c r="A66" t="s">
        <v>91</v>
      </c>
      <c r="B66" t="s">
        <v>1000</v>
      </c>
      <c r="C66" t="s">
        <v>3144</v>
      </c>
      <c r="E66" t="s">
        <v>3145</v>
      </c>
      <c r="F66" t="s">
        <v>93</v>
      </c>
      <c r="G66" t="s">
        <v>1003</v>
      </c>
      <c r="H66">
        <v>194.12549999999999</v>
      </c>
      <c r="I66">
        <v>400</v>
      </c>
      <c r="M66">
        <f t="shared" ref="M66:M129" si="10">(1000/H66)*L66</f>
        <v>0</v>
      </c>
      <c r="O66" t="s">
        <v>93</v>
      </c>
      <c r="P66" t="s">
        <v>93</v>
      </c>
      <c r="T66">
        <f t="shared" ref="T66:T129" si="11">(1000/H66)*S66</f>
        <v>0</v>
      </c>
      <c r="V66" t="s">
        <v>93</v>
      </c>
      <c r="W66" t="s">
        <v>93</v>
      </c>
      <c r="X66">
        <v>298</v>
      </c>
      <c r="Y66" t="s">
        <v>93</v>
      </c>
      <c r="Z66">
        <v>-79</v>
      </c>
      <c r="AA66" t="s">
        <v>95</v>
      </c>
      <c r="AB66">
        <f t="shared" ref="AB66:AB129" si="12">(1000/H66)*Z66</f>
        <v>-406.95323386159987</v>
      </c>
      <c r="AC66" t="s">
        <v>93</v>
      </c>
      <c r="AD66">
        <v>1.2</v>
      </c>
      <c r="AE66" t="s">
        <v>95</v>
      </c>
      <c r="AF66" t="s">
        <v>93</v>
      </c>
      <c r="AH66" t="s">
        <v>93</v>
      </c>
      <c r="AI66" t="s">
        <v>93</v>
      </c>
      <c r="AJ66" t="s">
        <v>93</v>
      </c>
      <c r="AK66" t="s">
        <v>93</v>
      </c>
      <c r="AP66">
        <v>0.5</v>
      </c>
      <c r="BF66">
        <v>0.5</v>
      </c>
      <c r="CR66">
        <f t="shared" ref="CR66:CR129" si="13">VALUE(M66)</f>
        <v>0</v>
      </c>
      <c r="CS66">
        <f t="shared" ref="CS66:CS129" si="14">VALUE(T66)</f>
        <v>0</v>
      </c>
      <c r="CT66">
        <f t="shared" ref="CT66:CT129" si="15">VALUE(AB66)</f>
        <v>-406.95323386159987</v>
      </c>
      <c r="CU66" s="7">
        <f t="shared" ref="CU66:CU129" si="16">SUM(CR66:CT66)/(COUNTIF(CR66:CT66,"&lt;&gt;0")-COUNTBLANK(CR66:CT66)-(COUNTA(CR66:CT66)-COUNT(CR66:CT66)))</f>
        <v>-406.95323386159987</v>
      </c>
      <c r="CV66" s="9">
        <f t="shared" si="8"/>
        <v>194.12549999999999</v>
      </c>
      <c r="CW66" t="str">
        <f t="shared" ref="CW66:CW129" si="17">G66</f>
        <v>RhZr</v>
      </c>
    </row>
    <row r="67" spans="1:101" ht="15.75" thickBot="1" x14ac:dyDescent="0.3">
      <c r="A67" t="s">
        <v>91</v>
      </c>
      <c r="B67" t="s">
        <v>1966</v>
      </c>
      <c r="C67" t="s">
        <v>3144</v>
      </c>
      <c r="E67" t="s">
        <v>3145</v>
      </c>
      <c r="G67" t="s">
        <v>1967</v>
      </c>
      <c r="H67">
        <v>103.747</v>
      </c>
      <c r="I67">
        <v>761</v>
      </c>
      <c r="J67">
        <v>0</v>
      </c>
      <c r="K67" t="s">
        <v>95</v>
      </c>
      <c r="L67">
        <v>-40.319287580000001</v>
      </c>
      <c r="M67">
        <f t="shared" si="10"/>
        <v>-388.6308768446317</v>
      </c>
      <c r="N67" t="s">
        <v>95</v>
      </c>
      <c r="O67" t="s">
        <v>1968</v>
      </c>
      <c r="P67" t="s">
        <v>93</v>
      </c>
      <c r="Q67">
        <v>9.5112799999999997E-2</v>
      </c>
      <c r="R67" t="s">
        <v>95</v>
      </c>
      <c r="S67">
        <v>-43.340474280000002</v>
      </c>
      <c r="T67">
        <f t="shared" si="11"/>
        <v>-417.7515906965985</v>
      </c>
      <c r="U67" t="s">
        <v>95</v>
      </c>
      <c r="V67">
        <v>19423</v>
      </c>
      <c r="W67" t="s">
        <v>102</v>
      </c>
      <c r="X67">
        <v>1440</v>
      </c>
      <c r="Y67" t="s">
        <v>103</v>
      </c>
      <c r="AB67">
        <f t="shared" si="12"/>
        <v>0</v>
      </c>
      <c r="AC67" t="s">
        <v>93</v>
      </c>
      <c r="AD67">
        <v>1.3</v>
      </c>
      <c r="AE67" t="s">
        <v>95</v>
      </c>
      <c r="AF67" t="s">
        <v>93</v>
      </c>
      <c r="AT67">
        <v>0.5</v>
      </c>
      <c r="BA67">
        <v>0.5</v>
      </c>
      <c r="CG67">
        <v>-31</v>
      </c>
      <c r="CH67" t="s">
        <v>95</v>
      </c>
      <c r="CI67" t="s">
        <v>93</v>
      </c>
      <c r="CR67">
        <f t="shared" si="13"/>
        <v>-388.6308768446317</v>
      </c>
      <c r="CS67">
        <f t="shared" si="14"/>
        <v>-417.7515906965985</v>
      </c>
      <c r="CT67">
        <f t="shared" si="15"/>
        <v>0</v>
      </c>
      <c r="CU67" s="7">
        <f t="shared" si="16"/>
        <v>-403.1912337706151</v>
      </c>
      <c r="CV67" s="9">
        <f t="shared" ref="CV67:CV130" si="18">H67</f>
        <v>103.747</v>
      </c>
      <c r="CW67" t="str">
        <f t="shared" si="17"/>
        <v>TiFe</v>
      </c>
    </row>
    <row r="68" spans="1:101" ht="15.75" thickBot="1" x14ac:dyDescent="0.3">
      <c r="A68" t="s">
        <v>91</v>
      </c>
      <c r="B68" t="s">
        <v>1356</v>
      </c>
      <c r="C68" t="s">
        <v>3144</v>
      </c>
      <c r="E68" t="s">
        <v>3145</v>
      </c>
      <c r="F68" t="s">
        <v>93</v>
      </c>
      <c r="G68" t="s">
        <v>1357</v>
      </c>
      <c r="H68">
        <v>168.2055</v>
      </c>
      <c r="I68">
        <v>527</v>
      </c>
      <c r="J68">
        <v>0</v>
      </c>
      <c r="K68" t="s">
        <v>95</v>
      </c>
      <c r="L68">
        <v>-63.015091679999998</v>
      </c>
      <c r="M68">
        <f t="shared" si="10"/>
        <v>-374.63157673203312</v>
      </c>
      <c r="N68" t="s">
        <v>95</v>
      </c>
      <c r="O68" t="s">
        <v>1358</v>
      </c>
      <c r="P68" t="s">
        <v>93</v>
      </c>
      <c r="Q68">
        <v>0</v>
      </c>
      <c r="R68" t="s">
        <v>95</v>
      </c>
      <c r="S68">
        <v>-69.32444375</v>
      </c>
      <c r="T68">
        <f t="shared" si="11"/>
        <v>-412.14136131101537</v>
      </c>
      <c r="U68" t="s">
        <v>95</v>
      </c>
      <c r="V68">
        <v>18278</v>
      </c>
      <c r="W68" t="s">
        <v>358</v>
      </c>
      <c r="X68">
        <v>298</v>
      </c>
      <c r="Y68" t="s">
        <v>359</v>
      </c>
      <c r="Z68">
        <v>-71.099999999999994</v>
      </c>
      <c r="AA68" t="s">
        <v>95</v>
      </c>
      <c r="AB68">
        <f t="shared" si="12"/>
        <v>-422.69723641616946</v>
      </c>
      <c r="AC68" t="s">
        <v>93</v>
      </c>
      <c r="AD68">
        <v>3.3</v>
      </c>
      <c r="AE68" t="s">
        <v>95</v>
      </c>
      <c r="AF68" t="s">
        <v>93</v>
      </c>
      <c r="AM68">
        <v>0.5</v>
      </c>
      <c r="BX68">
        <v>0.5</v>
      </c>
      <c r="CR68">
        <f t="shared" si="13"/>
        <v>-374.63157673203312</v>
      </c>
      <c r="CS68">
        <f t="shared" si="14"/>
        <v>-412.14136131101537</v>
      </c>
      <c r="CT68">
        <f t="shared" si="15"/>
        <v>-422.69723641616946</v>
      </c>
      <c r="CU68" s="7">
        <f t="shared" si="16"/>
        <v>-403.15672481973934</v>
      </c>
      <c r="CV68" s="9">
        <f t="shared" si="18"/>
        <v>168.2055</v>
      </c>
      <c r="CW68" t="str">
        <f t="shared" si="17"/>
        <v>CeSi</v>
      </c>
    </row>
    <row r="69" spans="1:101" ht="15.75" thickBot="1" x14ac:dyDescent="0.3">
      <c r="A69" t="s">
        <v>91</v>
      </c>
      <c r="B69" t="s">
        <v>1397</v>
      </c>
      <c r="C69" t="s">
        <v>3144</v>
      </c>
      <c r="E69" t="s">
        <v>3145</v>
      </c>
      <c r="F69" t="s">
        <v>93</v>
      </c>
      <c r="G69" t="s">
        <v>1398</v>
      </c>
      <c r="H69">
        <v>190.5855</v>
      </c>
      <c r="I69">
        <v>540</v>
      </c>
      <c r="J69">
        <v>0</v>
      </c>
      <c r="K69" t="s">
        <v>95</v>
      </c>
      <c r="L69">
        <v>-80.376685600000002</v>
      </c>
      <c r="M69">
        <f t="shared" si="10"/>
        <v>-421.73557589638244</v>
      </c>
      <c r="N69" t="s">
        <v>95</v>
      </c>
      <c r="O69" t="s">
        <v>1399</v>
      </c>
      <c r="P69" t="s">
        <v>93</v>
      </c>
      <c r="Q69">
        <v>0</v>
      </c>
      <c r="R69" t="s">
        <v>95</v>
      </c>
      <c r="S69">
        <v>-80.250818690000003</v>
      </c>
      <c r="T69">
        <f t="shared" si="11"/>
        <v>-421.07515361871708</v>
      </c>
      <c r="U69" t="s">
        <v>95</v>
      </c>
      <c r="V69">
        <v>21014</v>
      </c>
      <c r="W69" t="s">
        <v>358</v>
      </c>
      <c r="X69">
        <v>298</v>
      </c>
      <c r="Y69" t="s">
        <v>359</v>
      </c>
      <c r="Z69">
        <v>-68.900000000000006</v>
      </c>
      <c r="AA69" t="s">
        <v>95</v>
      </c>
      <c r="AB69">
        <f t="shared" si="12"/>
        <v>-361.51753412510396</v>
      </c>
      <c r="AC69" t="s">
        <v>93</v>
      </c>
      <c r="AD69">
        <v>2</v>
      </c>
      <c r="AE69" t="s">
        <v>95</v>
      </c>
      <c r="AF69" t="s">
        <v>93</v>
      </c>
      <c r="BG69">
        <v>0.5</v>
      </c>
      <c r="BX69">
        <v>0.5</v>
      </c>
      <c r="CR69">
        <f t="shared" si="13"/>
        <v>-421.73557589638244</v>
      </c>
      <c r="CS69">
        <f t="shared" si="14"/>
        <v>-421.07515361871708</v>
      </c>
      <c r="CT69">
        <f t="shared" si="15"/>
        <v>-361.51753412510396</v>
      </c>
      <c r="CU69" s="7">
        <f t="shared" si="16"/>
        <v>-401.44275454673448</v>
      </c>
      <c r="CV69" s="9">
        <f t="shared" si="18"/>
        <v>190.5855</v>
      </c>
      <c r="CW69" t="str">
        <f t="shared" si="17"/>
        <v>DySi</v>
      </c>
    </row>
    <row r="70" spans="1:101" ht="15.75" thickBot="1" x14ac:dyDescent="0.3">
      <c r="A70" t="s">
        <v>91</v>
      </c>
      <c r="B70" t="s">
        <v>1442</v>
      </c>
      <c r="C70" t="s">
        <v>3144</v>
      </c>
      <c r="E70" t="s">
        <v>3145</v>
      </c>
      <c r="F70" t="s">
        <v>93</v>
      </c>
      <c r="G70" t="s">
        <v>1443</v>
      </c>
      <c r="H70">
        <v>172.62549999999999</v>
      </c>
      <c r="I70">
        <v>555</v>
      </c>
      <c r="J70">
        <v>0</v>
      </c>
      <c r="K70" t="s">
        <v>95</v>
      </c>
      <c r="L70">
        <v>-66.921501469999995</v>
      </c>
      <c r="M70">
        <f t="shared" si="10"/>
        <v>-387.66869014137541</v>
      </c>
      <c r="N70" t="s">
        <v>95</v>
      </c>
      <c r="O70" t="s">
        <v>1444</v>
      </c>
      <c r="P70" t="s">
        <v>93</v>
      </c>
      <c r="Q70">
        <v>3.9067860000000003E-2</v>
      </c>
      <c r="R70" t="s">
        <v>95</v>
      </c>
      <c r="S70">
        <v>-66.559761679999994</v>
      </c>
      <c r="T70">
        <f t="shared" si="11"/>
        <v>-385.57317244555412</v>
      </c>
      <c r="U70" t="s">
        <v>95</v>
      </c>
      <c r="V70">
        <v>89616</v>
      </c>
      <c r="W70" t="s">
        <v>102</v>
      </c>
      <c r="X70">
        <v>298</v>
      </c>
      <c r="Y70" t="s">
        <v>103</v>
      </c>
      <c r="Z70">
        <v>-73.2</v>
      </c>
      <c r="AA70" t="s">
        <v>95</v>
      </c>
      <c r="AB70">
        <f t="shared" si="12"/>
        <v>-424.03932211637334</v>
      </c>
      <c r="AC70" t="s">
        <v>93</v>
      </c>
      <c r="AD70">
        <v>2.2999999999999998</v>
      </c>
      <c r="AE70" t="s">
        <v>95</v>
      </c>
      <c r="AF70" t="s">
        <v>93</v>
      </c>
      <c r="BF70">
        <v>0.5</v>
      </c>
      <c r="BY70">
        <v>0.5</v>
      </c>
      <c r="CR70">
        <f t="shared" si="13"/>
        <v>-387.66869014137541</v>
      </c>
      <c r="CS70">
        <f t="shared" si="14"/>
        <v>-385.57317244555412</v>
      </c>
      <c r="CT70">
        <f t="shared" si="15"/>
        <v>-424.03932211637334</v>
      </c>
      <c r="CU70" s="7">
        <f t="shared" si="16"/>
        <v>-399.09372823443431</v>
      </c>
      <c r="CV70" s="9">
        <f t="shared" si="18"/>
        <v>172.62549999999999</v>
      </c>
      <c r="CW70" t="str">
        <f t="shared" si="17"/>
        <v>GaRh</v>
      </c>
    </row>
    <row r="71" spans="1:101" ht="15.75" thickBot="1" x14ac:dyDescent="0.3">
      <c r="A71" t="s">
        <v>91</v>
      </c>
      <c r="B71" t="s">
        <v>959</v>
      </c>
      <c r="C71" t="s">
        <v>3144</v>
      </c>
      <c r="E71" t="s">
        <v>3145</v>
      </c>
      <c r="F71" t="s">
        <v>93</v>
      </c>
      <c r="G71" t="s">
        <v>960</v>
      </c>
      <c r="H71">
        <v>283.99590000000001</v>
      </c>
      <c r="I71">
        <v>383</v>
      </c>
      <c r="M71">
        <f t="shared" si="10"/>
        <v>0</v>
      </c>
      <c r="O71" t="s">
        <v>93</v>
      </c>
      <c r="P71" t="s">
        <v>93</v>
      </c>
      <c r="Q71">
        <v>0</v>
      </c>
      <c r="R71" t="s">
        <v>95</v>
      </c>
      <c r="S71">
        <v>-121.60684670000001</v>
      </c>
      <c r="T71">
        <f t="shared" si="11"/>
        <v>-428.19930393361318</v>
      </c>
      <c r="U71" t="s">
        <v>95</v>
      </c>
      <c r="V71">
        <v>30992</v>
      </c>
      <c r="W71" t="s">
        <v>358</v>
      </c>
      <c r="X71">
        <v>298</v>
      </c>
      <c r="Y71" t="s">
        <v>359</v>
      </c>
      <c r="Z71">
        <v>-104</v>
      </c>
      <c r="AA71" t="s">
        <v>95</v>
      </c>
      <c r="AB71">
        <f t="shared" si="12"/>
        <v>-366.20246982438834</v>
      </c>
      <c r="AC71" t="s">
        <v>93</v>
      </c>
      <c r="AD71">
        <v>2.2999999999999998</v>
      </c>
      <c r="AE71" t="s">
        <v>95</v>
      </c>
      <c r="AF71" t="s">
        <v>93</v>
      </c>
      <c r="AG71">
        <v>0.5</v>
      </c>
      <c r="AH71" t="s">
        <v>93</v>
      </c>
      <c r="AI71" t="s">
        <v>93</v>
      </c>
      <c r="AY71">
        <v>0.5</v>
      </c>
      <c r="CR71">
        <f t="shared" si="13"/>
        <v>0</v>
      </c>
      <c r="CS71">
        <f t="shared" si="14"/>
        <v>-428.19930393361318</v>
      </c>
      <c r="CT71">
        <f t="shared" si="15"/>
        <v>-366.20246982438834</v>
      </c>
      <c r="CU71" s="7">
        <f t="shared" si="16"/>
        <v>-397.20088687900079</v>
      </c>
      <c r="CV71" s="9">
        <f t="shared" si="18"/>
        <v>283.99590000000001</v>
      </c>
      <c r="CW71" t="str">
        <f t="shared" si="17"/>
        <v>YPt</v>
      </c>
    </row>
    <row r="72" spans="1:101" ht="15.75" thickBot="1" x14ac:dyDescent="0.3">
      <c r="A72" t="s">
        <v>484</v>
      </c>
      <c r="B72" t="s">
        <v>1652</v>
      </c>
      <c r="C72" t="s">
        <v>3138</v>
      </c>
      <c r="D72" t="s">
        <v>3139</v>
      </c>
      <c r="F72" t="s">
        <v>3140</v>
      </c>
      <c r="G72" t="s">
        <v>1653</v>
      </c>
      <c r="H72">
        <v>107.1125</v>
      </c>
      <c r="I72">
        <v>635</v>
      </c>
      <c r="J72">
        <v>0</v>
      </c>
      <c r="K72" t="s">
        <v>95</v>
      </c>
      <c r="L72">
        <v>-46.893417130000003</v>
      </c>
      <c r="M72">
        <f t="shared" si="10"/>
        <v>-437.79593539502866</v>
      </c>
      <c r="N72" t="s">
        <v>95</v>
      </c>
      <c r="O72" t="s">
        <v>1654</v>
      </c>
      <c r="P72" t="s">
        <v>93</v>
      </c>
      <c r="T72">
        <f t="shared" si="11"/>
        <v>0</v>
      </c>
      <c r="V72" t="s">
        <v>93</v>
      </c>
      <c r="W72" t="s">
        <v>164</v>
      </c>
      <c r="X72">
        <v>298</v>
      </c>
      <c r="Y72" t="s">
        <v>1380</v>
      </c>
      <c r="Z72">
        <v>-37.5</v>
      </c>
      <c r="AA72" t="s">
        <v>95</v>
      </c>
      <c r="AB72">
        <f t="shared" si="12"/>
        <v>-350.09919477185207</v>
      </c>
      <c r="AC72" t="s">
        <v>93</v>
      </c>
      <c r="AD72">
        <v>2</v>
      </c>
      <c r="AE72" t="s">
        <v>95</v>
      </c>
      <c r="AF72" t="s">
        <v>93</v>
      </c>
      <c r="AJ72" t="s">
        <v>93</v>
      </c>
      <c r="AK72" t="s">
        <v>93</v>
      </c>
      <c r="BD72">
        <v>0.33</v>
      </c>
      <c r="BX72">
        <v>0.66</v>
      </c>
      <c r="CR72">
        <f t="shared" si="13"/>
        <v>-437.79593539502866</v>
      </c>
      <c r="CS72">
        <f t="shared" si="14"/>
        <v>0</v>
      </c>
      <c r="CT72">
        <f t="shared" si="15"/>
        <v>-350.09919477185207</v>
      </c>
      <c r="CU72" s="7">
        <f t="shared" si="16"/>
        <v>-393.9475650834404</v>
      </c>
      <c r="CV72" s="9">
        <f t="shared" si="18"/>
        <v>107.1125</v>
      </c>
      <c r="CW72" t="str">
        <f t="shared" si="17"/>
        <v>VSi2</v>
      </c>
    </row>
    <row r="73" spans="1:101" ht="15.75" thickBot="1" x14ac:dyDescent="0.3">
      <c r="A73" t="s">
        <v>91</v>
      </c>
      <c r="B73" t="s">
        <v>2627</v>
      </c>
      <c r="C73" t="s">
        <v>3144</v>
      </c>
      <c r="E73" t="s">
        <v>3145</v>
      </c>
      <c r="F73" t="s">
        <v>93</v>
      </c>
      <c r="G73" t="s">
        <v>919</v>
      </c>
      <c r="H73">
        <v>154.30000000000001</v>
      </c>
      <c r="I73">
        <v>1072</v>
      </c>
      <c r="M73">
        <f t="shared" si="10"/>
        <v>0</v>
      </c>
      <c r="O73" t="s">
        <v>93</v>
      </c>
      <c r="P73" t="s">
        <v>2628</v>
      </c>
      <c r="T73">
        <f t="shared" si="11"/>
        <v>0</v>
      </c>
      <c r="V73" t="s">
        <v>93</v>
      </c>
      <c r="W73" t="s">
        <v>93</v>
      </c>
      <c r="X73">
        <v>298</v>
      </c>
      <c r="Y73" t="s">
        <v>93</v>
      </c>
      <c r="Z73">
        <v>-60.3</v>
      </c>
      <c r="AA73" t="s">
        <v>95</v>
      </c>
      <c r="AB73">
        <f t="shared" si="12"/>
        <v>-390.79714841218401</v>
      </c>
      <c r="AC73" t="s">
        <v>93</v>
      </c>
      <c r="AD73">
        <v>2.5</v>
      </c>
      <c r="AE73" t="s">
        <v>95</v>
      </c>
      <c r="AF73" t="s">
        <v>93</v>
      </c>
      <c r="AH73" t="s">
        <v>93</v>
      </c>
      <c r="AI73" t="s">
        <v>93</v>
      </c>
      <c r="AJ73" t="s">
        <v>93</v>
      </c>
      <c r="AK73" t="s">
        <v>93</v>
      </c>
      <c r="AZ73">
        <v>0.5</v>
      </c>
      <c r="BA73">
        <v>0.5</v>
      </c>
      <c r="CR73">
        <f t="shared" si="13"/>
        <v>0</v>
      </c>
      <c r="CS73">
        <f t="shared" si="14"/>
        <v>0</v>
      </c>
      <c r="CT73">
        <f t="shared" si="15"/>
        <v>-390.79714841218401</v>
      </c>
      <c r="CU73" s="7">
        <f t="shared" si="16"/>
        <v>-390.79714841218401</v>
      </c>
      <c r="CV73" s="9">
        <f t="shared" si="18"/>
        <v>154.30000000000001</v>
      </c>
      <c r="CW73" t="str">
        <f t="shared" si="17"/>
        <v>TiPd</v>
      </c>
    </row>
    <row r="74" spans="1:101" ht="15.75" thickBot="1" x14ac:dyDescent="0.3">
      <c r="A74" t="s">
        <v>91</v>
      </c>
      <c r="B74" t="s">
        <v>1440</v>
      </c>
      <c r="C74" t="s">
        <v>3144</v>
      </c>
      <c r="E74" t="s">
        <v>3145</v>
      </c>
      <c r="F74" t="s">
        <v>93</v>
      </c>
      <c r="G74" t="s">
        <v>1441</v>
      </c>
      <c r="H74">
        <v>176.12</v>
      </c>
      <c r="I74">
        <v>554</v>
      </c>
      <c r="M74">
        <f t="shared" si="10"/>
        <v>0</v>
      </c>
      <c r="O74" t="s">
        <v>93</v>
      </c>
      <c r="P74" t="s">
        <v>93</v>
      </c>
      <c r="Q74">
        <v>0</v>
      </c>
      <c r="R74" t="s">
        <v>95</v>
      </c>
      <c r="S74">
        <v>-63.587114810000003</v>
      </c>
      <c r="T74">
        <f t="shared" si="11"/>
        <v>-361.04425851692025</v>
      </c>
      <c r="U74" t="s">
        <v>95</v>
      </c>
      <c r="V74">
        <v>23801</v>
      </c>
      <c r="W74" t="s">
        <v>391</v>
      </c>
      <c r="X74">
        <v>298</v>
      </c>
      <c r="Y74" t="s">
        <v>1108</v>
      </c>
      <c r="Z74">
        <v>-71.599999999999994</v>
      </c>
      <c r="AA74" t="s">
        <v>95</v>
      </c>
      <c r="AB74">
        <f t="shared" si="12"/>
        <v>-406.54099477628881</v>
      </c>
      <c r="AC74" t="s">
        <v>93</v>
      </c>
      <c r="AD74">
        <v>2.2999999999999998</v>
      </c>
      <c r="AE74" t="s">
        <v>95</v>
      </c>
      <c r="AF74" t="s">
        <v>93</v>
      </c>
      <c r="AH74" t="s">
        <v>93</v>
      </c>
      <c r="AI74" t="s">
        <v>93</v>
      </c>
      <c r="AZ74">
        <v>0.5</v>
      </c>
      <c r="BY74">
        <v>0.5</v>
      </c>
      <c r="CR74">
        <f t="shared" si="13"/>
        <v>0</v>
      </c>
      <c r="CS74">
        <f t="shared" si="14"/>
        <v>-361.04425851692025</v>
      </c>
      <c r="CT74">
        <f t="shared" si="15"/>
        <v>-406.54099477628881</v>
      </c>
      <c r="CU74" s="7">
        <f t="shared" si="16"/>
        <v>-383.7926266466045</v>
      </c>
      <c r="CV74" s="9">
        <f t="shared" si="18"/>
        <v>176.12</v>
      </c>
      <c r="CW74" t="str">
        <f t="shared" si="17"/>
        <v>GaPd</v>
      </c>
    </row>
    <row r="75" spans="1:101" ht="15.75" thickBot="1" x14ac:dyDescent="0.3">
      <c r="A75" t="s">
        <v>91</v>
      </c>
      <c r="B75" t="s">
        <v>1501</v>
      </c>
      <c r="C75" t="s">
        <v>3144</v>
      </c>
      <c r="E75" t="s">
        <v>3145</v>
      </c>
      <c r="F75" t="s">
        <v>93</v>
      </c>
      <c r="G75" t="s">
        <v>1502</v>
      </c>
      <c r="H75">
        <v>203.05250000000001</v>
      </c>
      <c r="I75">
        <v>577</v>
      </c>
      <c r="J75">
        <v>0</v>
      </c>
      <c r="K75" t="s">
        <v>95</v>
      </c>
      <c r="L75">
        <v>-76.678412929999993</v>
      </c>
      <c r="M75">
        <f t="shared" si="10"/>
        <v>-377.62850952339909</v>
      </c>
      <c r="N75" t="s">
        <v>95</v>
      </c>
      <c r="O75" t="s">
        <v>1503</v>
      </c>
      <c r="P75" t="s">
        <v>93</v>
      </c>
      <c r="Q75">
        <v>0</v>
      </c>
      <c r="R75" t="s">
        <v>95</v>
      </c>
      <c r="S75">
        <v>-76.828508360000001</v>
      </c>
      <c r="T75">
        <f t="shared" si="11"/>
        <v>-378.36770470691079</v>
      </c>
      <c r="U75" t="s">
        <v>95</v>
      </c>
      <c r="V75">
        <v>31331</v>
      </c>
      <c r="W75" t="s">
        <v>430</v>
      </c>
      <c r="X75">
        <v>298</v>
      </c>
      <c r="Y75" t="s">
        <v>147</v>
      </c>
      <c r="Z75">
        <v>-78.3</v>
      </c>
      <c r="AA75" t="s">
        <v>95</v>
      </c>
      <c r="AB75">
        <f t="shared" si="12"/>
        <v>-385.61455781140342</v>
      </c>
      <c r="AC75" t="s">
        <v>93</v>
      </c>
      <c r="AD75">
        <v>2.1</v>
      </c>
      <c r="AE75" t="s">
        <v>95</v>
      </c>
      <c r="AF75" t="s">
        <v>93</v>
      </c>
      <c r="BL75">
        <v>0.5</v>
      </c>
      <c r="BX75">
        <v>0.5</v>
      </c>
      <c r="CR75">
        <f t="shared" si="13"/>
        <v>-377.62850952339909</v>
      </c>
      <c r="CS75">
        <f t="shared" si="14"/>
        <v>-378.36770470691079</v>
      </c>
      <c r="CT75">
        <f t="shared" si="15"/>
        <v>-385.61455781140342</v>
      </c>
      <c r="CU75" s="7">
        <f t="shared" si="16"/>
        <v>-380.53692401390441</v>
      </c>
      <c r="CV75" s="9">
        <f t="shared" si="18"/>
        <v>203.05250000000001</v>
      </c>
      <c r="CW75" t="str">
        <f t="shared" si="17"/>
        <v>LuSi</v>
      </c>
    </row>
    <row r="76" spans="1:101" ht="15.75" thickBot="1" x14ac:dyDescent="0.3">
      <c r="A76" t="s">
        <v>91</v>
      </c>
      <c r="B76" t="s">
        <v>1381</v>
      </c>
      <c r="C76" t="s">
        <v>3144</v>
      </c>
      <c r="E76" t="s">
        <v>3145</v>
      </c>
      <c r="F76" t="s">
        <v>93</v>
      </c>
      <c r="G76" t="s">
        <v>1382</v>
      </c>
      <c r="H76">
        <v>80.081500000000005</v>
      </c>
      <c r="I76">
        <v>534</v>
      </c>
      <c r="J76">
        <v>6.6262360400000002</v>
      </c>
      <c r="K76" t="s">
        <v>95</v>
      </c>
      <c r="L76">
        <v>-28.484683870000001</v>
      </c>
      <c r="M76">
        <f t="shared" si="10"/>
        <v>-355.69618288868213</v>
      </c>
      <c r="N76" t="s">
        <v>95</v>
      </c>
      <c r="O76" t="s">
        <v>1383</v>
      </c>
      <c r="P76" t="s">
        <v>93</v>
      </c>
      <c r="Q76">
        <v>7.6288822400000003</v>
      </c>
      <c r="R76" t="s">
        <v>95</v>
      </c>
      <c r="S76">
        <v>-27.832130240000001</v>
      </c>
      <c r="T76">
        <f t="shared" si="11"/>
        <v>-347.54756391925724</v>
      </c>
      <c r="U76" t="s">
        <v>95</v>
      </c>
      <c r="V76">
        <v>3602</v>
      </c>
      <c r="W76" t="s">
        <v>391</v>
      </c>
      <c r="X76">
        <v>298</v>
      </c>
      <c r="Y76" t="s">
        <v>1108</v>
      </c>
      <c r="Z76">
        <v>-34.200000000000003</v>
      </c>
      <c r="AA76" t="s">
        <v>95</v>
      </c>
      <c r="AB76">
        <f t="shared" si="12"/>
        <v>-427.06492760500242</v>
      </c>
      <c r="AC76" t="s">
        <v>93</v>
      </c>
      <c r="AD76">
        <v>1.6</v>
      </c>
      <c r="AE76" t="s">
        <v>95</v>
      </c>
      <c r="AF76" t="s">
        <v>93</v>
      </c>
      <c r="BV76">
        <v>0.5</v>
      </c>
      <c r="BX76">
        <v>0.5</v>
      </c>
      <c r="CR76">
        <f t="shared" si="13"/>
        <v>-355.69618288868213</v>
      </c>
      <c r="CS76">
        <f t="shared" si="14"/>
        <v>-347.54756391925724</v>
      </c>
      <c r="CT76">
        <f t="shared" si="15"/>
        <v>-427.06492760500242</v>
      </c>
      <c r="CU76" s="7">
        <f t="shared" si="16"/>
        <v>-376.76955813764727</v>
      </c>
      <c r="CV76" s="9">
        <f t="shared" si="18"/>
        <v>80.081500000000005</v>
      </c>
      <c r="CW76" t="str">
        <f t="shared" si="17"/>
        <v>CrSi</v>
      </c>
    </row>
    <row r="77" spans="1:101" ht="15.75" thickBot="1" x14ac:dyDescent="0.3">
      <c r="A77" t="s">
        <v>91</v>
      </c>
      <c r="B77" t="s">
        <v>1658</v>
      </c>
      <c r="C77" t="s">
        <v>3144</v>
      </c>
      <c r="E77" t="s">
        <v>3145</v>
      </c>
      <c r="F77" t="s">
        <v>93</v>
      </c>
      <c r="G77" t="s">
        <v>1659</v>
      </c>
      <c r="H77">
        <v>145.07689999999999</v>
      </c>
      <c r="I77">
        <v>637</v>
      </c>
      <c r="J77">
        <v>3.5573046599999998</v>
      </c>
      <c r="K77" t="s">
        <v>95</v>
      </c>
      <c r="L77">
        <v>-51.136895129999999</v>
      </c>
      <c r="M77">
        <f t="shared" si="10"/>
        <v>-352.48130563859581</v>
      </c>
      <c r="N77" t="s">
        <v>95</v>
      </c>
      <c r="O77" t="s">
        <v>1660</v>
      </c>
      <c r="P77" t="s">
        <v>93</v>
      </c>
      <c r="Q77">
        <v>4.0246686399999998</v>
      </c>
      <c r="R77" t="s">
        <v>95</v>
      </c>
      <c r="S77">
        <v>-50.804572839999999</v>
      </c>
      <c r="T77">
        <f t="shared" si="11"/>
        <v>-350.19064261781165</v>
      </c>
      <c r="U77" t="s">
        <v>95</v>
      </c>
      <c r="V77">
        <v>670808</v>
      </c>
      <c r="W77" t="s">
        <v>510</v>
      </c>
      <c r="X77">
        <v>298</v>
      </c>
      <c r="Y77" t="s">
        <v>170</v>
      </c>
      <c r="Z77">
        <v>-61.8</v>
      </c>
      <c r="AA77" t="s">
        <v>95</v>
      </c>
      <c r="AB77">
        <f t="shared" si="12"/>
        <v>-425.98097974246764</v>
      </c>
      <c r="AC77" t="s">
        <v>93</v>
      </c>
      <c r="AD77">
        <v>1.4</v>
      </c>
      <c r="AE77" t="s">
        <v>95</v>
      </c>
      <c r="AF77" t="s">
        <v>93</v>
      </c>
      <c r="AG77">
        <v>0.33</v>
      </c>
      <c r="BX77">
        <v>0.66</v>
      </c>
      <c r="CR77">
        <f t="shared" si="13"/>
        <v>-352.48130563859581</v>
      </c>
      <c r="CS77">
        <f t="shared" si="14"/>
        <v>-350.19064261781165</v>
      </c>
      <c r="CT77">
        <f t="shared" si="15"/>
        <v>-425.98097974246764</v>
      </c>
      <c r="CU77" s="7">
        <f t="shared" si="16"/>
        <v>-376.21764266629162</v>
      </c>
      <c r="CV77" s="9">
        <f t="shared" si="18"/>
        <v>145.07689999999999</v>
      </c>
      <c r="CW77" t="str">
        <f t="shared" si="17"/>
        <v>YSi2</v>
      </c>
    </row>
    <row r="78" spans="1:101" ht="15.75" thickBot="1" x14ac:dyDescent="0.3">
      <c r="A78" t="s">
        <v>484</v>
      </c>
      <c r="B78" t="s">
        <v>1000</v>
      </c>
      <c r="C78" t="s">
        <v>3138</v>
      </c>
      <c r="D78" t="s">
        <v>3139</v>
      </c>
      <c r="F78" t="s">
        <v>3140</v>
      </c>
      <c r="G78" t="s">
        <v>1001</v>
      </c>
      <c r="H78">
        <v>194.12549999999999</v>
      </c>
      <c r="I78">
        <v>399</v>
      </c>
      <c r="J78">
        <v>6.7076457999999999</v>
      </c>
      <c r="K78" t="s">
        <v>95</v>
      </c>
      <c r="L78">
        <v>-70.522821759999999</v>
      </c>
      <c r="M78">
        <f t="shared" si="10"/>
        <v>-363.2846883073064</v>
      </c>
      <c r="N78" t="s">
        <v>95</v>
      </c>
      <c r="O78" t="s">
        <v>1002</v>
      </c>
      <c r="P78" t="s">
        <v>93</v>
      </c>
      <c r="Q78">
        <v>5.1231746300000003</v>
      </c>
      <c r="R78" t="s">
        <v>95</v>
      </c>
      <c r="S78">
        <v>-72.622798259999996</v>
      </c>
      <c r="T78">
        <f t="shared" si="11"/>
        <v>-374.1023114428553</v>
      </c>
      <c r="U78" t="s">
        <v>95</v>
      </c>
      <c r="V78">
        <v>90794</v>
      </c>
      <c r="W78" t="s">
        <v>102</v>
      </c>
      <c r="X78">
        <v>298</v>
      </c>
      <c r="Y78" t="s">
        <v>103</v>
      </c>
      <c r="Z78">
        <v>-75.900000000000006</v>
      </c>
      <c r="AA78" t="s">
        <v>95</v>
      </c>
      <c r="AB78">
        <f t="shared" si="12"/>
        <v>-390.98418291260043</v>
      </c>
      <c r="AC78" t="s">
        <v>93</v>
      </c>
      <c r="AD78">
        <v>3.6</v>
      </c>
      <c r="AE78" t="s">
        <v>95</v>
      </c>
      <c r="AF78" t="s">
        <v>93</v>
      </c>
      <c r="AP78">
        <v>0.5</v>
      </c>
      <c r="BF78">
        <v>0.5</v>
      </c>
      <c r="CR78">
        <f t="shared" si="13"/>
        <v>-363.2846883073064</v>
      </c>
      <c r="CS78">
        <f t="shared" si="14"/>
        <v>-374.1023114428553</v>
      </c>
      <c r="CT78">
        <f t="shared" si="15"/>
        <v>-390.98418291260043</v>
      </c>
      <c r="CU78" s="7">
        <f t="shared" si="16"/>
        <v>-376.12372755425412</v>
      </c>
      <c r="CV78" s="9">
        <f t="shared" si="18"/>
        <v>194.12549999999999</v>
      </c>
      <c r="CW78" t="str">
        <f t="shared" si="17"/>
        <v>ZrRh</v>
      </c>
    </row>
    <row r="79" spans="1:101" ht="15.75" thickBot="1" x14ac:dyDescent="0.3">
      <c r="A79" t="s">
        <v>91</v>
      </c>
      <c r="B79" t="s">
        <v>1625</v>
      </c>
      <c r="C79" t="s">
        <v>3144</v>
      </c>
      <c r="E79" t="s">
        <v>3145</v>
      </c>
      <c r="F79" t="s">
        <v>93</v>
      </c>
      <c r="G79" t="s">
        <v>1626</v>
      </c>
      <c r="H79">
        <v>187.01089999999999</v>
      </c>
      <c r="I79">
        <v>625</v>
      </c>
      <c r="J79">
        <v>0</v>
      </c>
      <c r="K79" t="s">
        <v>95</v>
      </c>
      <c r="L79">
        <v>-80.239578249999994</v>
      </c>
      <c r="M79">
        <f t="shared" si="10"/>
        <v>-429.06364415122323</v>
      </c>
      <c r="N79" t="s">
        <v>95</v>
      </c>
      <c r="O79" t="s">
        <v>1627</v>
      </c>
      <c r="P79" t="s">
        <v>93</v>
      </c>
      <c r="Q79">
        <v>0</v>
      </c>
      <c r="R79" t="s">
        <v>95</v>
      </c>
      <c r="S79">
        <v>-48.33660613</v>
      </c>
      <c r="T79">
        <f t="shared" si="11"/>
        <v>-258.46945889250304</v>
      </c>
      <c r="U79" t="s">
        <v>95</v>
      </c>
      <c r="V79">
        <v>4359</v>
      </c>
      <c r="W79" t="s">
        <v>358</v>
      </c>
      <c r="X79">
        <v>298</v>
      </c>
      <c r="Y79" t="s">
        <v>359</v>
      </c>
      <c r="Z79">
        <v>-80.900000000000006</v>
      </c>
      <c r="AA79" t="s">
        <v>95</v>
      </c>
      <c r="AB79">
        <f t="shared" si="12"/>
        <v>-432.59510541898896</v>
      </c>
      <c r="AC79" t="s">
        <v>93</v>
      </c>
      <c r="AD79">
        <v>1.8</v>
      </c>
      <c r="AE79" t="s">
        <v>95</v>
      </c>
      <c r="AF79" t="s">
        <v>93</v>
      </c>
      <c r="BK79">
        <v>0.5</v>
      </c>
      <c r="BX79">
        <v>0.5</v>
      </c>
      <c r="CR79">
        <f t="shared" si="13"/>
        <v>-429.06364415122323</v>
      </c>
      <c r="CS79">
        <f t="shared" si="14"/>
        <v>-258.46945889250304</v>
      </c>
      <c r="CT79">
        <f t="shared" si="15"/>
        <v>-432.59510541898896</v>
      </c>
      <c r="CU79" s="7">
        <f t="shared" si="16"/>
        <v>-373.37606948757167</v>
      </c>
      <c r="CV79" s="9">
        <f t="shared" si="18"/>
        <v>187.01089999999999</v>
      </c>
      <c r="CW79" t="str">
        <f t="shared" si="17"/>
        <v>TbSi</v>
      </c>
    </row>
    <row r="80" spans="1:101" ht="15.75" thickBot="1" x14ac:dyDescent="0.3">
      <c r="A80" t="s">
        <v>91</v>
      </c>
      <c r="B80" t="s">
        <v>972</v>
      </c>
      <c r="C80" t="s">
        <v>3144</v>
      </c>
      <c r="E80" t="s">
        <v>3145</v>
      </c>
      <c r="F80" t="s">
        <v>93</v>
      </c>
      <c r="G80" t="s">
        <v>973</v>
      </c>
      <c r="H80">
        <v>242.99</v>
      </c>
      <c r="I80">
        <v>388</v>
      </c>
      <c r="J80">
        <v>0</v>
      </c>
      <c r="K80" t="s">
        <v>95</v>
      </c>
      <c r="L80">
        <v>-89.589727269999997</v>
      </c>
      <c r="M80">
        <f t="shared" si="10"/>
        <v>-368.69717794970984</v>
      </c>
      <c r="N80" t="s">
        <v>95</v>
      </c>
      <c r="O80" t="s">
        <v>975</v>
      </c>
      <c r="P80" t="s">
        <v>93</v>
      </c>
      <c r="T80">
        <f t="shared" si="11"/>
        <v>0</v>
      </c>
      <c r="V80" t="s">
        <v>93</v>
      </c>
      <c r="W80" t="s">
        <v>922</v>
      </c>
      <c r="X80">
        <v>298</v>
      </c>
      <c r="Y80" t="s">
        <v>656</v>
      </c>
      <c r="Z80">
        <v>-90.7</v>
      </c>
      <c r="AA80" t="s">
        <v>95</v>
      </c>
      <c r="AB80">
        <f t="shared" si="12"/>
        <v>-373.26638956335654</v>
      </c>
      <c r="AC80" t="s">
        <v>93</v>
      </c>
      <c r="AD80">
        <v>2.8</v>
      </c>
      <c r="AE80" t="s">
        <v>95</v>
      </c>
      <c r="AF80" t="s">
        <v>93</v>
      </c>
      <c r="AJ80" t="s">
        <v>93</v>
      </c>
      <c r="AK80" t="s">
        <v>93</v>
      </c>
      <c r="AY80">
        <v>0.5</v>
      </c>
      <c r="BA80">
        <v>0.5</v>
      </c>
      <c r="CR80">
        <f t="shared" si="13"/>
        <v>-368.69717794970984</v>
      </c>
      <c r="CS80">
        <f t="shared" si="14"/>
        <v>0</v>
      </c>
      <c r="CT80">
        <f t="shared" si="15"/>
        <v>-373.26638956335654</v>
      </c>
      <c r="CU80" s="7">
        <f t="shared" si="16"/>
        <v>-370.98178375653322</v>
      </c>
      <c r="CV80" s="9">
        <f t="shared" si="18"/>
        <v>242.99</v>
      </c>
      <c r="CW80" t="str">
        <f t="shared" si="17"/>
        <v>TiPt</v>
      </c>
    </row>
    <row r="81" spans="1:101" ht="15.75" thickBot="1" x14ac:dyDescent="0.3">
      <c r="A81" t="s">
        <v>91</v>
      </c>
      <c r="B81" t="s">
        <v>1472</v>
      </c>
      <c r="C81" t="s">
        <v>3144</v>
      </c>
      <c r="E81" t="s">
        <v>3145</v>
      </c>
      <c r="F81" t="s">
        <v>93</v>
      </c>
      <c r="G81" t="s">
        <v>1473</v>
      </c>
      <c r="H81">
        <v>206.57550000000001</v>
      </c>
      <c r="I81">
        <v>566</v>
      </c>
      <c r="J81">
        <v>0</v>
      </c>
      <c r="K81" t="s">
        <v>95</v>
      </c>
      <c r="L81">
        <v>-79.187905459999996</v>
      </c>
      <c r="M81">
        <f t="shared" si="10"/>
        <v>-383.33638529254432</v>
      </c>
      <c r="N81" t="s">
        <v>95</v>
      </c>
      <c r="O81" t="s">
        <v>1474</v>
      </c>
      <c r="P81" t="s">
        <v>93</v>
      </c>
      <c r="Q81">
        <v>0</v>
      </c>
      <c r="R81" t="s">
        <v>95</v>
      </c>
      <c r="S81">
        <v>-79.130161040000004</v>
      </c>
      <c r="T81">
        <f t="shared" si="11"/>
        <v>-383.05685349908384</v>
      </c>
      <c r="U81" t="s">
        <v>95</v>
      </c>
      <c r="V81">
        <v>647082</v>
      </c>
      <c r="W81" t="s">
        <v>358</v>
      </c>
      <c r="X81">
        <v>298</v>
      </c>
      <c r="Y81" t="s">
        <v>359</v>
      </c>
      <c r="Z81">
        <v>-70.900000000000006</v>
      </c>
      <c r="AA81" t="s">
        <v>95</v>
      </c>
      <c r="AB81">
        <f t="shared" si="12"/>
        <v>-343.2159186350753</v>
      </c>
      <c r="AC81" t="s">
        <v>93</v>
      </c>
      <c r="AD81">
        <v>2</v>
      </c>
      <c r="AE81" t="s">
        <v>95</v>
      </c>
      <c r="AF81" t="s">
        <v>93</v>
      </c>
      <c r="AQ81">
        <v>0.5</v>
      </c>
      <c r="BX81">
        <v>0.5</v>
      </c>
      <c r="CR81">
        <f t="shared" si="13"/>
        <v>-383.33638529254432</v>
      </c>
      <c r="CS81">
        <f t="shared" si="14"/>
        <v>-383.05685349908384</v>
      </c>
      <c r="CT81">
        <f t="shared" si="15"/>
        <v>-343.2159186350753</v>
      </c>
      <c r="CU81" s="7">
        <f t="shared" si="16"/>
        <v>-369.86971914223449</v>
      </c>
      <c r="CV81" s="9">
        <f t="shared" si="18"/>
        <v>206.57550000000001</v>
      </c>
      <c r="CW81" t="str">
        <f t="shared" si="17"/>
        <v>HfSi</v>
      </c>
    </row>
    <row r="82" spans="1:101" ht="15.75" thickBot="1" x14ac:dyDescent="0.3">
      <c r="A82" t="s">
        <v>91</v>
      </c>
      <c r="B82" t="s">
        <v>467</v>
      </c>
      <c r="C82" t="s">
        <v>3144</v>
      </c>
      <c r="E82" t="s">
        <v>3145</v>
      </c>
      <c r="F82" t="s">
        <v>93</v>
      </c>
      <c r="G82" t="s">
        <v>468</v>
      </c>
      <c r="H82">
        <v>106.83320000000001</v>
      </c>
      <c r="I82">
        <v>191</v>
      </c>
      <c r="J82">
        <v>0</v>
      </c>
      <c r="K82" t="s">
        <v>95</v>
      </c>
      <c r="L82">
        <v>-37.629397349999998</v>
      </c>
      <c r="M82">
        <f t="shared" si="10"/>
        <v>-352.22568780117035</v>
      </c>
      <c r="N82" t="s">
        <v>95</v>
      </c>
      <c r="O82" t="s">
        <v>469</v>
      </c>
      <c r="P82" t="s">
        <v>93</v>
      </c>
      <c r="Q82">
        <v>0.97601731000000003</v>
      </c>
      <c r="R82" t="s">
        <v>95</v>
      </c>
      <c r="S82">
        <v>-39.528908370000003</v>
      </c>
      <c r="T82">
        <f t="shared" si="11"/>
        <v>-370.00584434426753</v>
      </c>
      <c r="U82" t="s">
        <v>95</v>
      </c>
      <c r="V82">
        <v>18811</v>
      </c>
      <c r="W82" t="s">
        <v>102</v>
      </c>
      <c r="X82">
        <v>298</v>
      </c>
      <c r="Y82" t="s">
        <v>103</v>
      </c>
      <c r="Z82">
        <v>-41.3</v>
      </c>
      <c r="AA82" t="s">
        <v>95</v>
      </c>
      <c r="AB82">
        <f t="shared" si="12"/>
        <v>-386.58394581459692</v>
      </c>
      <c r="AC82" t="s">
        <v>93</v>
      </c>
      <c r="AD82">
        <v>0.9</v>
      </c>
      <c r="AE82" t="s">
        <v>95</v>
      </c>
      <c r="AF82" t="s">
        <v>93</v>
      </c>
      <c r="AW82">
        <v>0.5</v>
      </c>
      <c r="BA82">
        <v>0.5</v>
      </c>
      <c r="CR82">
        <f t="shared" si="13"/>
        <v>-352.22568780117035</v>
      </c>
      <c r="CS82">
        <f t="shared" si="14"/>
        <v>-370.00584434426753</v>
      </c>
      <c r="CT82">
        <f t="shared" si="15"/>
        <v>-386.58394581459692</v>
      </c>
      <c r="CU82" s="7">
        <f t="shared" si="16"/>
        <v>-369.60515932001158</v>
      </c>
      <c r="CV82" s="9">
        <f t="shared" si="18"/>
        <v>106.83320000000001</v>
      </c>
      <c r="CW82" t="str">
        <f t="shared" si="17"/>
        <v>TiCo</v>
      </c>
    </row>
    <row r="83" spans="1:101" ht="15.75" thickBot="1" x14ac:dyDescent="0.3">
      <c r="A83" t="s">
        <v>91</v>
      </c>
      <c r="B83" t="s">
        <v>976</v>
      </c>
      <c r="C83" t="s">
        <v>3144</v>
      </c>
      <c r="E83" t="s">
        <v>3145</v>
      </c>
      <c r="F83" t="s">
        <v>93</v>
      </c>
      <c r="G83" t="s">
        <v>977</v>
      </c>
      <c r="H83">
        <v>286.31</v>
      </c>
      <c r="I83">
        <v>390</v>
      </c>
      <c r="M83">
        <f t="shared" si="10"/>
        <v>0</v>
      </c>
      <c r="O83" t="s">
        <v>93</v>
      </c>
      <c r="P83" t="s">
        <v>93</v>
      </c>
      <c r="Q83">
        <v>0</v>
      </c>
      <c r="R83" t="s">
        <v>95</v>
      </c>
      <c r="S83">
        <v>-104.78659949999999</v>
      </c>
      <c r="T83">
        <f t="shared" si="11"/>
        <v>-365.99000908106598</v>
      </c>
      <c r="U83" t="s">
        <v>95</v>
      </c>
      <c r="V83">
        <v>30995</v>
      </c>
      <c r="W83" t="s">
        <v>430</v>
      </c>
      <c r="X83">
        <v>298</v>
      </c>
      <c r="Y83" t="s">
        <v>147</v>
      </c>
      <c r="Z83">
        <v>-104.1</v>
      </c>
      <c r="AA83" t="s">
        <v>95</v>
      </c>
      <c r="AB83">
        <f t="shared" si="12"/>
        <v>-363.59191086584468</v>
      </c>
      <c r="AC83" t="s">
        <v>93</v>
      </c>
      <c r="AD83">
        <v>1.8</v>
      </c>
      <c r="AE83" t="s">
        <v>95</v>
      </c>
      <c r="AF83" t="s">
        <v>93</v>
      </c>
      <c r="AH83" t="s">
        <v>93</v>
      </c>
      <c r="AI83" t="s">
        <v>93</v>
      </c>
      <c r="AP83">
        <v>0.5</v>
      </c>
      <c r="AY83">
        <v>0.5</v>
      </c>
      <c r="CR83">
        <f t="shared" si="13"/>
        <v>0</v>
      </c>
      <c r="CS83">
        <f t="shared" si="14"/>
        <v>-365.99000908106598</v>
      </c>
      <c r="CT83">
        <f t="shared" si="15"/>
        <v>-363.59191086584468</v>
      </c>
      <c r="CU83" s="7">
        <f t="shared" si="16"/>
        <v>-364.7909599734553</v>
      </c>
      <c r="CV83" s="9">
        <f t="shared" si="18"/>
        <v>286.31</v>
      </c>
      <c r="CW83" t="str">
        <f t="shared" si="17"/>
        <v>ZrPt</v>
      </c>
    </row>
    <row r="84" spans="1:101" ht="15.75" thickBot="1" x14ac:dyDescent="0.3">
      <c r="A84" t="s">
        <v>91</v>
      </c>
      <c r="B84" t="s">
        <v>1367</v>
      </c>
      <c r="C84" t="s">
        <v>3144</v>
      </c>
      <c r="E84" t="s">
        <v>3145</v>
      </c>
      <c r="F84" t="s">
        <v>93</v>
      </c>
      <c r="G84" t="s">
        <v>1368</v>
      </c>
      <c r="H84">
        <v>115.104199999999</v>
      </c>
      <c r="I84">
        <v>530</v>
      </c>
      <c r="J84">
        <v>0</v>
      </c>
      <c r="K84" t="s">
        <v>95</v>
      </c>
      <c r="L84">
        <v>-45.166051410000001</v>
      </c>
      <c r="M84">
        <f t="shared" si="10"/>
        <v>-392.39273119486859</v>
      </c>
      <c r="N84" t="s">
        <v>95</v>
      </c>
      <c r="O84" t="s">
        <v>1369</v>
      </c>
      <c r="P84" t="s">
        <v>121</v>
      </c>
      <c r="Q84">
        <v>0</v>
      </c>
      <c r="R84" t="s">
        <v>95</v>
      </c>
      <c r="S84">
        <v>-45.808605010000001</v>
      </c>
      <c r="T84">
        <f t="shared" si="11"/>
        <v>-397.97509569590335</v>
      </c>
      <c r="U84" t="s">
        <v>95</v>
      </c>
      <c r="V84">
        <v>5256</v>
      </c>
      <c r="W84" t="s">
        <v>1370</v>
      </c>
      <c r="X84">
        <v>298</v>
      </c>
      <c r="Y84" t="s">
        <v>185</v>
      </c>
      <c r="Z84">
        <v>-34.9</v>
      </c>
      <c r="AA84" t="s">
        <v>95</v>
      </c>
      <c r="AB84">
        <f t="shared" si="12"/>
        <v>-303.20353210395712</v>
      </c>
      <c r="AC84" t="s">
        <v>93</v>
      </c>
      <c r="AD84">
        <v>1.1000000000000001</v>
      </c>
      <c r="AE84" t="s">
        <v>95</v>
      </c>
      <c r="AF84" t="s">
        <v>93</v>
      </c>
      <c r="AW84">
        <v>0.33</v>
      </c>
      <c r="BX84">
        <v>0.66</v>
      </c>
      <c r="CR84">
        <f t="shared" si="13"/>
        <v>-392.39273119486859</v>
      </c>
      <c r="CS84">
        <f t="shared" si="14"/>
        <v>-397.97509569590335</v>
      </c>
      <c r="CT84">
        <f t="shared" si="15"/>
        <v>-303.20353210395712</v>
      </c>
      <c r="CU84" s="7">
        <f t="shared" si="16"/>
        <v>-364.52378633157633</v>
      </c>
      <c r="CV84" s="9">
        <f t="shared" si="18"/>
        <v>115.104199999999</v>
      </c>
      <c r="CW84" t="str">
        <f t="shared" si="17"/>
        <v>CoSi2</v>
      </c>
    </row>
    <row r="85" spans="1:101" ht="15.75" thickBot="1" x14ac:dyDescent="0.3">
      <c r="A85" t="s">
        <v>91</v>
      </c>
      <c r="B85" t="s">
        <v>220</v>
      </c>
      <c r="C85" t="s">
        <v>3144</v>
      </c>
      <c r="E85" t="s">
        <v>3145</v>
      </c>
      <c r="F85" t="s">
        <v>93</v>
      </c>
      <c r="G85" t="s">
        <v>221</v>
      </c>
      <c r="H85">
        <v>82.828540000000004</v>
      </c>
      <c r="I85">
        <v>50</v>
      </c>
      <c r="J85">
        <v>0</v>
      </c>
      <c r="K85" t="s">
        <v>95</v>
      </c>
      <c r="L85">
        <v>-32.037694449999996</v>
      </c>
      <c r="M85">
        <f t="shared" si="10"/>
        <v>-386.79535399271793</v>
      </c>
      <c r="N85" t="s">
        <v>95</v>
      </c>
      <c r="O85" t="s">
        <v>222</v>
      </c>
      <c r="P85" t="s">
        <v>93</v>
      </c>
      <c r="Q85">
        <v>1.8814999999999999E-4</v>
      </c>
      <c r="R85" t="s">
        <v>95</v>
      </c>
      <c r="S85">
        <v>-32.00954583</v>
      </c>
      <c r="T85">
        <f t="shared" si="11"/>
        <v>-386.45551195276414</v>
      </c>
      <c r="U85" t="s">
        <v>95</v>
      </c>
      <c r="V85">
        <v>54708</v>
      </c>
      <c r="W85" t="s">
        <v>102</v>
      </c>
      <c r="X85">
        <v>298</v>
      </c>
      <c r="Y85" t="s">
        <v>103</v>
      </c>
      <c r="Z85">
        <v>-26.5</v>
      </c>
      <c r="AA85" t="s">
        <v>95</v>
      </c>
      <c r="AB85">
        <f t="shared" si="12"/>
        <v>-319.93803102167442</v>
      </c>
      <c r="AC85" t="s">
        <v>93</v>
      </c>
      <c r="AD85">
        <v>1.1000000000000001</v>
      </c>
      <c r="AE85" t="s">
        <v>95</v>
      </c>
      <c r="AF85" t="s">
        <v>93</v>
      </c>
      <c r="AR85">
        <v>0.5</v>
      </c>
      <c r="AT85">
        <v>0.5</v>
      </c>
      <c r="CR85">
        <f t="shared" si="13"/>
        <v>-386.79535399271793</v>
      </c>
      <c r="CS85">
        <f t="shared" si="14"/>
        <v>-386.45551195276414</v>
      </c>
      <c r="CT85">
        <f t="shared" si="15"/>
        <v>-319.93803102167442</v>
      </c>
      <c r="CU85" s="7">
        <f t="shared" si="16"/>
        <v>-364.39629898905213</v>
      </c>
      <c r="CV85" s="9">
        <f t="shared" si="18"/>
        <v>82.828540000000004</v>
      </c>
      <c r="CW85" t="str">
        <f t="shared" si="17"/>
        <v>AlFe</v>
      </c>
    </row>
    <row r="86" spans="1:101" ht="15.75" thickBot="1" x14ac:dyDescent="0.3">
      <c r="A86" t="s">
        <v>91</v>
      </c>
      <c r="B86" t="s">
        <v>1536</v>
      </c>
      <c r="C86" t="s">
        <v>3144</v>
      </c>
      <c r="E86" t="s">
        <v>3145</v>
      </c>
      <c r="F86" t="s">
        <v>93</v>
      </c>
      <c r="G86" t="s">
        <v>1537</v>
      </c>
      <c r="H86">
        <v>145.4855</v>
      </c>
      <c r="I86">
        <v>589</v>
      </c>
      <c r="J86">
        <v>0</v>
      </c>
      <c r="K86" t="s">
        <v>95</v>
      </c>
      <c r="L86">
        <v>-53.317359670000002</v>
      </c>
      <c r="M86">
        <f t="shared" si="10"/>
        <v>-366.47885644961184</v>
      </c>
      <c r="N86" t="s">
        <v>95</v>
      </c>
      <c r="O86" t="s">
        <v>1538</v>
      </c>
      <c r="P86" t="s">
        <v>93</v>
      </c>
      <c r="Q86">
        <v>0</v>
      </c>
      <c r="R86" t="s">
        <v>95</v>
      </c>
      <c r="S86">
        <v>-53.941561870000001</v>
      </c>
      <c r="T86">
        <f t="shared" si="11"/>
        <v>-370.76933350746293</v>
      </c>
      <c r="U86" t="s">
        <v>95</v>
      </c>
      <c r="V86">
        <v>4675</v>
      </c>
      <c r="W86" t="s">
        <v>1085</v>
      </c>
      <c r="X86">
        <v>298</v>
      </c>
      <c r="Y86" t="s">
        <v>359</v>
      </c>
      <c r="Z86">
        <v>-50.6</v>
      </c>
      <c r="AA86" t="s">
        <v>95</v>
      </c>
      <c r="AB86">
        <f t="shared" si="12"/>
        <v>-347.80098360317692</v>
      </c>
      <c r="AC86" t="s">
        <v>93</v>
      </c>
      <c r="AD86">
        <v>1.7</v>
      </c>
      <c r="AE86" t="s">
        <v>95</v>
      </c>
      <c r="AF86" t="s">
        <v>93</v>
      </c>
      <c r="AS86">
        <v>0.66</v>
      </c>
      <c r="BX86">
        <v>0.33</v>
      </c>
      <c r="CR86">
        <f t="shared" si="13"/>
        <v>-366.47885644961184</v>
      </c>
      <c r="CS86">
        <f t="shared" si="14"/>
        <v>-370.76933350746293</v>
      </c>
      <c r="CT86">
        <f t="shared" si="15"/>
        <v>-347.80098360317692</v>
      </c>
      <c r="CU86" s="7">
        <f t="shared" si="16"/>
        <v>-361.68305785341727</v>
      </c>
      <c r="CV86" s="9">
        <f t="shared" si="18"/>
        <v>145.4855</v>
      </c>
      <c r="CW86" t="str">
        <f t="shared" si="17"/>
        <v>SiNi2</v>
      </c>
    </row>
    <row r="87" spans="1:101" ht="15.75" thickBot="1" x14ac:dyDescent="0.3">
      <c r="A87" t="s">
        <v>91</v>
      </c>
      <c r="B87" t="s">
        <v>467</v>
      </c>
      <c r="C87" t="s">
        <v>3144</v>
      </c>
      <c r="E87" t="s">
        <v>3145</v>
      </c>
      <c r="G87" t="s">
        <v>468</v>
      </c>
      <c r="H87">
        <v>106.83320000000001</v>
      </c>
      <c r="I87">
        <v>763</v>
      </c>
      <c r="J87">
        <v>0</v>
      </c>
      <c r="K87" t="s">
        <v>95</v>
      </c>
      <c r="L87">
        <v>-37.629397349999998</v>
      </c>
      <c r="M87">
        <f t="shared" si="10"/>
        <v>-352.22568780117035</v>
      </c>
      <c r="N87" t="s">
        <v>95</v>
      </c>
      <c r="O87" t="s">
        <v>469</v>
      </c>
      <c r="P87" t="s">
        <v>93</v>
      </c>
      <c r="Q87">
        <v>0.97601731000000003</v>
      </c>
      <c r="R87" t="s">
        <v>95</v>
      </c>
      <c r="S87">
        <v>-39.528908370000003</v>
      </c>
      <c r="T87">
        <f t="shared" si="11"/>
        <v>-370.00584434426753</v>
      </c>
      <c r="U87" t="s">
        <v>95</v>
      </c>
      <c r="V87">
        <v>18811</v>
      </c>
      <c r="W87" t="s">
        <v>102</v>
      </c>
      <c r="X87">
        <v>1490</v>
      </c>
      <c r="Y87" t="s">
        <v>103</v>
      </c>
      <c r="AB87">
        <f t="shared" si="12"/>
        <v>0</v>
      </c>
      <c r="AC87" t="s">
        <v>93</v>
      </c>
      <c r="AD87">
        <v>0.5</v>
      </c>
      <c r="AE87" t="s">
        <v>95</v>
      </c>
      <c r="AF87" t="s">
        <v>93</v>
      </c>
      <c r="AW87">
        <v>0.5</v>
      </c>
      <c r="BA87">
        <v>0.5</v>
      </c>
      <c r="CG87">
        <v>-44.3</v>
      </c>
      <c r="CH87" t="s">
        <v>95</v>
      </c>
      <c r="CI87" t="s">
        <v>93</v>
      </c>
      <c r="CR87">
        <f t="shared" si="13"/>
        <v>-352.22568780117035</v>
      </c>
      <c r="CS87">
        <f t="shared" si="14"/>
        <v>-370.00584434426753</v>
      </c>
      <c r="CT87">
        <f t="shared" si="15"/>
        <v>0</v>
      </c>
      <c r="CU87" s="7">
        <f t="shared" si="16"/>
        <v>-361.11576607271894</v>
      </c>
      <c r="CV87" s="9">
        <f t="shared" si="18"/>
        <v>106.83320000000001</v>
      </c>
      <c r="CW87" t="str">
        <f t="shared" si="17"/>
        <v>TiCo</v>
      </c>
    </row>
    <row r="88" spans="1:101" ht="15.75" thickBot="1" x14ac:dyDescent="0.3">
      <c r="A88" t="s">
        <v>91</v>
      </c>
      <c r="B88" t="s">
        <v>1148</v>
      </c>
      <c r="C88" t="s">
        <v>3144</v>
      </c>
      <c r="E88" t="s">
        <v>3145</v>
      </c>
      <c r="F88" t="s">
        <v>93</v>
      </c>
      <c r="G88" t="s">
        <v>1149</v>
      </c>
      <c r="H88">
        <v>145.18307999999999</v>
      </c>
      <c r="I88">
        <v>453</v>
      </c>
      <c r="J88">
        <v>0</v>
      </c>
      <c r="K88" t="s">
        <v>95</v>
      </c>
      <c r="L88">
        <v>-51.919572410000001</v>
      </c>
      <c r="M88">
        <f t="shared" si="10"/>
        <v>-357.61448517279013</v>
      </c>
      <c r="N88" t="s">
        <v>95</v>
      </c>
      <c r="O88" t="s">
        <v>1150</v>
      </c>
      <c r="P88" t="s">
        <v>93</v>
      </c>
      <c r="Q88">
        <v>0</v>
      </c>
      <c r="R88" t="s">
        <v>95</v>
      </c>
      <c r="S88">
        <v>-52.115523439999997</v>
      </c>
      <c r="T88">
        <f t="shared" si="11"/>
        <v>-358.96416744981576</v>
      </c>
      <c r="U88" t="s">
        <v>95</v>
      </c>
      <c r="V88">
        <v>9987</v>
      </c>
      <c r="W88" t="s">
        <v>225</v>
      </c>
      <c r="X88">
        <v>298</v>
      </c>
      <c r="Y88" t="s">
        <v>179</v>
      </c>
      <c r="Z88">
        <v>-52.1</v>
      </c>
      <c r="AA88" t="s">
        <v>95</v>
      </c>
      <c r="AB88">
        <f t="shared" si="12"/>
        <v>-358.85724424636811</v>
      </c>
      <c r="AC88" t="s">
        <v>93</v>
      </c>
      <c r="AD88">
        <v>1.6</v>
      </c>
      <c r="AE88" t="s">
        <v>95</v>
      </c>
      <c r="AF88" t="s">
        <v>93</v>
      </c>
      <c r="AP88">
        <v>0.33</v>
      </c>
      <c r="AR88">
        <v>0.66</v>
      </c>
      <c r="CR88">
        <f t="shared" si="13"/>
        <v>-357.61448517279013</v>
      </c>
      <c r="CS88">
        <f t="shared" si="14"/>
        <v>-358.96416744981576</v>
      </c>
      <c r="CT88">
        <f t="shared" si="15"/>
        <v>-358.85724424636811</v>
      </c>
      <c r="CU88" s="7">
        <f t="shared" si="16"/>
        <v>-358.47863228965798</v>
      </c>
      <c r="CV88" s="9">
        <f t="shared" si="18"/>
        <v>145.18307999999999</v>
      </c>
      <c r="CW88" t="str">
        <f t="shared" si="17"/>
        <v>ZrAl2</v>
      </c>
    </row>
    <row r="89" spans="1:101" ht="15.75" thickBot="1" x14ac:dyDescent="0.3">
      <c r="A89" t="s">
        <v>91</v>
      </c>
      <c r="B89" t="s">
        <v>1145</v>
      </c>
      <c r="C89" t="s">
        <v>3144</v>
      </c>
      <c r="E89" t="s">
        <v>3145</v>
      </c>
      <c r="F89" t="s">
        <v>93</v>
      </c>
      <c r="G89" t="s">
        <v>1146</v>
      </c>
      <c r="H89">
        <v>142.86897999999999</v>
      </c>
      <c r="I89">
        <v>452</v>
      </c>
      <c r="J89">
        <v>0</v>
      </c>
      <c r="K89" t="s">
        <v>95</v>
      </c>
      <c r="L89">
        <v>-51.276283390000003</v>
      </c>
      <c r="M89">
        <f t="shared" si="10"/>
        <v>-358.90424492426564</v>
      </c>
      <c r="N89" t="s">
        <v>95</v>
      </c>
      <c r="O89" t="s">
        <v>1147</v>
      </c>
      <c r="P89" t="s">
        <v>93</v>
      </c>
      <c r="Q89">
        <v>0</v>
      </c>
      <c r="R89" t="s">
        <v>95</v>
      </c>
      <c r="S89">
        <v>-51.513654119999998</v>
      </c>
      <c r="T89">
        <f t="shared" si="11"/>
        <v>-360.56570236590198</v>
      </c>
      <c r="U89" t="s">
        <v>95</v>
      </c>
      <c r="V89">
        <v>10612</v>
      </c>
      <c r="W89" t="s">
        <v>159</v>
      </c>
      <c r="X89">
        <v>298</v>
      </c>
      <c r="Y89" t="s">
        <v>160</v>
      </c>
      <c r="Z89">
        <v>-50.4</v>
      </c>
      <c r="AA89" t="s">
        <v>95</v>
      </c>
      <c r="AB89">
        <f t="shared" si="12"/>
        <v>-352.77076941404636</v>
      </c>
      <c r="AC89" t="s">
        <v>93</v>
      </c>
      <c r="AD89">
        <v>1.3</v>
      </c>
      <c r="AE89" t="s">
        <v>95</v>
      </c>
      <c r="AF89" t="s">
        <v>93</v>
      </c>
      <c r="AG89">
        <v>0.33</v>
      </c>
      <c r="AR89">
        <v>0.66</v>
      </c>
      <c r="CR89">
        <f t="shared" si="13"/>
        <v>-358.90424492426564</v>
      </c>
      <c r="CS89">
        <f t="shared" si="14"/>
        <v>-360.56570236590198</v>
      </c>
      <c r="CT89">
        <f t="shared" si="15"/>
        <v>-352.77076941404636</v>
      </c>
      <c r="CU89" s="7">
        <f t="shared" si="16"/>
        <v>-357.41357223473801</v>
      </c>
      <c r="CV89" s="9">
        <f t="shared" si="18"/>
        <v>142.86897999999999</v>
      </c>
      <c r="CW89" t="str">
        <f t="shared" si="17"/>
        <v>YAl2</v>
      </c>
    </row>
    <row r="90" spans="1:101" ht="15.75" thickBot="1" x14ac:dyDescent="0.3">
      <c r="A90" t="s">
        <v>91</v>
      </c>
      <c r="B90" t="s">
        <v>1519</v>
      </c>
      <c r="C90" t="s">
        <v>3144</v>
      </c>
      <c r="E90" t="s">
        <v>3145</v>
      </c>
      <c r="F90" t="s">
        <v>93</v>
      </c>
      <c r="G90" t="s">
        <v>1520</v>
      </c>
      <c r="H90">
        <v>149.07740000000001</v>
      </c>
      <c r="I90">
        <v>583</v>
      </c>
      <c r="J90">
        <v>0</v>
      </c>
      <c r="K90" t="s">
        <v>95</v>
      </c>
      <c r="L90">
        <v>-52.517712660000001</v>
      </c>
      <c r="M90">
        <f t="shared" si="10"/>
        <v>-352.28487121455026</v>
      </c>
      <c r="N90" t="s">
        <v>95</v>
      </c>
      <c r="O90" t="s">
        <v>1521</v>
      </c>
      <c r="P90" t="s">
        <v>93</v>
      </c>
      <c r="T90">
        <f t="shared" si="11"/>
        <v>0</v>
      </c>
      <c r="V90" t="s">
        <v>93</v>
      </c>
      <c r="W90" t="s">
        <v>164</v>
      </c>
      <c r="X90">
        <v>298</v>
      </c>
      <c r="Y90" t="s">
        <v>1380</v>
      </c>
      <c r="Z90">
        <v>-53.7</v>
      </c>
      <c r="AA90" t="s">
        <v>95</v>
      </c>
      <c r="AB90">
        <f t="shared" si="12"/>
        <v>-360.21556587383469</v>
      </c>
      <c r="AC90" t="s">
        <v>93</v>
      </c>
      <c r="AD90">
        <v>1.6</v>
      </c>
      <c r="AE90" t="s">
        <v>95</v>
      </c>
      <c r="AF90" t="s">
        <v>93</v>
      </c>
      <c r="AJ90" t="s">
        <v>93</v>
      </c>
      <c r="AK90" t="s">
        <v>93</v>
      </c>
      <c r="AU90">
        <v>0.33</v>
      </c>
      <c r="BX90">
        <v>0.66</v>
      </c>
      <c r="CR90">
        <f t="shared" si="13"/>
        <v>-352.28487121455026</v>
      </c>
      <c r="CS90">
        <f t="shared" si="14"/>
        <v>0</v>
      </c>
      <c r="CT90">
        <f t="shared" si="15"/>
        <v>-360.21556587383469</v>
      </c>
      <c r="CU90" s="7">
        <f t="shared" si="16"/>
        <v>-356.25021854419248</v>
      </c>
      <c r="CV90" s="9">
        <f t="shared" si="18"/>
        <v>149.07740000000001</v>
      </c>
      <c r="CW90" t="str">
        <f t="shared" si="17"/>
        <v>NbSi2</v>
      </c>
    </row>
    <row r="91" spans="1:101" ht="15.75" thickBot="1" x14ac:dyDescent="0.3">
      <c r="A91" t="s">
        <v>91</v>
      </c>
      <c r="B91" t="s">
        <v>1101</v>
      </c>
      <c r="C91" t="s">
        <v>3144</v>
      </c>
      <c r="E91" t="s">
        <v>3145</v>
      </c>
      <c r="F91" t="s">
        <v>93</v>
      </c>
      <c r="G91" t="s">
        <v>221</v>
      </c>
      <c r="H91">
        <v>82.828540000000004</v>
      </c>
      <c r="I91">
        <v>435</v>
      </c>
      <c r="J91">
        <v>0</v>
      </c>
      <c r="K91" t="s">
        <v>95</v>
      </c>
      <c r="L91">
        <v>-32.037694449999996</v>
      </c>
      <c r="M91">
        <f t="shared" si="10"/>
        <v>-386.79535399271793</v>
      </c>
      <c r="N91" t="s">
        <v>95</v>
      </c>
      <c r="O91" t="s">
        <v>222</v>
      </c>
      <c r="P91" t="s">
        <v>93</v>
      </c>
      <c r="Q91">
        <v>1.8814999999999999E-4</v>
      </c>
      <c r="R91" t="s">
        <v>95</v>
      </c>
      <c r="S91">
        <v>-32.00954583</v>
      </c>
      <c r="T91">
        <f t="shared" si="11"/>
        <v>-386.45551195276414</v>
      </c>
      <c r="U91" t="s">
        <v>95</v>
      </c>
      <c r="V91">
        <v>54708</v>
      </c>
      <c r="W91" t="s">
        <v>102</v>
      </c>
      <c r="X91">
        <v>298</v>
      </c>
      <c r="Y91" t="s">
        <v>103</v>
      </c>
      <c r="Z91">
        <v>-23.5</v>
      </c>
      <c r="AA91" t="s">
        <v>95</v>
      </c>
      <c r="AB91">
        <f t="shared" si="12"/>
        <v>-283.71863128337168</v>
      </c>
      <c r="AC91" t="s">
        <v>93</v>
      </c>
      <c r="AD91">
        <v>1.6</v>
      </c>
      <c r="AE91" t="s">
        <v>95</v>
      </c>
      <c r="AF91" t="s">
        <v>93</v>
      </c>
      <c r="AR91">
        <v>0.5</v>
      </c>
      <c r="AT91">
        <v>0.5</v>
      </c>
      <c r="CR91">
        <f t="shared" si="13"/>
        <v>-386.79535399271793</v>
      </c>
      <c r="CS91">
        <f t="shared" si="14"/>
        <v>-386.45551195276414</v>
      </c>
      <c r="CT91">
        <f t="shared" si="15"/>
        <v>-283.71863128337168</v>
      </c>
      <c r="CU91" s="7">
        <f t="shared" si="16"/>
        <v>-352.32316574295123</v>
      </c>
      <c r="CV91" s="9">
        <f t="shared" si="18"/>
        <v>82.828540000000004</v>
      </c>
      <c r="CW91" t="str">
        <f t="shared" si="17"/>
        <v>AlFe</v>
      </c>
    </row>
    <row r="92" spans="1:101" ht="15.75" thickBot="1" x14ac:dyDescent="0.3">
      <c r="A92" t="s">
        <v>484</v>
      </c>
      <c r="B92" t="s">
        <v>976</v>
      </c>
      <c r="C92" t="s">
        <v>3138</v>
      </c>
      <c r="D92" t="s">
        <v>3139</v>
      </c>
      <c r="F92" t="s">
        <v>3140</v>
      </c>
      <c r="G92" t="s">
        <v>977</v>
      </c>
      <c r="H92">
        <v>286.31</v>
      </c>
      <c r="I92">
        <v>389</v>
      </c>
      <c r="M92">
        <f t="shared" si="10"/>
        <v>0</v>
      </c>
      <c r="O92" t="s">
        <v>93</v>
      </c>
      <c r="P92" t="s">
        <v>93</v>
      </c>
      <c r="Q92">
        <v>0</v>
      </c>
      <c r="R92" t="s">
        <v>95</v>
      </c>
      <c r="S92">
        <v>-104.78659949999999</v>
      </c>
      <c r="T92">
        <f t="shared" si="11"/>
        <v>-365.99000908106598</v>
      </c>
      <c r="U92" t="s">
        <v>95</v>
      </c>
      <c r="V92">
        <v>30995</v>
      </c>
      <c r="W92" t="s">
        <v>430</v>
      </c>
      <c r="X92">
        <v>298</v>
      </c>
      <c r="Y92" t="s">
        <v>147</v>
      </c>
      <c r="Z92">
        <v>-96</v>
      </c>
      <c r="AA92" t="s">
        <v>95</v>
      </c>
      <c r="AB92">
        <f t="shared" si="12"/>
        <v>-335.30089762844472</v>
      </c>
      <c r="AC92" t="s">
        <v>93</v>
      </c>
      <c r="AD92">
        <v>6.2</v>
      </c>
      <c r="AE92" t="s">
        <v>95</v>
      </c>
      <c r="AF92" t="s">
        <v>93</v>
      </c>
      <c r="AH92" t="s">
        <v>93</v>
      </c>
      <c r="AI92" t="s">
        <v>93</v>
      </c>
      <c r="AP92">
        <v>0.5</v>
      </c>
      <c r="AY92">
        <v>0.5</v>
      </c>
      <c r="CR92">
        <f t="shared" si="13"/>
        <v>0</v>
      </c>
      <c r="CS92">
        <f t="shared" si="14"/>
        <v>-365.99000908106598</v>
      </c>
      <c r="CT92">
        <f t="shared" si="15"/>
        <v>-335.30089762844472</v>
      </c>
      <c r="CU92" s="7">
        <f t="shared" si="16"/>
        <v>-350.64545335475532</v>
      </c>
      <c r="CV92" s="9">
        <f t="shared" si="18"/>
        <v>286.31</v>
      </c>
      <c r="CW92" t="str">
        <f t="shared" si="17"/>
        <v>ZrPt</v>
      </c>
    </row>
    <row r="93" spans="1:101" ht="15.75" thickBot="1" x14ac:dyDescent="0.3">
      <c r="A93" t="s">
        <v>91</v>
      </c>
      <c r="B93" t="s">
        <v>2804</v>
      </c>
      <c r="C93" t="s">
        <v>3144</v>
      </c>
      <c r="E93" t="s">
        <v>3145</v>
      </c>
      <c r="F93" t="s">
        <v>93</v>
      </c>
      <c r="G93" t="s">
        <v>2805</v>
      </c>
      <c r="H93">
        <v>280.69254000000001</v>
      </c>
      <c r="I93">
        <v>1146</v>
      </c>
      <c r="M93">
        <f t="shared" si="10"/>
        <v>0</v>
      </c>
      <c r="O93" t="s">
        <v>93</v>
      </c>
      <c r="P93" t="s">
        <v>93</v>
      </c>
      <c r="T93">
        <f t="shared" si="11"/>
        <v>0</v>
      </c>
      <c r="V93" t="s">
        <v>93</v>
      </c>
      <c r="W93" t="s">
        <v>102</v>
      </c>
      <c r="X93">
        <v>298</v>
      </c>
      <c r="Y93" t="s">
        <v>103</v>
      </c>
      <c r="Z93">
        <v>-97.6</v>
      </c>
      <c r="AA93" t="s">
        <v>95</v>
      </c>
      <c r="AB93">
        <f t="shared" si="12"/>
        <v>-347.71141406180578</v>
      </c>
      <c r="AC93" t="s">
        <v>93</v>
      </c>
      <c r="AD93">
        <v>2.2000000000000002</v>
      </c>
      <c r="AE93" t="s">
        <v>95</v>
      </c>
      <c r="AF93" t="s">
        <v>93</v>
      </c>
      <c r="AH93" t="s">
        <v>93</v>
      </c>
      <c r="AI93" t="s">
        <v>93</v>
      </c>
      <c r="AJ93" t="s">
        <v>93</v>
      </c>
      <c r="AK93" t="s">
        <v>93</v>
      </c>
      <c r="AR93">
        <v>0.25</v>
      </c>
      <c r="BA93">
        <v>0.25</v>
      </c>
      <c r="BF93">
        <v>0.5</v>
      </c>
      <c r="CR93">
        <f t="shared" si="13"/>
        <v>0</v>
      </c>
      <c r="CS93">
        <f t="shared" si="14"/>
        <v>0</v>
      </c>
      <c r="CT93">
        <f t="shared" si="15"/>
        <v>-347.71141406180578</v>
      </c>
      <c r="CU93" s="7">
        <f t="shared" si="16"/>
        <v>-347.71141406180578</v>
      </c>
      <c r="CV93" s="9">
        <f t="shared" si="18"/>
        <v>280.69254000000001</v>
      </c>
      <c r="CW93" t="str">
        <f t="shared" si="17"/>
        <v>Rh2TiAl</v>
      </c>
    </row>
    <row r="94" spans="1:101" ht="15.75" thickBot="1" x14ac:dyDescent="0.3">
      <c r="A94" t="s">
        <v>91</v>
      </c>
      <c r="B94" t="s">
        <v>2267</v>
      </c>
      <c r="C94" t="s">
        <v>3144</v>
      </c>
      <c r="E94" t="s">
        <v>3145</v>
      </c>
      <c r="F94" t="s">
        <v>93</v>
      </c>
      <c r="G94" t="s">
        <v>2268</v>
      </c>
      <c r="H94">
        <v>125.90052</v>
      </c>
      <c r="I94">
        <v>906</v>
      </c>
      <c r="J94">
        <v>0</v>
      </c>
      <c r="K94" t="s">
        <v>95</v>
      </c>
      <c r="L94">
        <v>-43.530560260000001</v>
      </c>
      <c r="M94">
        <f t="shared" si="10"/>
        <v>-345.75361769752817</v>
      </c>
      <c r="N94" t="s">
        <v>95</v>
      </c>
      <c r="O94" t="s">
        <v>2269</v>
      </c>
      <c r="P94" t="s">
        <v>93</v>
      </c>
      <c r="Q94">
        <v>0</v>
      </c>
      <c r="R94" t="s">
        <v>95</v>
      </c>
      <c r="S94">
        <v>-43.879181809999999</v>
      </c>
      <c r="T94">
        <f t="shared" si="11"/>
        <v>-348.52264160624594</v>
      </c>
      <c r="U94" t="s">
        <v>95</v>
      </c>
      <c r="V94">
        <v>18716</v>
      </c>
      <c r="W94" t="s">
        <v>194</v>
      </c>
      <c r="X94">
        <v>300</v>
      </c>
      <c r="Y94" t="s">
        <v>103</v>
      </c>
      <c r="Z94">
        <v>-43.5</v>
      </c>
      <c r="AA94" t="s">
        <v>95</v>
      </c>
      <c r="AB94">
        <f t="shared" si="12"/>
        <v>-345.51088430770579</v>
      </c>
      <c r="AF94" t="s">
        <v>93</v>
      </c>
      <c r="AR94">
        <v>0.75</v>
      </c>
      <c r="CC94">
        <v>2</v>
      </c>
      <c r="CD94" t="s">
        <v>95</v>
      </c>
      <c r="CE94" t="s">
        <v>93</v>
      </c>
      <c r="CR94">
        <f t="shared" si="13"/>
        <v>-345.75361769752817</v>
      </c>
      <c r="CS94">
        <f t="shared" si="14"/>
        <v>-348.52264160624594</v>
      </c>
      <c r="CT94">
        <f t="shared" si="15"/>
        <v>-345.51088430770579</v>
      </c>
      <c r="CU94" s="7">
        <f t="shared" si="16"/>
        <v>-346.59571453715995</v>
      </c>
      <c r="CV94" s="9">
        <f t="shared" si="18"/>
        <v>125.90052</v>
      </c>
      <c r="CW94" t="str">
        <f t="shared" si="17"/>
        <v>ScAl3</v>
      </c>
    </row>
    <row r="95" spans="1:101" ht="15.75" thickBot="1" x14ac:dyDescent="0.3">
      <c r="A95" t="s">
        <v>91</v>
      </c>
      <c r="B95" t="s">
        <v>1082</v>
      </c>
      <c r="C95" t="s">
        <v>3144</v>
      </c>
      <c r="E95" t="s">
        <v>3145</v>
      </c>
      <c r="F95" t="s">
        <v>93</v>
      </c>
      <c r="G95" t="s">
        <v>1083</v>
      </c>
      <c r="H95">
        <v>239.78154000000001</v>
      </c>
      <c r="I95">
        <v>430</v>
      </c>
      <c r="J95">
        <v>0</v>
      </c>
      <c r="K95" t="s">
        <v>95</v>
      </c>
      <c r="L95">
        <v>-80.505866299999994</v>
      </c>
      <c r="M95">
        <f t="shared" si="10"/>
        <v>-335.74672303797865</v>
      </c>
      <c r="N95" t="s">
        <v>95</v>
      </c>
      <c r="O95" t="s">
        <v>1084</v>
      </c>
      <c r="P95" t="s">
        <v>93</v>
      </c>
      <c r="Q95">
        <v>0</v>
      </c>
      <c r="R95" t="s">
        <v>95</v>
      </c>
      <c r="S95">
        <v>-79.941832820000002</v>
      </c>
      <c r="T95">
        <f t="shared" si="11"/>
        <v>-333.39444237450476</v>
      </c>
      <c r="U95" t="s">
        <v>95</v>
      </c>
      <c r="V95">
        <v>10552</v>
      </c>
      <c r="W95" t="s">
        <v>1085</v>
      </c>
      <c r="X95">
        <v>298</v>
      </c>
      <c r="Y95" t="s">
        <v>359</v>
      </c>
      <c r="Z95">
        <v>-87.3</v>
      </c>
      <c r="AA95" t="s">
        <v>95</v>
      </c>
      <c r="AB95">
        <f t="shared" si="12"/>
        <v>-364.08140509899135</v>
      </c>
      <c r="AC95" t="s">
        <v>93</v>
      </c>
      <c r="AD95">
        <v>1.8</v>
      </c>
      <c r="AE95" t="s">
        <v>95</v>
      </c>
      <c r="AF95" t="s">
        <v>93</v>
      </c>
      <c r="AR95">
        <v>0.33</v>
      </c>
      <c r="AZ95">
        <v>0.66</v>
      </c>
      <c r="CR95">
        <f t="shared" si="13"/>
        <v>-335.74672303797865</v>
      </c>
      <c r="CS95">
        <f t="shared" si="14"/>
        <v>-333.39444237450476</v>
      </c>
      <c r="CT95">
        <f t="shared" si="15"/>
        <v>-364.08140509899135</v>
      </c>
      <c r="CU95" s="7">
        <f t="shared" si="16"/>
        <v>-344.4075235038249</v>
      </c>
      <c r="CV95" s="9">
        <f t="shared" si="18"/>
        <v>239.78154000000001</v>
      </c>
      <c r="CW95" t="str">
        <f t="shared" si="17"/>
        <v>AlPd2</v>
      </c>
    </row>
    <row r="96" spans="1:101" ht="15.75" thickBot="1" x14ac:dyDescent="0.3">
      <c r="A96" t="s">
        <v>91</v>
      </c>
      <c r="B96" t="s">
        <v>918</v>
      </c>
      <c r="C96" t="s">
        <v>3144</v>
      </c>
      <c r="E96" t="s">
        <v>3145</v>
      </c>
      <c r="F96" t="s">
        <v>93</v>
      </c>
      <c r="G96" t="s">
        <v>919</v>
      </c>
      <c r="H96">
        <v>154.30000000000001</v>
      </c>
      <c r="I96">
        <v>367</v>
      </c>
      <c r="J96">
        <v>9.1462370000000001E-2</v>
      </c>
      <c r="K96" t="s">
        <v>95</v>
      </c>
      <c r="L96">
        <v>-52.950477790000001</v>
      </c>
      <c r="M96">
        <f t="shared" si="10"/>
        <v>-343.1657666234608</v>
      </c>
      <c r="N96" t="s">
        <v>95</v>
      </c>
      <c r="O96" t="s">
        <v>921</v>
      </c>
      <c r="P96" t="s">
        <v>93</v>
      </c>
      <c r="T96">
        <f t="shared" si="11"/>
        <v>0</v>
      </c>
      <c r="V96" t="s">
        <v>93</v>
      </c>
      <c r="W96" t="s">
        <v>922</v>
      </c>
      <c r="X96">
        <v>298</v>
      </c>
      <c r="Y96" t="s">
        <v>656</v>
      </c>
      <c r="Z96">
        <v>-53.3</v>
      </c>
      <c r="AA96" t="s">
        <v>95</v>
      </c>
      <c r="AB96">
        <f t="shared" si="12"/>
        <v>-345.43097861309138</v>
      </c>
      <c r="AC96" t="s">
        <v>93</v>
      </c>
      <c r="AD96">
        <v>1.8</v>
      </c>
      <c r="AE96" t="s">
        <v>95</v>
      </c>
      <c r="AF96" t="s">
        <v>93</v>
      </c>
      <c r="AJ96" t="s">
        <v>93</v>
      </c>
      <c r="AK96" t="s">
        <v>93</v>
      </c>
      <c r="AZ96">
        <v>0.5</v>
      </c>
      <c r="BA96">
        <v>0.5</v>
      </c>
      <c r="CR96">
        <f t="shared" si="13"/>
        <v>-343.1657666234608</v>
      </c>
      <c r="CS96">
        <f t="shared" si="14"/>
        <v>0</v>
      </c>
      <c r="CT96">
        <f t="shared" si="15"/>
        <v>-345.43097861309138</v>
      </c>
      <c r="CU96" s="7">
        <f t="shared" si="16"/>
        <v>-344.29837261827606</v>
      </c>
      <c r="CV96" s="9">
        <f t="shared" si="18"/>
        <v>154.30000000000001</v>
      </c>
      <c r="CW96" t="str">
        <f t="shared" si="17"/>
        <v>TiPd</v>
      </c>
    </row>
    <row r="97" spans="1:101" ht="15.75" thickBot="1" x14ac:dyDescent="0.3">
      <c r="A97" t="s">
        <v>91</v>
      </c>
      <c r="B97" t="s">
        <v>683</v>
      </c>
      <c r="C97" t="s">
        <v>3144</v>
      </c>
      <c r="E97" t="s">
        <v>3145</v>
      </c>
      <c r="F97" t="s">
        <v>93</v>
      </c>
      <c r="G97" t="s">
        <v>684</v>
      </c>
      <c r="H97">
        <v>360.0204</v>
      </c>
      <c r="I97">
        <v>276</v>
      </c>
      <c r="M97">
        <f t="shared" si="10"/>
        <v>0</v>
      </c>
      <c r="O97" t="s">
        <v>93</v>
      </c>
      <c r="P97" t="s">
        <v>93</v>
      </c>
      <c r="Q97">
        <v>0</v>
      </c>
      <c r="R97" t="s">
        <v>95</v>
      </c>
      <c r="S97">
        <v>-125.5959987</v>
      </c>
      <c r="T97">
        <f t="shared" si="11"/>
        <v>-348.85800554635239</v>
      </c>
      <c r="U97" t="s">
        <v>95</v>
      </c>
      <c r="V97">
        <v>30556</v>
      </c>
      <c r="W97" t="s">
        <v>358</v>
      </c>
      <c r="X97">
        <v>298</v>
      </c>
      <c r="Y97" t="s">
        <v>359</v>
      </c>
      <c r="Z97">
        <v>-121.8</v>
      </c>
      <c r="AA97" t="s">
        <v>95</v>
      </c>
      <c r="AB97">
        <f t="shared" si="12"/>
        <v>-338.31416219747547</v>
      </c>
      <c r="AC97" t="s">
        <v>93</v>
      </c>
      <c r="AD97">
        <v>5.0999999999999996</v>
      </c>
      <c r="AE97" t="s">
        <v>95</v>
      </c>
      <c r="AF97" t="s">
        <v>93</v>
      </c>
      <c r="AH97" t="s">
        <v>93</v>
      </c>
      <c r="AI97" t="s">
        <v>93</v>
      </c>
      <c r="AY97">
        <v>0.5</v>
      </c>
      <c r="BJ97">
        <v>0.5</v>
      </c>
      <c r="CR97">
        <f t="shared" si="13"/>
        <v>0</v>
      </c>
      <c r="CS97">
        <f t="shared" si="14"/>
        <v>-348.85800554635239</v>
      </c>
      <c r="CT97">
        <f t="shared" si="15"/>
        <v>-338.31416219747547</v>
      </c>
      <c r="CU97" s="7">
        <f t="shared" si="16"/>
        <v>-343.58608387191396</v>
      </c>
      <c r="CV97" s="9">
        <f t="shared" si="18"/>
        <v>360.0204</v>
      </c>
      <c r="CW97" t="str">
        <f t="shared" si="17"/>
        <v>HoPt</v>
      </c>
    </row>
    <row r="98" spans="1:101" ht="15.75" thickBot="1" x14ac:dyDescent="0.3">
      <c r="A98" t="s">
        <v>91</v>
      </c>
      <c r="B98" t="s">
        <v>988</v>
      </c>
      <c r="C98" t="s">
        <v>3144</v>
      </c>
      <c r="E98" t="s">
        <v>3145</v>
      </c>
      <c r="F98" t="s">
        <v>93</v>
      </c>
      <c r="G98" t="s">
        <v>989</v>
      </c>
      <c r="H98">
        <v>271.83969999999999</v>
      </c>
      <c r="I98">
        <v>395</v>
      </c>
      <c r="J98">
        <v>0</v>
      </c>
      <c r="K98" t="s">
        <v>95</v>
      </c>
      <c r="L98">
        <v>-95.097393499999995</v>
      </c>
      <c r="M98">
        <f t="shared" si="10"/>
        <v>-349.82893778943986</v>
      </c>
      <c r="N98" t="s">
        <v>95</v>
      </c>
      <c r="O98" t="s">
        <v>990</v>
      </c>
      <c r="P98" t="s">
        <v>93</v>
      </c>
      <c r="Q98">
        <v>3.6812039999999997E-2</v>
      </c>
      <c r="R98" t="s">
        <v>95</v>
      </c>
      <c r="S98">
        <v>-93.270433929999996</v>
      </c>
      <c r="T98">
        <f t="shared" si="11"/>
        <v>-343.10821388487403</v>
      </c>
      <c r="U98" t="s">
        <v>95</v>
      </c>
      <c r="V98">
        <v>18076</v>
      </c>
      <c r="W98" t="s">
        <v>102</v>
      </c>
      <c r="X98">
        <v>298</v>
      </c>
      <c r="Y98" t="s">
        <v>103</v>
      </c>
      <c r="Z98">
        <v>-88.9</v>
      </c>
      <c r="AA98" t="s">
        <v>95</v>
      </c>
      <c r="AB98">
        <f t="shared" si="12"/>
        <v>-327.03096714718271</v>
      </c>
      <c r="AC98" t="s">
        <v>93</v>
      </c>
      <c r="AD98">
        <v>2</v>
      </c>
      <c r="AE98" t="s">
        <v>95</v>
      </c>
      <c r="AF98" t="s">
        <v>93</v>
      </c>
      <c r="BF98">
        <v>0.5</v>
      </c>
      <c r="BO98">
        <v>0.5</v>
      </c>
      <c r="CR98">
        <f t="shared" si="13"/>
        <v>-349.82893778943986</v>
      </c>
      <c r="CS98">
        <f t="shared" si="14"/>
        <v>-343.10821388487403</v>
      </c>
      <c r="CT98">
        <f t="shared" si="15"/>
        <v>-327.03096714718271</v>
      </c>
      <c r="CU98" s="7">
        <f t="shared" si="16"/>
        <v>-339.98937294049887</v>
      </c>
      <c r="CV98" s="9">
        <f t="shared" si="18"/>
        <v>271.83969999999999</v>
      </c>
      <c r="CW98" t="str">
        <f t="shared" si="17"/>
        <v>TmRh</v>
      </c>
    </row>
    <row r="99" spans="1:101" ht="15.75" thickBot="1" x14ac:dyDescent="0.3">
      <c r="A99" t="s">
        <v>91</v>
      </c>
      <c r="B99" t="s">
        <v>591</v>
      </c>
      <c r="C99" t="s">
        <v>3144</v>
      </c>
      <c r="E99" t="s">
        <v>3145</v>
      </c>
      <c r="F99" t="s">
        <v>93</v>
      </c>
      <c r="G99" t="s">
        <v>592</v>
      </c>
      <c r="H99">
        <v>362.35</v>
      </c>
      <c r="I99">
        <v>240</v>
      </c>
      <c r="M99">
        <f t="shared" si="10"/>
        <v>0</v>
      </c>
      <c r="O99" t="s">
        <v>93</v>
      </c>
      <c r="P99" t="s">
        <v>93</v>
      </c>
      <c r="Q99">
        <v>0</v>
      </c>
      <c r="R99" t="s">
        <v>95</v>
      </c>
      <c r="S99">
        <v>-126.810293</v>
      </c>
      <c r="T99">
        <f t="shared" si="11"/>
        <v>-349.96631157720435</v>
      </c>
      <c r="U99" t="s">
        <v>95</v>
      </c>
      <c r="V99">
        <v>30033</v>
      </c>
      <c r="W99" t="s">
        <v>358</v>
      </c>
      <c r="X99">
        <v>298</v>
      </c>
      <c r="Y99" t="s">
        <v>359</v>
      </c>
      <c r="Z99">
        <v>-118.7</v>
      </c>
      <c r="AA99" t="s">
        <v>95</v>
      </c>
      <c r="AB99">
        <f t="shared" si="12"/>
        <v>-327.58382779081001</v>
      </c>
      <c r="AC99" t="s">
        <v>93</v>
      </c>
      <c r="AD99">
        <v>2.2999999999999998</v>
      </c>
      <c r="AE99" t="s">
        <v>95</v>
      </c>
      <c r="AF99" t="s">
        <v>93</v>
      </c>
      <c r="AH99" t="s">
        <v>93</v>
      </c>
      <c r="AI99" t="s">
        <v>93</v>
      </c>
      <c r="AY99">
        <v>0.5</v>
      </c>
      <c r="BH99">
        <v>0.5</v>
      </c>
      <c r="CR99">
        <f t="shared" si="13"/>
        <v>0</v>
      </c>
      <c r="CS99">
        <f t="shared" si="14"/>
        <v>-349.96631157720435</v>
      </c>
      <c r="CT99">
        <f t="shared" si="15"/>
        <v>-327.58382779081001</v>
      </c>
      <c r="CU99" s="7">
        <f t="shared" si="16"/>
        <v>-338.77506968400718</v>
      </c>
      <c r="CV99" s="9">
        <f t="shared" si="18"/>
        <v>362.35</v>
      </c>
      <c r="CW99" t="str">
        <f t="shared" si="17"/>
        <v>ErPt</v>
      </c>
    </row>
    <row r="100" spans="1:101" ht="15.75" thickBot="1" x14ac:dyDescent="0.3">
      <c r="A100" t="s">
        <v>91</v>
      </c>
      <c r="B100" t="s">
        <v>1041</v>
      </c>
      <c r="C100" t="s">
        <v>3144</v>
      </c>
      <c r="E100" t="s">
        <v>3145</v>
      </c>
      <c r="F100" t="s">
        <v>93</v>
      </c>
      <c r="G100" t="s">
        <v>1042</v>
      </c>
      <c r="H100">
        <v>146.02589999999901</v>
      </c>
      <c r="I100">
        <v>416</v>
      </c>
      <c r="J100">
        <v>0</v>
      </c>
      <c r="K100" t="s">
        <v>95</v>
      </c>
      <c r="L100">
        <v>-52.265467379999997</v>
      </c>
      <c r="M100">
        <f t="shared" si="10"/>
        <v>-357.91915940939487</v>
      </c>
      <c r="N100" t="s">
        <v>95</v>
      </c>
      <c r="O100" t="s">
        <v>1043</v>
      </c>
      <c r="P100" t="s">
        <v>93</v>
      </c>
      <c r="Q100">
        <v>5.6964920000000002E-2</v>
      </c>
      <c r="R100" t="s">
        <v>95</v>
      </c>
      <c r="S100">
        <v>-51.45065288</v>
      </c>
      <c r="T100">
        <f t="shared" si="11"/>
        <v>-352.33922804105538</v>
      </c>
      <c r="U100" t="s">
        <v>95</v>
      </c>
      <c r="V100">
        <v>18090</v>
      </c>
      <c r="W100" t="s">
        <v>102</v>
      </c>
      <c r="X100">
        <v>298</v>
      </c>
      <c r="Y100" t="s">
        <v>103</v>
      </c>
      <c r="Z100">
        <v>-44.5</v>
      </c>
      <c r="AA100" t="s">
        <v>95</v>
      </c>
      <c r="AB100">
        <f t="shared" si="12"/>
        <v>-304.74046042517324</v>
      </c>
      <c r="AC100" t="s">
        <v>93</v>
      </c>
      <c r="AD100">
        <v>2.2000000000000002</v>
      </c>
      <c r="AE100" t="s">
        <v>95</v>
      </c>
      <c r="AF100" t="s">
        <v>93</v>
      </c>
      <c r="AV100">
        <v>0.5</v>
      </c>
      <c r="CR100">
        <f t="shared" si="13"/>
        <v>-357.91915940939487</v>
      </c>
      <c r="CS100">
        <f t="shared" si="14"/>
        <v>-352.33922804105538</v>
      </c>
      <c r="CT100">
        <f t="shared" si="15"/>
        <v>-304.74046042517324</v>
      </c>
      <c r="CU100" s="7">
        <f t="shared" si="16"/>
        <v>-338.33294929187451</v>
      </c>
      <c r="CV100" s="9">
        <f t="shared" si="18"/>
        <v>146.02589999999901</v>
      </c>
      <c r="CW100" t="str">
        <f t="shared" si="17"/>
        <v>ScRu</v>
      </c>
    </row>
    <row r="101" spans="1:101" ht="15.75" thickBot="1" x14ac:dyDescent="0.3">
      <c r="A101" t="s">
        <v>484</v>
      </c>
      <c r="B101" t="s">
        <v>1015</v>
      </c>
      <c r="C101" t="s">
        <v>3138</v>
      </c>
      <c r="D101" t="s">
        <v>3139</v>
      </c>
      <c r="F101" t="s">
        <v>3140</v>
      </c>
      <c r="G101" t="s">
        <v>1016</v>
      </c>
      <c r="H101">
        <v>192.29</v>
      </c>
      <c r="I101">
        <v>407</v>
      </c>
      <c r="J101">
        <v>0</v>
      </c>
      <c r="K101" t="s">
        <v>95</v>
      </c>
      <c r="L101">
        <v>-63.692245100000001</v>
      </c>
      <c r="M101">
        <f t="shared" si="10"/>
        <v>-331.23014769358781</v>
      </c>
      <c r="N101" t="s">
        <v>95</v>
      </c>
      <c r="O101" t="s">
        <v>1017</v>
      </c>
      <c r="P101" t="s">
        <v>93</v>
      </c>
      <c r="Q101">
        <v>1.4691330000000001E-2</v>
      </c>
      <c r="R101" t="s">
        <v>95</v>
      </c>
      <c r="S101">
        <v>-62.028033550000004</v>
      </c>
      <c r="T101">
        <f t="shared" si="11"/>
        <v>-322.57545140152894</v>
      </c>
      <c r="U101" t="s">
        <v>95</v>
      </c>
      <c r="V101">
        <v>116234</v>
      </c>
      <c r="W101" t="s">
        <v>102</v>
      </c>
      <c r="X101">
        <v>298</v>
      </c>
      <c r="Y101" t="s">
        <v>103</v>
      </c>
      <c r="Z101">
        <v>-68.7</v>
      </c>
      <c r="AA101" t="s">
        <v>95</v>
      </c>
      <c r="AB101">
        <f t="shared" si="12"/>
        <v>-357.27286910395759</v>
      </c>
      <c r="AC101" t="s">
        <v>93</v>
      </c>
      <c r="AD101">
        <v>3.4</v>
      </c>
      <c r="AE101" t="s">
        <v>95</v>
      </c>
      <c r="AF101" t="s">
        <v>93</v>
      </c>
      <c r="AP101">
        <v>0.5</v>
      </c>
      <c r="AV101">
        <v>0.5</v>
      </c>
      <c r="CR101">
        <f t="shared" si="13"/>
        <v>-331.23014769358781</v>
      </c>
      <c r="CS101">
        <f t="shared" si="14"/>
        <v>-322.57545140152894</v>
      </c>
      <c r="CT101">
        <f t="shared" si="15"/>
        <v>-357.27286910395759</v>
      </c>
      <c r="CU101" s="7">
        <f t="shared" si="16"/>
        <v>-337.02615606635817</v>
      </c>
      <c r="CV101" s="9">
        <f t="shared" si="18"/>
        <v>192.29</v>
      </c>
      <c r="CW101" t="str">
        <f t="shared" si="17"/>
        <v>ZrRu</v>
      </c>
    </row>
    <row r="102" spans="1:101" ht="15.75" thickBot="1" x14ac:dyDescent="0.3">
      <c r="A102" t="s">
        <v>91</v>
      </c>
      <c r="B102" t="s">
        <v>674</v>
      </c>
      <c r="C102" t="s">
        <v>3144</v>
      </c>
      <c r="E102" t="s">
        <v>3145</v>
      </c>
      <c r="F102" t="s">
        <v>93</v>
      </c>
      <c r="G102" t="s">
        <v>675</v>
      </c>
      <c r="H102">
        <v>271.3304</v>
      </c>
      <c r="I102">
        <v>272</v>
      </c>
      <c r="M102">
        <f t="shared" si="10"/>
        <v>0</v>
      </c>
      <c r="O102" t="s">
        <v>93</v>
      </c>
      <c r="P102" t="s">
        <v>93</v>
      </c>
      <c r="Q102">
        <v>0</v>
      </c>
      <c r="R102" t="s">
        <v>95</v>
      </c>
      <c r="S102">
        <v>-90.571768840000004</v>
      </c>
      <c r="T102">
        <f t="shared" si="11"/>
        <v>-333.80619657804652</v>
      </c>
      <c r="U102" t="s">
        <v>95</v>
      </c>
      <c r="V102">
        <v>30553</v>
      </c>
      <c r="W102" t="s">
        <v>358</v>
      </c>
      <c r="X102">
        <v>298</v>
      </c>
      <c r="Y102" t="s">
        <v>359</v>
      </c>
      <c r="Z102">
        <v>-91.5</v>
      </c>
      <c r="AA102" t="s">
        <v>95</v>
      </c>
      <c r="AB102">
        <f t="shared" si="12"/>
        <v>-337.2272329234026</v>
      </c>
      <c r="AC102" t="s">
        <v>93</v>
      </c>
      <c r="AD102">
        <v>2.2000000000000002</v>
      </c>
      <c r="AE102" t="s">
        <v>95</v>
      </c>
      <c r="AF102" t="s">
        <v>93</v>
      </c>
      <c r="AH102" t="s">
        <v>93</v>
      </c>
      <c r="AI102" t="s">
        <v>93</v>
      </c>
      <c r="AZ102">
        <v>0.5</v>
      </c>
      <c r="BJ102">
        <v>0.5</v>
      </c>
      <c r="CR102">
        <f t="shared" si="13"/>
        <v>0</v>
      </c>
      <c r="CS102">
        <f t="shared" si="14"/>
        <v>-333.80619657804652</v>
      </c>
      <c r="CT102">
        <f t="shared" si="15"/>
        <v>-337.2272329234026</v>
      </c>
      <c r="CU102" s="7">
        <f t="shared" si="16"/>
        <v>-335.51671475072453</v>
      </c>
      <c r="CV102" s="9">
        <f t="shared" si="18"/>
        <v>271.3304</v>
      </c>
      <c r="CW102" t="str">
        <f t="shared" si="17"/>
        <v>HoPd</v>
      </c>
    </row>
    <row r="103" spans="1:101" ht="15.75" thickBot="1" x14ac:dyDescent="0.3">
      <c r="A103" t="s">
        <v>91</v>
      </c>
      <c r="B103" t="s">
        <v>766</v>
      </c>
      <c r="C103" t="s">
        <v>3144</v>
      </c>
      <c r="E103" t="s">
        <v>3145</v>
      </c>
      <c r="F103" t="s">
        <v>93</v>
      </c>
      <c r="G103" t="s">
        <v>767</v>
      </c>
      <c r="H103">
        <v>281.36700000000002</v>
      </c>
      <c r="I103">
        <v>307</v>
      </c>
      <c r="J103">
        <v>0</v>
      </c>
      <c r="K103" t="s">
        <v>95</v>
      </c>
      <c r="L103">
        <v>-94.314516310000002</v>
      </c>
      <c r="M103">
        <f t="shared" si="10"/>
        <v>-335.2010587950968</v>
      </c>
      <c r="N103" t="s">
        <v>95</v>
      </c>
      <c r="O103" t="s">
        <v>768</v>
      </c>
      <c r="P103" t="s">
        <v>93</v>
      </c>
      <c r="Q103">
        <v>5.4927150000000001E-2</v>
      </c>
      <c r="R103" t="s">
        <v>95</v>
      </c>
      <c r="S103">
        <v>-93.767542399999996</v>
      </c>
      <c r="T103">
        <f t="shared" si="11"/>
        <v>-333.2570713694214</v>
      </c>
      <c r="U103" t="s">
        <v>95</v>
      </c>
      <c r="V103">
        <v>17621</v>
      </c>
      <c r="W103" t="s">
        <v>102</v>
      </c>
      <c r="X103">
        <v>298</v>
      </c>
      <c r="Y103" t="s">
        <v>103</v>
      </c>
      <c r="Z103">
        <v>-95</v>
      </c>
      <c r="AA103" t="s">
        <v>95</v>
      </c>
      <c r="AB103">
        <f t="shared" si="12"/>
        <v>-337.63732065238639</v>
      </c>
      <c r="AC103" t="s">
        <v>93</v>
      </c>
      <c r="AD103">
        <v>1.4</v>
      </c>
      <c r="AE103" t="s">
        <v>95</v>
      </c>
      <c r="AF103" t="s">
        <v>93</v>
      </c>
      <c r="AZ103">
        <v>0.5</v>
      </c>
      <c r="BL103">
        <v>0.5</v>
      </c>
      <c r="CR103">
        <f t="shared" si="13"/>
        <v>-335.2010587950968</v>
      </c>
      <c r="CS103">
        <f t="shared" si="14"/>
        <v>-333.2570713694214</v>
      </c>
      <c r="CT103">
        <f t="shared" si="15"/>
        <v>-337.63732065238639</v>
      </c>
      <c r="CU103" s="7">
        <f t="shared" si="16"/>
        <v>-335.36515027230155</v>
      </c>
      <c r="CV103" s="9">
        <f t="shared" si="18"/>
        <v>281.36700000000002</v>
      </c>
      <c r="CW103" t="str">
        <f t="shared" si="17"/>
        <v>LuPd</v>
      </c>
    </row>
    <row r="104" spans="1:101" ht="15.75" thickBot="1" x14ac:dyDescent="0.3">
      <c r="A104" t="s">
        <v>91</v>
      </c>
      <c r="B104" t="s">
        <v>772</v>
      </c>
      <c r="C104" t="s">
        <v>3144</v>
      </c>
      <c r="E104" t="s">
        <v>3145</v>
      </c>
      <c r="F104" t="s">
        <v>93</v>
      </c>
      <c r="G104" t="s">
        <v>773</v>
      </c>
      <c r="H104">
        <v>370.05700000000002</v>
      </c>
      <c r="I104">
        <v>310</v>
      </c>
      <c r="M104">
        <f t="shared" si="10"/>
        <v>0</v>
      </c>
      <c r="O104" t="s">
        <v>93</v>
      </c>
      <c r="P104" t="s">
        <v>93</v>
      </c>
      <c r="Q104">
        <v>0</v>
      </c>
      <c r="R104" t="s">
        <v>95</v>
      </c>
      <c r="S104">
        <v>-129.3729798</v>
      </c>
      <c r="T104">
        <f t="shared" si="11"/>
        <v>-349.60284442666938</v>
      </c>
      <c r="U104" t="s">
        <v>95</v>
      </c>
      <c r="V104">
        <v>30701</v>
      </c>
      <c r="W104" t="s">
        <v>358</v>
      </c>
      <c r="X104">
        <v>298</v>
      </c>
      <c r="Y104" t="s">
        <v>359</v>
      </c>
      <c r="Z104">
        <v>-118.4</v>
      </c>
      <c r="AA104" t="s">
        <v>95</v>
      </c>
      <c r="AB104">
        <f t="shared" si="12"/>
        <v>-319.95071029598142</v>
      </c>
      <c r="AC104" t="s">
        <v>93</v>
      </c>
      <c r="AD104">
        <v>2.2000000000000002</v>
      </c>
      <c r="AE104" t="s">
        <v>95</v>
      </c>
      <c r="AF104" t="s">
        <v>93</v>
      </c>
      <c r="AH104" t="s">
        <v>93</v>
      </c>
      <c r="AI104" t="s">
        <v>93</v>
      </c>
      <c r="AY104">
        <v>0.5</v>
      </c>
      <c r="BL104">
        <v>0.5</v>
      </c>
      <c r="CR104">
        <f t="shared" si="13"/>
        <v>0</v>
      </c>
      <c r="CS104">
        <f t="shared" si="14"/>
        <v>-349.60284442666938</v>
      </c>
      <c r="CT104">
        <f t="shared" si="15"/>
        <v>-319.95071029598142</v>
      </c>
      <c r="CU104" s="7">
        <f t="shared" si="16"/>
        <v>-334.7767773613254</v>
      </c>
      <c r="CV104" s="9">
        <f t="shared" si="18"/>
        <v>370.05700000000002</v>
      </c>
      <c r="CW104" t="str">
        <f t="shared" si="17"/>
        <v>LuPt</v>
      </c>
    </row>
    <row r="105" spans="1:101" ht="15.75" thickBot="1" x14ac:dyDescent="0.3">
      <c r="A105" t="s">
        <v>91</v>
      </c>
      <c r="B105" t="s">
        <v>897</v>
      </c>
      <c r="C105" t="s">
        <v>3144</v>
      </c>
      <c r="E105" t="s">
        <v>3145</v>
      </c>
      <c r="F105" t="s">
        <v>93</v>
      </c>
      <c r="G105" t="s">
        <v>898</v>
      </c>
      <c r="H105">
        <v>275.33420000000001</v>
      </c>
      <c r="I105">
        <v>357</v>
      </c>
      <c r="J105">
        <v>0</v>
      </c>
      <c r="K105" t="s">
        <v>95</v>
      </c>
      <c r="L105">
        <v>-92.010033719999996</v>
      </c>
      <c r="M105">
        <f t="shared" si="10"/>
        <v>-334.17582603250884</v>
      </c>
      <c r="N105" t="s">
        <v>95</v>
      </c>
      <c r="O105" t="s">
        <v>899</v>
      </c>
      <c r="P105" t="s">
        <v>93</v>
      </c>
      <c r="Q105">
        <v>7.5021660000000004E-2</v>
      </c>
      <c r="R105" t="s">
        <v>95</v>
      </c>
      <c r="S105">
        <v>-91.467360060000004</v>
      </c>
      <c r="T105">
        <f t="shared" si="11"/>
        <v>-332.20486252706712</v>
      </c>
      <c r="U105" t="s">
        <v>95</v>
      </c>
      <c r="V105">
        <v>17980</v>
      </c>
      <c r="W105" t="s">
        <v>102</v>
      </c>
      <c r="X105">
        <v>298</v>
      </c>
      <c r="Y105" t="s">
        <v>103</v>
      </c>
      <c r="Z105">
        <v>-92.6</v>
      </c>
      <c r="AA105" t="s">
        <v>95</v>
      </c>
      <c r="AB105">
        <f t="shared" si="12"/>
        <v>-336.31855396096813</v>
      </c>
      <c r="AC105" t="s">
        <v>93</v>
      </c>
      <c r="AD105">
        <v>2</v>
      </c>
      <c r="AE105" t="s">
        <v>95</v>
      </c>
      <c r="AF105" t="s">
        <v>93</v>
      </c>
      <c r="AZ105">
        <v>0.5</v>
      </c>
      <c r="BO105">
        <v>0.5</v>
      </c>
      <c r="CR105">
        <f t="shared" si="13"/>
        <v>-334.17582603250884</v>
      </c>
      <c r="CS105">
        <f t="shared" si="14"/>
        <v>-332.20486252706712</v>
      </c>
      <c r="CT105">
        <f t="shared" si="15"/>
        <v>-336.31855396096813</v>
      </c>
      <c r="CU105" s="7">
        <f t="shared" si="16"/>
        <v>-334.23308084018134</v>
      </c>
      <c r="CV105" s="9">
        <f t="shared" si="18"/>
        <v>275.33420000000001</v>
      </c>
      <c r="CW105" t="str">
        <f t="shared" si="17"/>
        <v>TmPd</v>
      </c>
    </row>
    <row r="106" spans="1:101" ht="15.75" thickBot="1" x14ac:dyDescent="0.3">
      <c r="A106" t="s">
        <v>91</v>
      </c>
      <c r="B106" t="s">
        <v>573</v>
      </c>
      <c r="C106" t="s">
        <v>3144</v>
      </c>
      <c r="E106" t="s">
        <v>3145</v>
      </c>
      <c r="F106" t="s">
        <v>93</v>
      </c>
      <c r="G106" t="s">
        <v>574</v>
      </c>
      <c r="H106">
        <v>270.16550000000001</v>
      </c>
      <c r="I106">
        <v>234</v>
      </c>
      <c r="J106">
        <v>0</v>
      </c>
      <c r="K106" t="s">
        <v>95</v>
      </c>
      <c r="L106">
        <v>-91.937792950000002</v>
      </c>
      <c r="M106">
        <f t="shared" si="10"/>
        <v>-340.30175188911983</v>
      </c>
      <c r="N106" t="s">
        <v>95</v>
      </c>
      <c r="O106" t="s">
        <v>575</v>
      </c>
      <c r="P106" t="s">
        <v>93</v>
      </c>
      <c r="Q106">
        <v>2.7752550000000001E-2</v>
      </c>
      <c r="R106" t="s">
        <v>95</v>
      </c>
      <c r="S106">
        <v>-90.279097759999999</v>
      </c>
      <c r="T106">
        <f t="shared" si="11"/>
        <v>-334.16219968870934</v>
      </c>
      <c r="U106" t="s">
        <v>95</v>
      </c>
      <c r="V106">
        <v>30040</v>
      </c>
      <c r="W106" t="s">
        <v>102</v>
      </c>
      <c r="X106">
        <v>298</v>
      </c>
      <c r="Y106" t="s">
        <v>103</v>
      </c>
      <c r="Z106">
        <v>-87.4</v>
      </c>
      <c r="AA106" t="s">
        <v>95</v>
      </c>
      <c r="AB106">
        <f t="shared" si="12"/>
        <v>-323.50540687097356</v>
      </c>
      <c r="AC106" t="s">
        <v>93</v>
      </c>
      <c r="AD106">
        <v>1.7</v>
      </c>
      <c r="AE106" t="s">
        <v>95</v>
      </c>
      <c r="AF106" t="s">
        <v>93</v>
      </c>
      <c r="BF106">
        <v>0.5</v>
      </c>
      <c r="BH106">
        <v>0.5</v>
      </c>
      <c r="CR106">
        <f t="shared" si="13"/>
        <v>-340.30175188911983</v>
      </c>
      <c r="CS106">
        <f t="shared" si="14"/>
        <v>-334.16219968870934</v>
      </c>
      <c r="CT106">
        <f t="shared" si="15"/>
        <v>-323.50540687097356</v>
      </c>
      <c r="CU106" s="7">
        <f t="shared" si="16"/>
        <v>-332.65645281626757</v>
      </c>
      <c r="CV106" s="9">
        <f t="shared" si="18"/>
        <v>270.16550000000001</v>
      </c>
      <c r="CW106" t="str">
        <f t="shared" si="17"/>
        <v>ErRh</v>
      </c>
    </row>
    <row r="107" spans="1:101" ht="15.75" thickBot="1" x14ac:dyDescent="0.3">
      <c r="A107" t="s">
        <v>91</v>
      </c>
      <c r="B107" t="s">
        <v>952</v>
      </c>
      <c r="C107" t="s">
        <v>3144</v>
      </c>
      <c r="E107" t="s">
        <v>3145</v>
      </c>
      <c r="F107" t="s">
        <v>93</v>
      </c>
      <c r="G107" t="s">
        <v>953</v>
      </c>
      <c r="H107">
        <v>364.02420000000001</v>
      </c>
      <c r="I107">
        <v>380</v>
      </c>
      <c r="M107">
        <f t="shared" si="10"/>
        <v>0</v>
      </c>
      <c r="O107" t="s">
        <v>93</v>
      </c>
      <c r="P107" t="s">
        <v>93</v>
      </c>
      <c r="T107">
        <f t="shared" si="11"/>
        <v>0</v>
      </c>
      <c r="V107" t="s">
        <v>93</v>
      </c>
      <c r="W107" t="s">
        <v>358</v>
      </c>
      <c r="X107">
        <v>298</v>
      </c>
      <c r="Y107" t="s">
        <v>359</v>
      </c>
      <c r="Z107">
        <v>-121</v>
      </c>
      <c r="AA107" t="s">
        <v>95</v>
      </c>
      <c r="AB107">
        <f t="shared" si="12"/>
        <v>-332.39548359696965</v>
      </c>
      <c r="AC107" t="s">
        <v>93</v>
      </c>
      <c r="AD107">
        <v>2</v>
      </c>
      <c r="AE107" t="s">
        <v>95</v>
      </c>
      <c r="AF107" t="s">
        <v>93</v>
      </c>
      <c r="AH107" t="s">
        <v>93</v>
      </c>
      <c r="AI107" t="s">
        <v>93</v>
      </c>
      <c r="AJ107" t="s">
        <v>93</v>
      </c>
      <c r="AK107" t="s">
        <v>93</v>
      </c>
      <c r="AY107">
        <v>0.5</v>
      </c>
      <c r="BO107">
        <v>0.5</v>
      </c>
      <c r="CR107">
        <f t="shared" si="13"/>
        <v>0</v>
      </c>
      <c r="CS107">
        <f t="shared" si="14"/>
        <v>0</v>
      </c>
      <c r="CT107">
        <f t="shared" si="15"/>
        <v>-332.39548359696965</v>
      </c>
      <c r="CU107" s="7">
        <f t="shared" si="16"/>
        <v>-332.39548359696965</v>
      </c>
      <c r="CV107" s="9">
        <f t="shared" si="18"/>
        <v>364.02420000000001</v>
      </c>
      <c r="CW107" t="str">
        <f t="shared" si="17"/>
        <v>PtTm</v>
      </c>
    </row>
    <row r="108" spans="1:101" ht="15.75" thickBot="1" x14ac:dyDescent="0.3">
      <c r="A108" t="s">
        <v>484</v>
      </c>
      <c r="B108" t="s">
        <v>1232</v>
      </c>
      <c r="C108" t="s">
        <v>3138</v>
      </c>
      <c r="D108" t="s">
        <v>3139</v>
      </c>
      <c r="F108" t="s">
        <v>3140</v>
      </c>
      <c r="G108" t="s">
        <v>1233</v>
      </c>
      <c r="H108">
        <v>76.558000000000007</v>
      </c>
      <c r="I108">
        <v>483</v>
      </c>
      <c r="J108">
        <v>8.5333155600000001</v>
      </c>
      <c r="K108" t="s">
        <v>95</v>
      </c>
      <c r="L108">
        <v>-27.36041101</v>
      </c>
      <c r="M108">
        <f t="shared" si="10"/>
        <v>-357.38147561326053</v>
      </c>
      <c r="N108" t="s">
        <v>95</v>
      </c>
      <c r="O108" t="s">
        <v>1234</v>
      </c>
      <c r="P108" t="s">
        <v>93</v>
      </c>
      <c r="Q108">
        <v>8.0424620400000002</v>
      </c>
      <c r="R108" t="s">
        <v>95</v>
      </c>
      <c r="S108">
        <v>-27.864906489999999</v>
      </c>
      <c r="T108">
        <f t="shared" si="11"/>
        <v>-363.97119164554977</v>
      </c>
      <c r="U108" t="s">
        <v>95</v>
      </c>
      <c r="V108">
        <v>8179</v>
      </c>
      <c r="W108" t="s">
        <v>510</v>
      </c>
      <c r="X108">
        <v>298</v>
      </c>
      <c r="Y108" t="s">
        <v>170</v>
      </c>
      <c r="Z108">
        <v>-21.1</v>
      </c>
      <c r="AA108" t="s">
        <v>95</v>
      </c>
      <c r="AB108">
        <f t="shared" si="12"/>
        <v>-275.60803573761069</v>
      </c>
      <c r="AC108" t="s">
        <v>93</v>
      </c>
      <c r="AD108">
        <v>3.4</v>
      </c>
      <c r="AE108" t="s">
        <v>95</v>
      </c>
      <c r="AF108" t="s">
        <v>93</v>
      </c>
      <c r="BQ108">
        <v>0.66</v>
      </c>
      <c r="BR108">
        <v>0.33</v>
      </c>
      <c r="CR108">
        <f t="shared" si="13"/>
        <v>-357.38147561326053</v>
      </c>
      <c r="CS108">
        <f t="shared" si="14"/>
        <v>-363.97119164554977</v>
      </c>
      <c r="CT108">
        <f t="shared" si="15"/>
        <v>-275.60803573761069</v>
      </c>
      <c r="CU108" s="7">
        <f t="shared" si="16"/>
        <v>-332.32023433214027</v>
      </c>
      <c r="CV108" s="9">
        <f t="shared" si="18"/>
        <v>76.558000000000007</v>
      </c>
      <c r="CW108" t="str">
        <f t="shared" si="17"/>
        <v>MnB2</v>
      </c>
    </row>
    <row r="109" spans="1:101" ht="15.75" thickBot="1" x14ac:dyDescent="0.3">
      <c r="A109" t="s">
        <v>91</v>
      </c>
      <c r="B109" t="s">
        <v>829</v>
      </c>
      <c r="C109" t="s">
        <v>3144</v>
      </c>
      <c r="E109" t="s">
        <v>3145</v>
      </c>
      <c r="F109" t="s">
        <v>93</v>
      </c>
      <c r="G109" t="s">
        <v>830</v>
      </c>
      <c r="H109">
        <v>106.6</v>
      </c>
      <c r="I109">
        <v>331</v>
      </c>
      <c r="J109">
        <v>5.2234987899999998</v>
      </c>
      <c r="K109" t="s">
        <v>95</v>
      </c>
      <c r="L109">
        <v>-33.163234359999997</v>
      </c>
      <c r="M109">
        <f t="shared" si="10"/>
        <v>-311.09975947467166</v>
      </c>
      <c r="N109" t="s">
        <v>95</v>
      </c>
      <c r="O109" t="s">
        <v>831</v>
      </c>
      <c r="P109" t="s">
        <v>93</v>
      </c>
      <c r="Q109">
        <v>3.8108022199999998</v>
      </c>
      <c r="R109" t="s">
        <v>95</v>
      </c>
      <c r="S109">
        <v>-36.473315409999998</v>
      </c>
      <c r="T109">
        <f t="shared" si="11"/>
        <v>-342.15117645403376</v>
      </c>
      <c r="U109" t="s">
        <v>95</v>
      </c>
      <c r="V109">
        <v>116608</v>
      </c>
      <c r="W109" t="s">
        <v>102</v>
      </c>
      <c r="X109">
        <v>298</v>
      </c>
      <c r="Y109" t="s">
        <v>103</v>
      </c>
      <c r="Z109">
        <v>-36.17</v>
      </c>
      <c r="AA109" t="s">
        <v>95</v>
      </c>
      <c r="AB109">
        <f t="shared" si="12"/>
        <v>-339.30581613508446</v>
      </c>
      <c r="AC109" t="s">
        <v>93</v>
      </c>
      <c r="AD109">
        <v>2.2599999999999998</v>
      </c>
      <c r="AE109" t="s">
        <v>95</v>
      </c>
      <c r="AF109" t="s">
        <v>93</v>
      </c>
      <c r="AS109">
        <v>0.5</v>
      </c>
      <c r="BA109">
        <v>0.5</v>
      </c>
      <c r="CR109">
        <f t="shared" si="13"/>
        <v>-311.09975947467166</v>
      </c>
      <c r="CS109">
        <f t="shared" si="14"/>
        <v>-342.15117645403376</v>
      </c>
      <c r="CT109">
        <f t="shared" si="15"/>
        <v>-339.30581613508446</v>
      </c>
      <c r="CU109" s="7">
        <f t="shared" si="16"/>
        <v>-330.85225068792994</v>
      </c>
      <c r="CV109" s="9">
        <f t="shared" si="18"/>
        <v>106.6</v>
      </c>
      <c r="CW109" t="str">
        <f t="shared" si="17"/>
        <v>TiNi</v>
      </c>
    </row>
    <row r="110" spans="1:101" ht="15.75" thickBot="1" x14ac:dyDescent="0.3">
      <c r="A110" t="s">
        <v>91</v>
      </c>
      <c r="B110" t="s">
        <v>766</v>
      </c>
      <c r="C110" t="s">
        <v>3144</v>
      </c>
      <c r="E110" t="s">
        <v>3145</v>
      </c>
      <c r="F110" t="s">
        <v>93</v>
      </c>
      <c r="G110" t="s">
        <v>767</v>
      </c>
      <c r="H110">
        <v>281.36700000000002</v>
      </c>
      <c r="I110">
        <v>306</v>
      </c>
      <c r="J110">
        <v>0</v>
      </c>
      <c r="K110" t="s">
        <v>95</v>
      </c>
      <c r="L110">
        <v>-94.314516310000002</v>
      </c>
      <c r="M110">
        <f t="shared" si="10"/>
        <v>-335.2010587950968</v>
      </c>
      <c r="N110" t="s">
        <v>95</v>
      </c>
      <c r="O110" t="s">
        <v>768</v>
      </c>
      <c r="P110" t="s">
        <v>93</v>
      </c>
      <c r="Q110">
        <v>5.4927150000000001E-2</v>
      </c>
      <c r="R110" t="s">
        <v>95</v>
      </c>
      <c r="S110">
        <v>-93.767542399999996</v>
      </c>
      <c r="T110">
        <f t="shared" si="11"/>
        <v>-333.2570713694214</v>
      </c>
      <c r="U110" t="s">
        <v>95</v>
      </c>
      <c r="V110">
        <v>17621</v>
      </c>
      <c r="W110" t="s">
        <v>102</v>
      </c>
      <c r="X110">
        <v>298</v>
      </c>
      <c r="Y110" t="s">
        <v>103</v>
      </c>
      <c r="Z110">
        <v>-91.1</v>
      </c>
      <c r="AA110" t="s">
        <v>95</v>
      </c>
      <c r="AB110">
        <f t="shared" si="12"/>
        <v>-323.77642012034102</v>
      </c>
      <c r="AC110" t="s">
        <v>93</v>
      </c>
      <c r="AD110">
        <v>5.2</v>
      </c>
      <c r="AE110" t="s">
        <v>95</v>
      </c>
      <c r="AF110" t="s">
        <v>93</v>
      </c>
      <c r="AZ110">
        <v>0.5</v>
      </c>
      <c r="BL110">
        <v>0.5</v>
      </c>
      <c r="CR110">
        <f t="shared" si="13"/>
        <v>-335.2010587950968</v>
      </c>
      <c r="CS110">
        <f t="shared" si="14"/>
        <v>-333.2570713694214</v>
      </c>
      <c r="CT110">
        <f t="shared" si="15"/>
        <v>-323.77642012034102</v>
      </c>
      <c r="CU110" s="7">
        <f t="shared" si="16"/>
        <v>-330.74485009495311</v>
      </c>
      <c r="CV110" s="9">
        <f t="shared" si="18"/>
        <v>281.36700000000002</v>
      </c>
      <c r="CW110" t="str">
        <f t="shared" si="17"/>
        <v>LuPd</v>
      </c>
    </row>
    <row r="111" spans="1:101" ht="15.75" thickBot="1" x14ac:dyDescent="0.3">
      <c r="A111" t="s">
        <v>91</v>
      </c>
      <c r="B111" t="s">
        <v>579</v>
      </c>
      <c r="C111" t="s">
        <v>3144</v>
      </c>
      <c r="E111" t="s">
        <v>3145</v>
      </c>
      <c r="F111" t="s">
        <v>93</v>
      </c>
      <c r="G111" t="s">
        <v>580</v>
      </c>
      <c r="H111">
        <v>273.659999999999</v>
      </c>
      <c r="I111">
        <v>236</v>
      </c>
      <c r="J111">
        <v>0</v>
      </c>
      <c r="K111" t="s">
        <v>95</v>
      </c>
      <c r="L111">
        <v>-90.403042290000002</v>
      </c>
      <c r="M111">
        <f t="shared" si="10"/>
        <v>-330.34803146239983</v>
      </c>
      <c r="N111" t="s">
        <v>95</v>
      </c>
      <c r="O111" t="s">
        <v>581</v>
      </c>
      <c r="P111" t="s">
        <v>93</v>
      </c>
      <c r="Q111">
        <v>0.11679642</v>
      </c>
      <c r="R111" t="s">
        <v>95</v>
      </c>
      <c r="S111">
        <v>-89.87858052</v>
      </c>
      <c r="T111">
        <f t="shared" si="11"/>
        <v>-328.43155930717069</v>
      </c>
      <c r="U111" t="s">
        <v>95</v>
      </c>
      <c r="V111">
        <v>89074</v>
      </c>
      <c r="W111" t="s">
        <v>102</v>
      </c>
      <c r="X111">
        <v>298</v>
      </c>
      <c r="Y111" t="s">
        <v>103</v>
      </c>
      <c r="Z111">
        <v>-91.1</v>
      </c>
      <c r="AA111" t="s">
        <v>95</v>
      </c>
      <c r="AB111">
        <f t="shared" si="12"/>
        <v>-332.89483300445931</v>
      </c>
      <c r="AC111" t="s">
        <v>93</v>
      </c>
      <c r="AD111">
        <v>2.2000000000000002</v>
      </c>
      <c r="AE111" t="s">
        <v>95</v>
      </c>
      <c r="AF111" t="s">
        <v>93</v>
      </c>
      <c r="AZ111">
        <v>0.5</v>
      </c>
      <c r="BH111">
        <v>0.5</v>
      </c>
      <c r="CR111">
        <f t="shared" si="13"/>
        <v>-330.34803146239983</v>
      </c>
      <c r="CS111">
        <f t="shared" si="14"/>
        <v>-328.43155930717069</v>
      </c>
      <c r="CT111">
        <f t="shared" si="15"/>
        <v>-332.89483300445931</v>
      </c>
      <c r="CU111" s="7">
        <f t="shared" si="16"/>
        <v>-330.55814125800993</v>
      </c>
      <c r="CV111" s="9">
        <f t="shared" si="18"/>
        <v>273.659999999999</v>
      </c>
      <c r="CW111" t="str">
        <f t="shared" si="17"/>
        <v>ErPd</v>
      </c>
    </row>
    <row r="112" spans="1:101" ht="15.75" thickBot="1" x14ac:dyDescent="0.3">
      <c r="A112" t="s">
        <v>91</v>
      </c>
      <c r="B112" t="s">
        <v>625</v>
      </c>
      <c r="C112" t="s">
        <v>3144</v>
      </c>
      <c r="E112" t="s">
        <v>3145</v>
      </c>
      <c r="F112" t="s">
        <v>93</v>
      </c>
      <c r="G112" t="s">
        <v>626</v>
      </c>
      <c r="H112">
        <v>352.34</v>
      </c>
      <c r="I112">
        <v>253</v>
      </c>
      <c r="J112">
        <v>0</v>
      </c>
      <c r="K112" t="s">
        <v>95</v>
      </c>
      <c r="L112">
        <v>-118.03293119999999</v>
      </c>
      <c r="M112">
        <f t="shared" si="10"/>
        <v>-334.99725038315262</v>
      </c>
      <c r="N112" t="s">
        <v>95</v>
      </c>
      <c r="O112" t="s">
        <v>627</v>
      </c>
      <c r="P112" t="s">
        <v>93</v>
      </c>
      <c r="Q112">
        <v>0</v>
      </c>
      <c r="R112" t="s">
        <v>95</v>
      </c>
      <c r="S112">
        <v>-120.8884577</v>
      </c>
      <c r="T112">
        <f t="shared" si="11"/>
        <v>-343.10171340182779</v>
      </c>
      <c r="U112" t="s">
        <v>95</v>
      </c>
      <c r="V112">
        <v>30403</v>
      </c>
      <c r="W112" t="s">
        <v>358</v>
      </c>
      <c r="X112">
        <v>298</v>
      </c>
      <c r="Y112" t="s">
        <v>359</v>
      </c>
      <c r="Z112">
        <v>-109.3</v>
      </c>
      <c r="AA112" t="s">
        <v>95</v>
      </c>
      <c r="AB112">
        <f t="shared" si="12"/>
        <v>-310.21172730884939</v>
      </c>
      <c r="AC112" t="s">
        <v>93</v>
      </c>
      <c r="AD112">
        <v>2.8</v>
      </c>
      <c r="AE112" t="s">
        <v>95</v>
      </c>
      <c r="AF112" t="s">
        <v>93</v>
      </c>
      <c r="AY112">
        <v>0.5</v>
      </c>
      <c r="BI112">
        <v>0.5</v>
      </c>
      <c r="CR112">
        <f t="shared" si="13"/>
        <v>-334.99725038315262</v>
      </c>
      <c r="CS112">
        <f t="shared" si="14"/>
        <v>-343.10171340182779</v>
      </c>
      <c r="CT112">
        <f t="shared" si="15"/>
        <v>-310.21172730884939</v>
      </c>
      <c r="CU112" s="7">
        <f t="shared" si="16"/>
        <v>-329.4368970312766</v>
      </c>
      <c r="CV112" s="9">
        <f t="shared" si="18"/>
        <v>352.34</v>
      </c>
      <c r="CW112" t="str">
        <f t="shared" si="17"/>
        <v>GdPt</v>
      </c>
    </row>
    <row r="113" spans="1:101" ht="15.75" thickBot="1" x14ac:dyDescent="0.3">
      <c r="A113" t="s">
        <v>91</v>
      </c>
      <c r="B113" t="s">
        <v>2426</v>
      </c>
      <c r="C113" t="s">
        <v>3144</v>
      </c>
      <c r="E113" t="s">
        <v>3145</v>
      </c>
      <c r="F113" t="s">
        <v>93</v>
      </c>
      <c r="G113" t="s">
        <v>2427</v>
      </c>
      <c r="H113">
        <v>193.8519</v>
      </c>
      <c r="I113">
        <v>985</v>
      </c>
      <c r="J113">
        <v>0</v>
      </c>
      <c r="K113" t="s">
        <v>95</v>
      </c>
      <c r="L113">
        <v>-63.635446999999999</v>
      </c>
      <c r="M113">
        <f t="shared" si="10"/>
        <v>-328.26836879081401</v>
      </c>
      <c r="N113" t="s">
        <v>95</v>
      </c>
      <c r="O113" t="s">
        <v>2428</v>
      </c>
      <c r="P113" t="s">
        <v>93</v>
      </c>
      <c r="Q113">
        <v>2.3028340000000001E-2</v>
      </c>
      <c r="R113" t="s">
        <v>95</v>
      </c>
      <c r="S113">
        <v>-66.149631810000002</v>
      </c>
      <c r="T113">
        <f t="shared" si="11"/>
        <v>-341.23798533829176</v>
      </c>
      <c r="U113" t="s">
        <v>95</v>
      </c>
      <c r="V113">
        <v>647094</v>
      </c>
      <c r="W113" t="s">
        <v>184</v>
      </c>
      <c r="X113">
        <v>298</v>
      </c>
      <c r="Y113" t="s">
        <v>185</v>
      </c>
      <c r="Z113">
        <v>-61.4</v>
      </c>
      <c r="AA113" t="s">
        <v>95</v>
      </c>
      <c r="AB113">
        <f t="shared" si="12"/>
        <v>-316.73664276697826</v>
      </c>
      <c r="AC113" t="s">
        <v>93</v>
      </c>
      <c r="AD113">
        <v>1.7</v>
      </c>
      <c r="AE113" t="s">
        <v>95</v>
      </c>
      <c r="AF113" t="s">
        <v>93</v>
      </c>
      <c r="AW113">
        <v>0.5</v>
      </c>
      <c r="BA113">
        <v>0.25</v>
      </c>
      <c r="BX113">
        <v>0.25</v>
      </c>
      <c r="CR113">
        <f t="shared" si="13"/>
        <v>-328.26836879081401</v>
      </c>
      <c r="CS113">
        <f t="shared" si="14"/>
        <v>-341.23798533829176</v>
      </c>
      <c r="CT113">
        <f t="shared" si="15"/>
        <v>-316.73664276697826</v>
      </c>
      <c r="CU113" s="7">
        <f t="shared" si="16"/>
        <v>-328.74766563202803</v>
      </c>
      <c r="CV113" s="9">
        <f t="shared" si="18"/>
        <v>193.8519</v>
      </c>
      <c r="CW113" t="str">
        <f t="shared" si="17"/>
        <v>TiCo2Si</v>
      </c>
    </row>
    <row r="114" spans="1:101" ht="15.75" thickBot="1" x14ac:dyDescent="0.3">
      <c r="A114" t="s">
        <v>91</v>
      </c>
      <c r="B114" t="s">
        <v>753</v>
      </c>
      <c r="C114" t="s">
        <v>3144</v>
      </c>
      <c r="E114" t="s">
        <v>3145</v>
      </c>
      <c r="F114" t="s">
        <v>93</v>
      </c>
      <c r="G114" t="s">
        <v>754</v>
      </c>
      <c r="H114">
        <v>333.99549999999999</v>
      </c>
      <c r="I114">
        <v>301</v>
      </c>
      <c r="J114">
        <v>0</v>
      </c>
      <c r="K114" t="s">
        <v>95</v>
      </c>
      <c r="L114">
        <v>-115.1096675</v>
      </c>
      <c r="M114">
        <f t="shared" si="10"/>
        <v>-344.6443664660153</v>
      </c>
      <c r="N114" t="s">
        <v>95</v>
      </c>
      <c r="O114" t="s">
        <v>755</v>
      </c>
      <c r="P114" t="s">
        <v>121</v>
      </c>
      <c r="Q114">
        <v>0</v>
      </c>
      <c r="R114" t="s">
        <v>95</v>
      </c>
      <c r="S114">
        <v>-114.5652561</v>
      </c>
      <c r="T114">
        <f t="shared" si="11"/>
        <v>-343.01437025349145</v>
      </c>
      <c r="U114" t="s">
        <v>95</v>
      </c>
      <c r="V114">
        <v>30659</v>
      </c>
      <c r="W114" t="s">
        <v>430</v>
      </c>
      <c r="X114">
        <v>298</v>
      </c>
      <c r="Y114" t="s">
        <v>147</v>
      </c>
      <c r="Z114">
        <v>-99.7</v>
      </c>
      <c r="AA114" t="s">
        <v>95</v>
      </c>
      <c r="AB114">
        <f t="shared" si="12"/>
        <v>-298.50701581308732</v>
      </c>
      <c r="AC114" t="s">
        <v>93</v>
      </c>
      <c r="AD114">
        <v>2.9</v>
      </c>
      <c r="AE114" t="s">
        <v>95</v>
      </c>
      <c r="AF114" t="s">
        <v>93</v>
      </c>
      <c r="AL114">
        <v>0.5</v>
      </c>
      <c r="AY114">
        <v>0.5</v>
      </c>
      <c r="CR114">
        <f t="shared" si="13"/>
        <v>-344.6443664660153</v>
      </c>
      <c r="CS114">
        <f t="shared" si="14"/>
        <v>-343.01437025349145</v>
      </c>
      <c r="CT114">
        <f t="shared" si="15"/>
        <v>-298.50701581308732</v>
      </c>
      <c r="CU114" s="7">
        <f t="shared" si="16"/>
        <v>-328.72191751086467</v>
      </c>
      <c r="CV114" s="9">
        <f t="shared" si="18"/>
        <v>333.99549999999999</v>
      </c>
      <c r="CW114" t="str">
        <f t="shared" si="17"/>
        <v>LaPt</v>
      </c>
    </row>
    <row r="115" spans="1:101" ht="15.75" thickBot="1" x14ac:dyDescent="0.3">
      <c r="A115" t="s">
        <v>91</v>
      </c>
      <c r="B115" t="s">
        <v>665</v>
      </c>
      <c r="C115" t="s">
        <v>3144</v>
      </c>
      <c r="E115" t="s">
        <v>3145</v>
      </c>
      <c r="F115" t="s">
        <v>93</v>
      </c>
      <c r="G115" t="s">
        <v>666</v>
      </c>
      <c r="H115">
        <v>267.83589999999998</v>
      </c>
      <c r="I115">
        <v>269</v>
      </c>
      <c r="J115">
        <v>0</v>
      </c>
      <c r="K115" t="s">
        <v>95</v>
      </c>
      <c r="L115">
        <v>-89.103990260000003</v>
      </c>
      <c r="M115">
        <f t="shared" si="10"/>
        <v>-332.68128081411049</v>
      </c>
      <c r="N115" t="s">
        <v>95</v>
      </c>
      <c r="O115" t="s">
        <v>667</v>
      </c>
      <c r="P115" t="s">
        <v>93</v>
      </c>
      <c r="Q115">
        <v>4.6584550000000002E-2</v>
      </c>
      <c r="R115" t="s">
        <v>95</v>
      </c>
      <c r="S115">
        <v>-87.275505249999995</v>
      </c>
      <c r="T115">
        <f t="shared" si="11"/>
        <v>-325.85439535924797</v>
      </c>
      <c r="U115" t="s">
        <v>95</v>
      </c>
      <c r="V115">
        <v>89924</v>
      </c>
      <c r="W115" t="s">
        <v>102</v>
      </c>
      <c r="X115">
        <v>298</v>
      </c>
      <c r="Y115" t="s">
        <v>103</v>
      </c>
      <c r="Z115">
        <v>-87.2</v>
      </c>
      <c r="AA115" t="s">
        <v>95</v>
      </c>
      <c r="AB115">
        <f t="shared" si="12"/>
        <v>-325.57248673534809</v>
      </c>
      <c r="AC115" t="s">
        <v>93</v>
      </c>
      <c r="AD115">
        <v>2.2999999999999998</v>
      </c>
      <c r="AE115" t="s">
        <v>95</v>
      </c>
      <c r="AF115" t="s">
        <v>93</v>
      </c>
      <c r="BF115">
        <v>0.5</v>
      </c>
      <c r="BJ115">
        <v>0.5</v>
      </c>
      <c r="CR115">
        <f t="shared" si="13"/>
        <v>-332.68128081411049</v>
      </c>
      <c r="CS115">
        <f t="shared" si="14"/>
        <v>-325.85439535924797</v>
      </c>
      <c r="CT115">
        <f t="shared" si="15"/>
        <v>-325.57248673534809</v>
      </c>
      <c r="CU115" s="7">
        <f t="shared" si="16"/>
        <v>-328.03605430290219</v>
      </c>
      <c r="CV115" s="9">
        <f t="shared" si="18"/>
        <v>267.83589999999998</v>
      </c>
      <c r="CW115" t="str">
        <f t="shared" si="17"/>
        <v>HoRh</v>
      </c>
    </row>
    <row r="116" spans="1:101" ht="15.75" thickBot="1" x14ac:dyDescent="0.3">
      <c r="A116" t="s">
        <v>91</v>
      </c>
      <c r="B116" t="s">
        <v>1015</v>
      </c>
      <c r="C116" t="s">
        <v>3144</v>
      </c>
      <c r="E116" t="s">
        <v>3145</v>
      </c>
      <c r="G116" t="s">
        <v>1016</v>
      </c>
      <c r="H116">
        <v>192.29</v>
      </c>
      <c r="I116">
        <v>799</v>
      </c>
      <c r="J116">
        <v>0</v>
      </c>
      <c r="K116" t="s">
        <v>95</v>
      </c>
      <c r="L116">
        <v>-63.692245100000001</v>
      </c>
      <c r="M116">
        <f t="shared" si="10"/>
        <v>-331.23014769358781</v>
      </c>
      <c r="N116" t="s">
        <v>95</v>
      </c>
      <c r="O116" t="s">
        <v>1017</v>
      </c>
      <c r="P116" t="s">
        <v>93</v>
      </c>
      <c r="Q116">
        <v>1.4691330000000001E-2</v>
      </c>
      <c r="R116" t="s">
        <v>95</v>
      </c>
      <c r="S116">
        <v>-62.028033550000004</v>
      </c>
      <c r="T116">
        <f t="shared" si="11"/>
        <v>-322.57545140152894</v>
      </c>
      <c r="U116" t="s">
        <v>95</v>
      </c>
      <c r="V116">
        <v>116234</v>
      </c>
      <c r="W116" t="s">
        <v>102</v>
      </c>
      <c r="X116">
        <v>1753</v>
      </c>
      <c r="Y116" t="s">
        <v>103</v>
      </c>
      <c r="AB116">
        <f t="shared" si="12"/>
        <v>0</v>
      </c>
      <c r="AC116" t="s">
        <v>93</v>
      </c>
      <c r="AD116">
        <v>2.2999999999999998</v>
      </c>
      <c r="AE116" t="s">
        <v>95</v>
      </c>
      <c r="AF116" t="s">
        <v>93</v>
      </c>
      <c r="AP116">
        <v>0.5</v>
      </c>
      <c r="AV116">
        <v>0.5</v>
      </c>
      <c r="CG116">
        <v>-55.8</v>
      </c>
      <c r="CH116" t="s">
        <v>95</v>
      </c>
      <c r="CI116" t="s">
        <v>93</v>
      </c>
      <c r="CR116">
        <f t="shared" si="13"/>
        <v>-331.23014769358781</v>
      </c>
      <c r="CS116">
        <f t="shared" si="14"/>
        <v>-322.57545140152894</v>
      </c>
      <c r="CT116">
        <f t="shared" si="15"/>
        <v>0</v>
      </c>
      <c r="CU116" s="7">
        <f t="shared" si="16"/>
        <v>-326.9027995475584</v>
      </c>
      <c r="CV116" s="9">
        <f t="shared" si="18"/>
        <v>192.29</v>
      </c>
      <c r="CW116" t="str">
        <f t="shared" si="17"/>
        <v>ZrRu</v>
      </c>
    </row>
    <row r="117" spans="1:101" ht="15.75" thickBot="1" x14ac:dyDescent="0.3">
      <c r="A117" t="s">
        <v>91</v>
      </c>
      <c r="B117" t="s">
        <v>558</v>
      </c>
      <c r="C117" t="s">
        <v>3144</v>
      </c>
      <c r="E117" t="s">
        <v>3145</v>
      </c>
      <c r="F117" t="s">
        <v>93</v>
      </c>
      <c r="G117" t="s">
        <v>559</v>
      </c>
      <c r="H117">
        <v>357.59</v>
      </c>
      <c r="I117">
        <v>228</v>
      </c>
      <c r="M117">
        <f t="shared" si="10"/>
        <v>0</v>
      </c>
      <c r="O117" t="s">
        <v>93</v>
      </c>
      <c r="P117" t="s">
        <v>93</v>
      </c>
      <c r="Q117">
        <v>0</v>
      </c>
      <c r="R117" t="s">
        <v>95</v>
      </c>
      <c r="S117">
        <v>-124.22741600000001</v>
      </c>
      <c r="T117">
        <f t="shared" si="11"/>
        <v>-347.40181772420931</v>
      </c>
      <c r="U117" t="s">
        <v>95</v>
      </c>
      <c r="V117">
        <v>29915</v>
      </c>
      <c r="W117" t="s">
        <v>358</v>
      </c>
      <c r="X117">
        <v>298</v>
      </c>
      <c r="Y117" t="s">
        <v>359</v>
      </c>
      <c r="Z117">
        <v>-109.4</v>
      </c>
      <c r="AA117" t="s">
        <v>95</v>
      </c>
      <c r="AB117">
        <f t="shared" si="12"/>
        <v>-305.9369669174194</v>
      </c>
      <c r="AC117" t="s">
        <v>93</v>
      </c>
      <c r="AD117">
        <v>1.8</v>
      </c>
      <c r="AE117" t="s">
        <v>95</v>
      </c>
      <c r="AF117" t="s">
        <v>93</v>
      </c>
      <c r="AH117" t="s">
        <v>93</v>
      </c>
      <c r="AI117" t="s">
        <v>93</v>
      </c>
      <c r="AY117">
        <v>0.5</v>
      </c>
      <c r="BG117">
        <v>0.5</v>
      </c>
      <c r="CR117">
        <f t="shared" si="13"/>
        <v>0</v>
      </c>
      <c r="CS117">
        <f t="shared" si="14"/>
        <v>-347.40181772420931</v>
      </c>
      <c r="CT117">
        <f t="shared" si="15"/>
        <v>-305.9369669174194</v>
      </c>
      <c r="CU117" s="7">
        <f t="shared" si="16"/>
        <v>-326.66939232081438</v>
      </c>
      <c r="CV117" s="9">
        <f t="shared" si="18"/>
        <v>357.59</v>
      </c>
      <c r="CW117" t="str">
        <f t="shared" si="17"/>
        <v>DyPt</v>
      </c>
    </row>
    <row r="118" spans="1:101" ht="15.75" thickBot="1" x14ac:dyDescent="0.3">
      <c r="A118" t="s">
        <v>91</v>
      </c>
      <c r="B118" t="s">
        <v>829</v>
      </c>
      <c r="C118" t="s">
        <v>3144</v>
      </c>
      <c r="E118" t="s">
        <v>3145</v>
      </c>
      <c r="G118" t="s">
        <v>830</v>
      </c>
      <c r="H118">
        <v>106.6</v>
      </c>
      <c r="I118">
        <v>766</v>
      </c>
      <c r="J118">
        <v>5.2234987899999998</v>
      </c>
      <c r="K118" t="s">
        <v>95</v>
      </c>
      <c r="L118">
        <v>-33.163234359999997</v>
      </c>
      <c r="M118">
        <f t="shared" si="10"/>
        <v>-311.09975947467166</v>
      </c>
      <c r="N118" t="s">
        <v>95</v>
      </c>
      <c r="O118" t="s">
        <v>831</v>
      </c>
      <c r="P118" t="s">
        <v>93</v>
      </c>
      <c r="Q118">
        <v>3.8108022199999998</v>
      </c>
      <c r="R118" t="s">
        <v>95</v>
      </c>
      <c r="S118">
        <v>-36.473315409999998</v>
      </c>
      <c r="T118">
        <f t="shared" si="11"/>
        <v>-342.15117645403376</v>
      </c>
      <c r="U118" t="s">
        <v>95</v>
      </c>
      <c r="V118">
        <v>116608</v>
      </c>
      <c r="W118" t="s">
        <v>102</v>
      </c>
      <c r="X118">
        <v>1475</v>
      </c>
      <c r="Y118" t="s">
        <v>103</v>
      </c>
      <c r="AB118">
        <f t="shared" si="12"/>
        <v>0</v>
      </c>
      <c r="AC118" t="s">
        <v>93</v>
      </c>
      <c r="AD118">
        <v>2</v>
      </c>
      <c r="AE118" t="s">
        <v>95</v>
      </c>
      <c r="AF118" t="s">
        <v>93</v>
      </c>
      <c r="AS118">
        <v>0.5</v>
      </c>
      <c r="BA118">
        <v>0.5</v>
      </c>
      <c r="CG118">
        <v>-34</v>
      </c>
      <c r="CH118" t="s">
        <v>95</v>
      </c>
      <c r="CI118" t="s">
        <v>93</v>
      </c>
      <c r="CR118">
        <f t="shared" si="13"/>
        <v>-311.09975947467166</v>
      </c>
      <c r="CS118">
        <f t="shared" si="14"/>
        <v>-342.15117645403376</v>
      </c>
      <c r="CT118">
        <f t="shared" si="15"/>
        <v>0</v>
      </c>
      <c r="CU118" s="7">
        <f t="shared" si="16"/>
        <v>-326.62546796435271</v>
      </c>
      <c r="CV118" s="9">
        <f t="shared" si="18"/>
        <v>106.6</v>
      </c>
      <c r="CW118" t="str">
        <f t="shared" si="17"/>
        <v>TiNi</v>
      </c>
    </row>
    <row r="119" spans="1:101" ht="15.75" thickBot="1" x14ac:dyDescent="0.3">
      <c r="A119" t="s">
        <v>91</v>
      </c>
      <c r="B119" t="s">
        <v>161</v>
      </c>
      <c r="C119" t="s">
        <v>3144</v>
      </c>
      <c r="E119" t="s">
        <v>3145</v>
      </c>
      <c r="F119" t="s">
        <v>93</v>
      </c>
      <c r="G119" t="s">
        <v>162</v>
      </c>
      <c r="H119">
        <v>174.58743999999999</v>
      </c>
      <c r="I119">
        <v>21</v>
      </c>
      <c r="J119">
        <v>0</v>
      </c>
      <c r="K119" t="s">
        <v>95</v>
      </c>
      <c r="L119">
        <v>-57.757716420000001</v>
      </c>
      <c r="M119">
        <f t="shared" si="10"/>
        <v>-330.82400669830548</v>
      </c>
      <c r="N119" t="s">
        <v>95</v>
      </c>
      <c r="O119" t="s">
        <v>163</v>
      </c>
      <c r="P119" t="s">
        <v>93</v>
      </c>
      <c r="Q119">
        <v>0</v>
      </c>
      <c r="R119" t="s">
        <v>95</v>
      </c>
      <c r="S119">
        <v>-58.325663630000001</v>
      </c>
      <c r="T119">
        <f t="shared" si="11"/>
        <v>-334.07708842056451</v>
      </c>
      <c r="U119" t="s">
        <v>95</v>
      </c>
      <c r="V119">
        <v>27924</v>
      </c>
      <c r="W119" t="s">
        <v>164</v>
      </c>
      <c r="X119">
        <v>298</v>
      </c>
      <c r="Y119" t="s">
        <v>165</v>
      </c>
      <c r="Z119">
        <v>-54.1</v>
      </c>
      <c r="AA119" t="s">
        <v>95</v>
      </c>
      <c r="AB119">
        <f t="shared" si="12"/>
        <v>-309.87337920757648</v>
      </c>
      <c r="AC119" t="s">
        <v>93</v>
      </c>
      <c r="AD119">
        <v>0.9</v>
      </c>
      <c r="AE119" t="s">
        <v>95</v>
      </c>
      <c r="AF119" t="s">
        <v>93</v>
      </c>
      <c r="AG119">
        <v>0.33</v>
      </c>
      <c r="AR119">
        <v>0.33</v>
      </c>
      <c r="AS119">
        <v>0.33</v>
      </c>
      <c r="CR119">
        <f t="shared" si="13"/>
        <v>-330.82400669830548</v>
      </c>
      <c r="CS119">
        <f t="shared" si="14"/>
        <v>-334.07708842056451</v>
      </c>
      <c r="CT119">
        <f t="shared" si="15"/>
        <v>-309.87337920757648</v>
      </c>
      <c r="CU119" s="7">
        <f t="shared" si="16"/>
        <v>-324.92482477548214</v>
      </c>
      <c r="CV119" s="9">
        <f t="shared" si="18"/>
        <v>174.58743999999999</v>
      </c>
      <c r="CW119" t="str">
        <f t="shared" si="17"/>
        <v>YAlNi</v>
      </c>
    </row>
    <row r="120" spans="1:101" ht="15.75" thickBot="1" x14ac:dyDescent="0.3">
      <c r="A120" t="s">
        <v>91</v>
      </c>
      <c r="B120" t="s">
        <v>940</v>
      </c>
      <c r="C120" t="s">
        <v>3144</v>
      </c>
      <c r="E120" t="s">
        <v>3145</v>
      </c>
      <c r="F120" t="s">
        <v>93</v>
      </c>
      <c r="G120" t="s">
        <v>941</v>
      </c>
      <c r="H120">
        <v>345.49</v>
      </c>
      <c r="I120">
        <v>375</v>
      </c>
      <c r="M120">
        <f t="shared" si="10"/>
        <v>0</v>
      </c>
      <c r="O120" t="s">
        <v>93</v>
      </c>
      <c r="P120" t="s">
        <v>93</v>
      </c>
      <c r="Q120">
        <v>0</v>
      </c>
      <c r="R120" t="s">
        <v>95</v>
      </c>
      <c r="S120">
        <v>-115.5685081</v>
      </c>
      <c r="T120">
        <f t="shared" si="11"/>
        <v>-334.5060872963038</v>
      </c>
      <c r="U120" t="s">
        <v>95</v>
      </c>
      <c r="V120">
        <v>30979</v>
      </c>
      <c r="W120" t="s">
        <v>358</v>
      </c>
      <c r="X120">
        <v>298</v>
      </c>
      <c r="Y120" t="s">
        <v>359</v>
      </c>
      <c r="Z120">
        <v>-108.7</v>
      </c>
      <c r="AA120" t="s">
        <v>95</v>
      </c>
      <c r="AB120">
        <f t="shared" si="12"/>
        <v>-314.62560421430436</v>
      </c>
      <c r="AC120" t="s">
        <v>93</v>
      </c>
      <c r="AD120">
        <v>3.5</v>
      </c>
      <c r="AE120" t="s">
        <v>95</v>
      </c>
      <c r="AF120" t="s">
        <v>93</v>
      </c>
      <c r="AH120" t="s">
        <v>93</v>
      </c>
      <c r="AI120" t="s">
        <v>93</v>
      </c>
      <c r="AY120">
        <v>0.5</v>
      </c>
      <c r="BN120">
        <v>0.5</v>
      </c>
      <c r="CR120">
        <f t="shared" si="13"/>
        <v>0</v>
      </c>
      <c r="CS120">
        <f t="shared" si="14"/>
        <v>-334.5060872963038</v>
      </c>
      <c r="CT120">
        <f t="shared" si="15"/>
        <v>-314.62560421430436</v>
      </c>
      <c r="CU120" s="7">
        <f t="shared" si="16"/>
        <v>-324.56584575530405</v>
      </c>
      <c r="CV120" s="9">
        <f t="shared" si="18"/>
        <v>345.49</v>
      </c>
      <c r="CW120" t="str">
        <f t="shared" si="17"/>
        <v>SmPt</v>
      </c>
    </row>
    <row r="121" spans="1:101" ht="15.75" thickBot="1" x14ac:dyDescent="0.3">
      <c r="A121" t="s">
        <v>91</v>
      </c>
      <c r="B121" t="s">
        <v>1205</v>
      </c>
      <c r="C121" t="s">
        <v>3144</v>
      </c>
      <c r="E121" t="s">
        <v>3145</v>
      </c>
      <c r="F121" t="s">
        <v>93</v>
      </c>
      <c r="G121" t="s">
        <v>1206</v>
      </c>
      <c r="H121">
        <v>69.510000000000005</v>
      </c>
      <c r="I121">
        <v>474</v>
      </c>
      <c r="J121">
        <v>0.26712341000000001</v>
      </c>
      <c r="K121" t="s">
        <v>95</v>
      </c>
      <c r="L121">
        <v>-23.30049541</v>
      </c>
      <c r="M121">
        <f t="shared" si="10"/>
        <v>-335.21069500791248</v>
      </c>
      <c r="N121" t="s">
        <v>95</v>
      </c>
      <c r="O121" t="s">
        <v>1207</v>
      </c>
      <c r="P121" t="s">
        <v>93</v>
      </c>
      <c r="Q121">
        <v>0.44522813999999999</v>
      </c>
      <c r="R121" t="s">
        <v>95</v>
      </c>
      <c r="S121">
        <v>-23.479878859999999</v>
      </c>
      <c r="T121">
        <f t="shared" si="11"/>
        <v>-337.79138052078832</v>
      </c>
      <c r="U121" t="s">
        <v>95</v>
      </c>
      <c r="V121">
        <v>5171</v>
      </c>
      <c r="W121" t="s">
        <v>430</v>
      </c>
      <c r="X121">
        <v>298</v>
      </c>
      <c r="Y121" t="s">
        <v>147</v>
      </c>
      <c r="Z121">
        <v>-20.7</v>
      </c>
      <c r="AA121" t="s">
        <v>95</v>
      </c>
      <c r="AB121">
        <f t="shared" si="12"/>
        <v>-297.79887785930077</v>
      </c>
      <c r="AC121" t="s">
        <v>93</v>
      </c>
      <c r="AD121">
        <v>1.1000000000000001</v>
      </c>
      <c r="AE121" t="s">
        <v>95</v>
      </c>
      <c r="AF121" t="s">
        <v>93</v>
      </c>
      <c r="AS121">
        <v>0.5</v>
      </c>
      <c r="BQ121">
        <v>0.5</v>
      </c>
      <c r="CR121">
        <f t="shared" si="13"/>
        <v>-335.21069500791248</v>
      </c>
      <c r="CS121">
        <f t="shared" si="14"/>
        <v>-337.79138052078832</v>
      </c>
      <c r="CT121">
        <f t="shared" si="15"/>
        <v>-297.79887785930077</v>
      </c>
      <c r="CU121" s="7">
        <f t="shared" si="16"/>
        <v>-323.60031779600052</v>
      </c>
      <c r="CV121" s="9">
        <f t="shared" si="18"/>
        <v>69.510000000000005</v>
      </c>
      <c r="CW121" t="str">
        <f t="shared" si="17"/>
        <v>NiB</v>
      </c>
    </row>
    <row r="122" spans="1:101" ht="15.75" thickBot="1" x14ac:dyDescent="0.3">
      <c r="A122" t="s">
        <v>91</v>
      </c>
      <c r="B122" t="s">
        <v>925</v>
      </c>
      <c r="C122" t="s">
        <v>3144</v>
      </c>
      <c r="E122" t="s">
        <v>3145</v>
      </c>
      <c r="F122" t="s">
        <v>93</v>
      </c>
      <c r="G122" t="s">
        <v>926</v>
      </c>
      <c r="H122">
        <v>197.62</v>
      </c>
      <c r="I122">
        <v>370</v>
      </c>
      <c r="J122">
        <v>0</v>
      </c>
      <c r="K122" t="s">
        <v>95</v>
      </c>
      <c r="L122">
        <v>-63.07864008</v>
      </c>
      <c r="M122">
        <f t="shared" si="10"/>
        <v>-319.19158020443274</v>
      </c>
      <c r="N122" t="s">
        <v>95</v>
      </c>
      <c r="O122" t="s">
        <v>927</v>
      </c>
      <c r="P122" t="s">
        <v>93</v>
      </c>
      <c r="Q122">
        <v>0</v>
      </c>
      <c r="R122" t="s">
        <v>95</v>
      </c>
      <c r="S122">
        <v>-62.615627099999998</v>
      </c>
      <c r="T122">
        <f t="shared" si="11"/>
        <v>-316.84863424754582</v>
      </c>
      <c r="U122" t="s">
        <v>95</v>
      </c>
      <c r="V122">
        <v>9971</v>
      </c>
      <c r="W122" t="s">
        <v>928</v>
      </c>
      <c r="X122">
        <v>298</v>
      </c>
      <c r="Y122" t="s">
        <v>147</v>
      </c>
      <c r="Z122">
        <v>-66.099999999999994</v>
      </c>
      <c r="AA122" t="s">
        <v>95</v>
      </c>
      <c r="AB122">
        <f t="shared" si="12"/>
        <v>-334.4803157575144</v>
      </c>
      <c r="AC122" t="s">
        <v>93</v>
      </c>
      <c r="AD122">
        <v>1.1000000000000001</v>
      </c>
      <c r="AE122" t="s">
        <v>95</v>
      </c>
      <c r="AF122" t="s">
        <v>93</v>
      </c>
      <c r="AP122">
        <v>0.5</v>
      </c>
      <c r="AZ122">
        <v>0.5</v>
      </c>
      <c r="CR122">
        <f t="shared" si="13"/>
        <v>-319.19158020443274</v>
      </c>
      <c r="CS122">
        <f t="shared" si="14"/>
        <v>-316.84863424754582</v>
      </c>
      <c r="CT122">
        <f t="shared" si="15"/>
        <v>-334.4803157575144</v>
      </c>
      <c r="CU122" s="7">
        <f t="shared" si="16"/>
        <v>-323.50684340316428</v>
      </c>
      <c r="CV122" s="9">
        <f t="shared" si="18"/>
        <v>197.62</v>
      </c>
      <c r="CW122" t="str">
        <f t="shared" si="17"/>
        <v>ZrPd</v>
      </c>
    </row>
    <row r="123" spans="1:101" ht="15.75" thickBot="1" x14ac:dyDescent="0.3">
      <c r="A123" t="s">
        <v>91</v>
      </c>
      <c r="B123" t="s">
        <v>742</v>
      </c>
      <c r="C123" t="s">
        <v>3144</v>
      </c>
      <c r="E123" t="s">
        <v>3145</v>
      </c>
      <c r="F123" t="s">
        <v>93</v>
      </c>
      <c r="G123" t="s">
        <v>743</v>
      </c>
      <c r="H123">
        <v>245.30549999999999</v>
      </c>
      <c r="I123">
        <v>296</v>
      </c>
      <c r="J123">
        <v>0</v>
      </c>
      <c r="K123" t="s">
        <v>95</v>
      </c>
      <c r="L123">
        <v>-81.035299859999995</v>
      </c>
      <c r="M123">
        <f t="shared" si="10"/>
        <v>-330.34440670918508</v>
      </c>
      <c r="N123" t="s">
        <v>95</v>
      </c>
      <c r="O123" t="s">
        <v>744</v>
      </c>
      <c r="P123" t="s">
        <v>93</v>
      </c>
      <c r="Q123">
        <v>0</v>
      </c>
      <c r="R123" t="s">
        <v>95</v>
      </c>
      <c r="S123">
        <v>-80.173941229999997</v>
      </c>
      <c r="T123">
        <f t="shared" si="11"/>
        <v>-326.83303566369278</v>
      </c>
      <c r="U123" t="s">
        <v>95</v>
      </c>
      <c r="V123">
        <v>30656</v>
      </c>
      <c r="W123" t="s">
        <v>430</v>
      </c>
      <c r="X123">
        <v>298</v>
      </c>
      <c r="Y123" t="s">
        <v>147</v>
      </c>
      <c r="Z123">
        <v>-76.2</v>
      </c>
      <c r="AA123" t="s">
        <v>95</v>
      </c>
      <c r="AB123">
        <f t="shared" si="12"/>
        <v>-310.63306774613699</v>
      </c>
      <c r="AC123" t="s">
        <v>93</v>
      </c>
      <c r="AD123">
        <v>1.8</v>
      </c>
      <c r="AE123" t="s">
        <v>95</v>
      </c>
      <c r="AF123" t="s">
        <v>93</v>
      </c>
      <c r="AL123">
        <v>0.5</v>
      </c>
      <c r="AZ123">
        <v>0.5</v>
      </c>
      <c r="CR123">
        <f t="shared" si="13"/>
        <v>-330.34440670918508</v>
      </c>
      <c r="CS123">
        <f t="shared" si="14"/>
        <v>-326.83303566369278</v>
      </c>
      <c r="CT123">
        <f t="shared" si="15"/>
        <v>-310.63306774613699</v>
      </c>
      <c r="CU123" s="7">
        <f t="shared" si="16"/>
        <v>-322.60350337300497</v>
      </c>
      <c r="CV123" s="9">
        <f t="shared" si="18"/>
        <v>245.30549999999999</v>
      </c>
      <c r="CW123" t="str">
        <f t="shared" si="17"/>
        <v>LaPd</v>
      </c>
    </row>
    <row r="124" spans="1:101" ht="15.75" thickBot="1" x14ac:dyDescent="0.3">
      <c r="A124" t="s">
        <v>484</v>
      </c>
      <c r="B124" t="s">
        <v>723</v>
      </c>
      <c r="C124" t="s">
        <v>3138</v>
      </c>
      <c r="D124" t="s">
        <v>3139</v>
      </c>
      <c r="F124" t="s">
        <v>3140</v>
      </c>
      <c r="G124" t="s">
        <v>724</v>
      </c>
      <c r="H124">
        <v>240.12</v>
      </c>
      <c r="I124">
        <v>289</v>
      </c>
      <c r="J124">
        <v>9.1774178499999994</v>
      </c>
      <c r="K124" t="s">
        <v>95</v>
      </c>
      <c r="L124">
        <v>-72.133565500000003</v>
      </c>
      <c r="M124">
        <f t="shared" si="10"/>
        <v>-300.40631975678826</v>
      </c>
      <c r="N124" t="s">
        <v>95</v>
      </c>
      <c r="O124" t="s">
        <v>725</v>
      </c>
      <c r="P124" t="s">
        <v>93</v>
      </c>
      <c r="Q124">
        <v>8.0268784100000001</v>
      </c>
      <c r="R124" t="s">
        <v>95</v>
      </c>
      <c r="S124">
        <v>-75.628987089999995</v>
      </c>
      <c r="T124">
        <f t="shared" si="11"/>
        <v>-314.96329789272028</v>
      </c>
      <c r="U124" t="s">
        <v>95</v>
      </c>
      <c r="V124">
        <v>116945</v>
      </c>
      <c r="W124" t="s">
        <v>102</v>
      </c>
      <c r="X124">
        <v>298</v>
      </c>
      <c r="Y124" t="s">
        <v>103</v>
      </c>
      <c r="Z124">
        <v>-84.3</v>
      </c>
      <c r="AA124" t="s">
        <v>95</v>
      </c>
      <c r="AB124">
        <f t="shared" si="12"/>
        <v>-351.07446276861566</v>
      </c>
      <c r="AC124" t="s">
        <v>93</v>
      </c>
      <c r="AD124">
        <v>3.8</v>
      </c>
      <c r="AE124" t="s">
        <v>95</v>
      </c>
      <c r="AF124" t="s">
        <v>93</v>
      </c>
      <c r="BA124">
        <v>0.5</v>
      </c>
      <c r="BB124">
        <v>0.5</v>
      </c>
      <c r="CR124">
        <f t="shared" si="13"/>
        <v>-300.40631975678826</v>
      </c>
      <c r="CS124">
        <f t="shared" si="14"/>
        <v>-314.96329789272028</v>
      </c>
      <c r="CT124">
        <f t="shared" si="15"/>
        <v>-351.07446276861566</v>
      </c>
      <c r="CU124" s="7">
        <f t="shared" si="16"/>
        <v>-322.1480268060414</v>
      </c>
      <c r="CV124" s="9">
        <f t="shared" si="18"/>
        <v>240.12</v>
      </c>
      <c r="CW124" t="str">
        <f t="shared" si="17"/>
        <v>TiIr</v>
      </c>
    </row>
    <row r="125" spans="1:101" ht="15.75" thickBot="1" x14ac:dyDescent="0.3">
      <c r="A125" t="s">
        <v>91</v>
      </c>
      <c r="B125" t="s">
        <v>885</v>
      </c>
      <c r="C125" t="s">
        <v>3144</v>
      </c>
      <c r="E125" t="s">
        <v>3145</v>
      </c>
      <c r="F125" t="s">
        <v>93</v>
      </c>
      <c r="G125" t="s">
        <v>886</v>
      </c>
      <c r="H125">
        <v>256.8</v>
      </c>
      <c r="I125">
        <v>351</v>
      </c>
      <c r="J125">
        <v>0</v>
      </c>
      <c r="K125" t="s">
        <v>95</v>
      </c>
      <c r="L125">
        <v>-83.037602939999999</v>
      </c>
      <c r="M125">
        <f t="shared" si="10"/>
        <v>-323.35515163551401</v>
      </c>
      <c r="N125" t="s">
        <v>95</v>
      </c>
      <c r="O125" t="s">
        <v>887</v>
      </c>
      <c r="P125" t="s">
        <v>93</v>
      </c>
      <c r="Q125">
        <v>0</v>
      </c>
      <c r="R125" t="s">
        <v>95</v>
      </c>
      <c r="S125">
        <v>-82.591372030000002</v>
      </c>
      <c r="T125">
        <f t="shared" si="11"/>
        <v>-321.61749232866043</v>
      </c>
      <c r="U125" t="s">
        <v>95</v>
      </c>
      <c r="V125">
        <v>18690</v>
      </c>
      <c r="W125" t="s">
        <v>430</v>
      </c>
      <c r="X125">
        <v>298</v>
      </c>
      <c r="Y125" t="s">
        <v>147</v>
      </c>
      <c r="Z125">
        <v>-82.4</v>
      </c>
      <c r="AA125" t="s">
        <v>95</v>
      </c>
      <c r="AB125">
        <f t="shared" si="12"/>
        <v>-320.87227414330221</v>
      </c>
      <c r="AC125" t="s">
        <v>93</v>
      </c>
      <c r="AD125">
        <v>2</v>
      </c>
      <c r="AE125" t="s">
        <v>95</v>
      </c>
      <c r="AF125" t="s">
        <v>93</v>
      </c>
      <c r="AZ125">
        <v>0.5</v>
      </c>
      <c r="BN125">
        <v>0.5</v>
      </c>
      <c r="CR125">
        <f t="shared" si="13"/>
        <v>-323.35515163551401</v>
      </c>
      <c r="CS125">
        <f t="shared" si="14"/>
        <v>-321.61749232866043</v>
      </c>
      <c r="CT125">
        <f t="shared" si="15"/>
        <v>-320.87227414330221</v>
      </c>
      <c r="CU125" s="7">
        <f t="shared" si="16"/>
        <v>-321.94830603582557</v>
      </c>
      <c r="CV125" s="9">
        <f t="shared" si="18"/>
        <v>256.8</v>
      </c>
      <c r="CW125" t="str">
        <f t="shared" si="17"/>
        <v>SmPd</v>
      </c>
    </row>
    <row r="126" spans="1:101" ht="15.75" thickBot="1" x14ac:dyDescent="0.3">
      <c r="A126" t="s">
        <v>91</v>
      </c>
      <c r="B126" t="s">
        <v>2741</v>
      </c>
      <c r="C126" t="s">
        <v>3144</v>
      </c>
      <c r="E126" t="s">
        <v>3145</v>
      </c>
      <c r="F126" t="s">
        <v>93</v>
      </c>
      <c r="G126" t="s">
        <v>2742</v>
      </c>
      <c r="H126">
        <v>278.12549999999999</v>
      </c>
      <c r="I126">
        <v>1121</v>
      </c>
      <c r="J126">
        <v>0</v>
      </c>
      <c r="K126" t="s">
        <v>95</v>
      </c>
      <c r="L126">
        <v>-85.975807259999996</v>
      </c>
      <c r="M126">
        <f t="shared" si="10"/>
        <v>-309.12594228145207</v>
      </c>
      <c r="N126" t="s">
        <v>95</v>
      </c>
      <c r="O126" t="s">
        <v>2743</v>
      </c>
      <c r="P126" t="s">
        <v>93</v>
      </c>
      <c r="Q126">
        <v>3.11648E-3</v>
      </c>
      <c r="R126" t="s">
        <v>95</v>
      </c>
      <c r="S126">
        <v>-87.237039749999994</v>
      </c>
      <c r="T126">
        <f t="shared" si="11"/>
        <v>-313.66070263244472</v>
      </c>
      <c r="U126" t="s">
        <v>95</v>
      </c>
      <c r="V126">
        <v>502620</v>
      </c>
      <c r="W126" t="s">
        <v>184</v>
      </c>
      <c r="X126">
        <v>298</v>
      </c>
      <c r="Y126" t="s">
        <v>185</v>
      </c>
      <c r="Z126">
        <v>-94.9</v>
      </c>
      <c r="AA126" t="s">
        <v>95</v>
      </c>
      <c r="AB126">
        <f t="shared" si="12"/>
        <v>-341.21286972967243</v>
      </c>
      <c r="AC126" t="s">
        <v>93</v>
      </c>
      <c r="AD126">
        <v>4</v>
      </c>
      <c r="AE126" t="s">
        <v>95</v>
      </c>
      <c r="AF126" t="s">
        <v>93</v>
      </c>
      <c r="AV126">
        <v>0.5</v>
      </c>
      <c r="BA126">
        <v>0.25</v>
      </c>
      <c r="BX126">
        <v>0.25</v>
      </c>
      <c r="CR126">
        <f t="shared" si="13"/>
        <v>-309.12594228145207</v>
      </c>
      <c r="CS126">
        <f t="shared" si="14"/>
        <v>-313.66070263244472</v>
      </c>
      <c r="CT126">
        <f t="shared" si="15"/>
        <v>-341.21286972967243</v>
      </c>
      <c r="CU126" s="7">
        <f t="shared" si="16"/>
        <v>-321.33317154785641</v>
      </c>
      <c r="CV126" s="9">
        <f t="shared" si="18"/>
        <v>278.12549999999999</v>
      </c>
      <c r="CW126" t="str">
        <f t="shared" si="17"/>
        <v>TiSiRu2</v>
      </c>
    </row>
    <row r="127" spans="1:101" ht="15.75" thickBot="1" x14ac:dyDescent="0.3">
      <c r="A127" t="s">
        <v>91</v>
      </c>
      <c r="B127" t="s">
        <v>829</v>
      </c>
      <c r="C127" t="s">
        <v>3144</v>
      </c>
      <c r="E127" t="s">
        <v>3145</v>
      </c>
      <c r="F127" t="s">
        <v>93</v>
      </c>
      <c r="G127" t="s">
        <v>830</v>
      </c>
      <c r="H127">
        <v>106.6</v>
      </c>
      <c r="I127">
        <v>341</v>
      </c>
      <c r="J127">
        <v>5.2234987899999998</v>
      </c>
      <c r="K127" t="s">
        <v>95</v>
      </c>
      <c r="L127">
        <v>-33.163234359999997</v>
      </c>
      <c r="M127">
        <f t="shared" si="10"/>
        <v>-311.09975947467166</v>
      </c>
      <c r="N127" t="s">
        <v>95</v>
      </c>
      <c r="O127" t="s">
        <v>831</v>
      </c>
      <c r="P127" t="s">
        <v>93</v>
      </c>
      <c r="Q127">
        <v>3.8108022199999998</v>
      </c>
      <c r="R127" t="s">
        <v>95</v>
      </c>
      <c r="S127">
        <v>-36.473315409999998</v>
      </c>
      <c r="T127">
        <f t="shared" si="11"/>
        <v>-342.15117645403376</v>
      </c>
      <c r="U127" t="s">
        <v>95</v>
      </c>
      <c r="V127">
        <v>116608</v>
      </c>
      <c r="W127" t="s">
        <v>102</v>
      </c>
      <c r="X127">
        <v>298</v>
      </c>
      <c r="Y127" t="s">
        <v>103</v>
      </c>
      <c r="Z127">
        <v>-33.1</v>
      </c>
      <c r="AA127" t="s">
        <v>95</v>
      </c>
      <c r="AB127">
        <f t="shared" si="12"/>
        <v>-310.50656660412761</v>
      </c>
      <c r="AC127" t="s">
        <v>93</v>
      </c>
      <c r="AD127">
        <v>1.1000000000000001</v>
      </c>
      <c r="AE127" t="s">
        <v>95</v>
      </c>
      <c r="AF127" t="s">
        <v>93</v>
      </c>
      <c r="AS127">
        <v>0.5</v>
      </c>
      <c r="BA127">
        <v>0.5</v>
      </c>
      <c r="CR127">
        <f t="shared" si="13"/>
        <v>-311.09975947467166</v>
      </c>
      <c r="CS127">
        <f t="shared" si="14"/>
        <v>-342.15117645403376</v>
      </c>
      <c r="CT127">
        <f t="shared" si="15"/>
        <v>-310.50656660412761</v>
      </c>
      <c r="CU127" s="7">
        <f t="shared" si="16"/>
        <v>-321.25250084427768</v>
      </c>
      <c r="CV127" s="9">
        <f t="shared" si="18"/>
        <v>106.6</v>
      </c>
      <c r="CW127" t="str">
        <f t="shared" si="17"/>
        <v>TiNi</v>
      </c>
    </row>
    <row r="128" spans="1:101" ht="15.75" thickBot="1" x14ac:dyDescent="0.3">
      <c r="A128" t="s">
        <v>91</v>
      </c>
      <c r="B128" t="s">
        <v>616</v>
      </c>
      <c r="C128" t="s">
        <v>3144</v>
      </c>
      <c r="E128" t="s">
        <v>3145</v>
      </c>
      <c r="F128" t="s">
        <v>93</v>
      </c>
      <c r="G128" t="s">
        <v>617</v>
      </c>
      <c r="H128">
        <v>263.64999999999998</v>
      </c>
      <c r="I128">
        <v>249</v>
      </c>
      <c r="J128">
        <v>0</v>
      </c>
      <c r="K128" t="s">
        <v>95</v>
      </c>
      <c r="L128">
        <v>-84.536178849999999</v>
      </c>
      <c r="M128">
        <f t="shared" si="10"/>
        <v>-320.63788678171818</v>
      </c>
      <c r="N128" t="s">
        <v>95</v>
      </c>
      <c r="O128" t="s">
        <v>618</v>
      </c>
      <c r="P128" t="s">
        <v>93</v>
      </c>
      <c r="Q128">
        <v>0</v>
      </c>
      <c r="R128" t="s">
        <v>95</v>
      </c>
      <c r="S128">
        <v>-86.932028389999999</v>
      </c>
      <c r="T128">
        <f t="shared" si="11"/>
        <v>-329.72512190403944</v>
      </c>
      <c r="U128" t="s">
        <v>95</v>
      </c>
      <c r="V128">
        <v>30400</v>
      </c>
      <c r="W128" t="s">
        <v>430</v>
      </c>
      <c r="X128">
        <v>298</v>
      </c>
      <c r="Y128" t="s">
        <v>147</v>
      </c>
      <c r="Z128">
        <v>-82.6</v>
      </c>
      <c r="AA128" t="s">
        <v>95</v>
      </c>
      <c r="AB128">
        <f t="shared" si="12"/>
        <v>-313.29413995827804</v>
      </c>
      <c r="AC128" t="s">
        <v>93</v>
      </c>
      <c r="AD128">
        <v>1.1000000000000001</v>
      </c>
      <c r="AE128" t="s">
        <v>95</v>
      </c>
      <c r="AF128" t="s">
        <v>93</v>
      </c>
      <c r="AZ128">
        <v>0.5</v>
      </c>
      <c r="BI128">
        <v>0.5</v>
      </c>
      <c r="CR128">
        <f t="shared" si="13"/>
        <v>-320.63788678171818</v>
      </c>
      <c r="CS128">
        <f t="shared" si="14"/>
        <v>-329.72512190403944</v>
      </c>
      <c r="CT128">
        <f t="shared" si="15"/>
        <v>-313.29413995827804</v>
      </c>
      <c r="CU128" s="7">
        <f t="shared" si="16"/>
        <v>-321.21904954801192</v>
      </c>
      <c r="CV128" s="9">
        <f t="shared" si="18"/>
        <v>263.64999999999998</v>
      </c>
      <c r="CW128" t="str">
        <f t="shared" si="17"/>
        <v>GdPd</v>
      </c>
    </row>
    <row r="129" spans="1:101" ht="15.75" thickBot="1" x14ac:dyDescent="0.3">
      <c r="A129" t="s">
        <v>91</v>
      </c>
      <c r="B129" t="s">
        <v>753</v>
      </c>
      <c r="C129" t="s">
        <v>3144</v>
      </c>
      <c r="E129" t="s">
        <v>3145</v>
      </c>
      <c r="F129" t="s">
        <v>93</v>
      </c>
      <c r="G129" t="s">
        <v>754</v>
      </c>
      <c r="H129">
        <v>333.99549999999999</v>
      </c>
      <c r="I129">
        <v>300</v>
      </c>
      <c r="J129">
        <v>0</v>
      </c>
      <c r="K129" t="s">
        <v>95</v>
      </c>
      <c r="L129">
        <v>-115.1096675</v>
      </c>
      <c r="M129">
        <f t="shared" si="10"/>
        <v>-344.6443664660153</v>
      </c>
      <c r="N129" t="s">
        <v>95</v>
      </c>
      <c r="O129" t="s">
        <v>755</v>
      </c>
      <c r="P129" t="s">
        <v>93</v>
      </c>
      <c r="Q129">
        <v>0</v>
      </c>
      <c r="R129" t="s">
        <v>95</v>
      </c>
      <c r="S129">
        <v>-114.5652561</v>
      </c>
      <c r="T129">
        <f t="shared" si="11"/>
        <v>-343.01437025349145</v>
      </c>
      <c r="U129" t="s">
        <v>95</v>
      </c>
      <c r="V129">
        <v>30659</v>
      </c>
      <c r="W129" t="s">
        <v>430</v>
      </c>
      <c r="X129">
        <v>298</v>
      </c>
      <c r="Y129" t="s">
        <v>147</v>
      </c>
      <c r="Z129">
        <v>-92.1</v>
      </c>
      <c r="AA129" t="s">
        <v>95</v>
      </c>
      <c r="AB129">
        <f t="shared" si="12"/>
        <v>-275.75221821850892</v>
      </c>
      <c r="AC129" t="s">
        <v>93</v>
      </c>
      <c r="AD129">
        <v>4.5999999999999996</v>
      </c>
      <c r="AE129" t="s">
        <v>95</v>
      </c>
      <c r="AF129" t="s">
        <v>93</v>
      </c>
      <c r="AL129">
        <v>0.5</v>
      </c>
      <c r="AY129">
        <v>0.5</v>
      </c>
      <c r="CR129">
        <f t="shared" si="13"/>
        <v>-344.6443664660153</v>
      </c>
      <c r="CS129">
        <f t="shared" si="14"/>
        <v>-343.01437025349145</v>
      </c>
      <c r="CT129">
        <f t="shared" si="15"/>
        <v>-275.75221821850892</v>
      </c>
      <c r="CU129" s="7">
        <f t="shared" si="16"/>
        <v>-321.13698497933859</v>
      </c>
      <c r="CV129" s="9">
        <f t="shared" si="18"/>
        <v>333.99549999999999</v>
      </c>
      <c r="CW129" t="str">
        <f t="shared" si="17"/>
        <v>LaPt</v>
      </c>
    </row>
    <row r="130" spans="1:101" ht="15.75" thickBot="1" x14ac:dyDescent="0.3">
      <c r="A130" t="s">
        <v>91</v>
      </c>
      <c r="B130" t="s">
        <v>1639</v>
      </c>
      <c r="C130" t="s">
        <v>3144</v>
      </c>
      <c r="E130" t="s">
        <v>3145</v>
      </c>
      <c r="F130" t="s">
        <v>93</v>
      </c>
      <c r="G130" t="s">
        <v>1640</v>
      </c>
      <c r="H130">
        <v>206.571</v>
      </c>
      <c r="I130">
        <v>630</v>
      </c>
      <c r="M130">
        <f t="shared" ref="M130:M193" si="19">(1000/H130)*L130</f>
        <v>0</v>
      </c>
      <c r="O130" t="s">
        <v>93</v>
      </c>
      <c r="P130" t="s">
        <v>93</v>
      </c>
      <c r="T130">
        <f t="shared" ref="T130:T193" si="20">(1000/H130)*S130</f>
        <v>0</v>
      </c>
      <c r="V130" t="s">
        <v>93</v>
      </c>
      <c r="W130" t="s">
        <v>364</v>
      </c>
      <c r="X130">
        <v>298</v>
      </c>
      <c r="Y130" t="s">
        <v>365</v>
      </c>
      <c r="Z130">
        <v>-66.3</v>
      </c>
      <c r="AA130" t="s">
        <v>95</v>
      </c>
      <c r="AB130">
        <f t="shared" ref="AB130:AB193" si="21">(1000/H130)*Z130</f>
        <v>-320.95502272826292</v>
      </c>
      <c r="AC130" t="s">
        <v>93</v>
      </c>
      <c r="AD130">
        <v>1.6</v>
      </c>
      <c r="AE130" t="s">
        <v>95</v>
      </c>
      <c r="AF130" t="s">
        <v>93</v>
      </c>
      <c r="AH130" t="s">
        <v>93</v>
      </c>
      <c r="AI130" t="s">
        <v>93</v>
      </c>
      <c r="AJ130" t="s">
        <v>93</v>
      </c>
      <c r="AK130" t="s">
        <v>93</v>
      </c>
      <c r="BN130">
        <v>0.33</v>
      </c>
      <c r="BX130">
        <v>0.66</v>
      </c>
      <c r="CR130">
        <f t="shared" ref="CR130:CR193" si="22">VALUE(M130)</f>
        <v>0</v>
      </c>
      <c r="CS130">
        <f t="shared" ref="CS130:CS193" si="23">VALUE(T130)</f>
        <v>0</v>
      </c>
      <c r="CT130">
        <f t="shared" ref="CT130:CT193" si="24">VALUE(AB130)</f>
        <v>-320.95502272826292</v>
      </c>
      <c r="CU130" s="7">
        <f t="shared" ref="CU130:CU193" si="25">SUM(CR130:CT130)/(COUNTIF(CR130:CT130,"&lt;&gt;0")-COUNTBLANK(CR130:CT130)-(COUNTA(CR130:CT130)-COUNT(CR130:CT130)))</f>
        <v>-320.95502272826292</v>
      </c>
      <c r="CV130" s="9">
        <f t="shared" si="18"/>
        <v>206.571</v>
      </c>
      <c r="CW130" t="str">
        <f t="shared" ref="CW130:CW193" si="26">G130</f>
        <v>Si2Sm</v>
      </c>
    </row>
    <row r="131" spans="1:101" ht="15.75" thickBot="1" x14ac:dyDescent="0.3">
      <c r="A131" t="s">
        <v>91</v>
      </c>
      <c r="B131" t="s">
        <v>829</v>
      </c>
      <c r="C131" t="s">
        <v>3144</v>
      </c>
      <c r="E131" t="s">
        <v>3145</v>
      </c>
      <c r="F131" t="s">
        <v>93</v>
      </c>
      <c r="G131" t="s">
        <v>830</v>
      </c>
      <c r="H131">
        <v>106.6</v>
      </c>
      <c r="I131">
        <v>1071</v>
      </c>
      <c r="J131">
        <v>5.2234987899999998</v>
      </c>
      <c r="K131" t="s">
        <v>95</v>
      </c>
      <c r="L131">
        <v>-33.163234359999997</v>
      </c>
      <c r="M131">
        <f t="shared" si="19"/>
        <v>-311.09975947467166</v>
      </c>
      <c r="N131" t="s">
        <v>95</v>
      </c>
      <c r="O131" t="s">
        <v>831</v>
      </c>
      <c r="P131" t="s">
        <v>93</v>
      </c>
      <c r="Q131">
        <v>3.8108022199999998</v>
      </c>
      <c r="R131" t="s">
        <v>95</v>
      </c>
      <c r="S131">
        <v>-36.473315409999998</v>
      </c>
      <c r="T131">
        <f t="shared" si="20"/>
        <v>-342.15117645403376</v>
      </c>
      <c r="U131" t="s">
        <v>95</v>
      </c>
      <c r="V131">
        <v>116608</v>
      </c>
      <c r="W131" t="s">
        <v>102</v>
      </c>
      <c r="X131">
        <v>298</v>
      </c>
      <c r="Y131" t="s">
        <v>103</v>
      </c>
      <c r="Z131">
        <v>-32.700000000000003</v>
      </c>
      <c r="AA131" t="s">
        <v>95</v>
      </c>
      <c r="AB131">
        <f t="shared" si="21"/>
        <v>-306.75422138836774</v>
      </c>
      <c r="AC131" t="s">
        <v>93</v>
      </c>
      <c r="AD131">
        <v>1</v>
      </c>
      <c r="AE131" t="s">
        <v>95</v>
      </c>
      <c r="AF131" t="s">
        <v>93</v>
      </c>
      <c r="AS131">
        <v>0.5</v>
      </c>
      <c r="BA131">
        <v>0.5</v>
      </c>
      <c r="CR131">
        <f t="shared" si="22"/>
        <v>-311.09975947467166</v>
      </c>
      <c r="CS131">
        <f t="shared" si="23"/>
        <v>-342.15117645403376</v>
      </c>
      <c r="CT131">
        <f t="shared" si="24"/>
        <v>-306.75422138836774</v>
      </c>
      <c r="CU131" s="7">
        <f t="shared" si="25"/>
        <v>-320.00171910569105</v>
      </c>
      <c r="CV131" s="9">
        <f t="shared" ref="CV131:CV194" si="27">H131</f>
        <v>106.6</v>
      </c>
      <c r="CW131" t="str">
        <f t="shared" si="26"/>
        <v>TiNi</v>
      </c>
    </row>
    <row r="132" spans="1:101" ht="15.75" thickBot="1" x14ac:dyDescent="0.3">
      <c r="A132" t="s">
        <v>484</v>
      </c>
      <c r="B132" t="s">
        <v>972</v>
      </c>
      <c r="C132" t="s">
        <v>3138</v>
      </c>
      <c r="D132" t="s">
        <v>3139</v>
      </c>
      <c r="F132" t="s">
        <v>3140</v>
      </c>
      <c r="G132" t="s">
        <v>973</v>
      </c>
      <c r="H132">
        <v>242.99</v>
      </c>
      <c r="I132">
        <v>387</v>
      </c>
      <c r="J132">
        <v>13.239778279999999</v>
      </c>
      <c r="K132" t="s">
        <v>95</v>
      </c>
      <c r="L132">
        <v>-76.349948990000001</v>
      </c>
      <c r="M132">
        <f t="shared" si="19"/>
        <v>-314.21025140952304</v>
      </c>
      <c r="N132" t="s">
        <v>95</v>
      </c>
      <c r="O132" t="s">
        <v>974</v>
      </c>
      <c r="P132" t="s">
        <v>93</v>
      </c>
      <c r="Q132">
        <v>12.50402075</v>
      </c>
      <c r="R132" t="s">
        <v>95</v>
      </c>
      <c r="S132">
        <v>-77.167989860000006</v>
      </c>
      <c r="T132">
        <f t="shared" si="20"/>
        <v>-317.57681328449735</v>
      </c>
      <c r="U132" t="s">
        <v>95</v>
      </c>
      <c r="V132">
        <v>18015</v>
      </c>
      <c r="W132" t="s">
        <v>102</v>
      </c>
      <c r="X132">
        <v>298</v>
      </c>
      <c r="Y132" t="s">
        <v>103</v>
      </c>
      <c r="Z132">
        <v>-79.7</v>
      </c>
      <c r="AA132" t="s">
        <v>95</v>
      </c>
      <c r="AB132">
        <f t="shared" si="21"/>
        <v>-327.99703691509939</v>
      </c>
      <c r="AC132" t="s">
        <v>93</v>
      </c>
      <c r="AD132">
        <v>6.5</v>
      </c>
      <c r="AE132" t="s">
        <v>95</v>
      </c>
      <c r="AF132" t="s">
        <v>93</v>
      </c>
      <c r="AY132">
        <v>0.5</v>
      </c>
      <c r="BA132">
        <v>0.5</v>
      </c>
      <c r="CR132">
        <f t="shared" si="22"/>
        <v>-314.21025140952304</v>
      </c>
      <c r="CS132">
        <f t="shared" si="23"/>
        <v>-317.57681328449735</v>
      </c>
      <c r="CT132">
        <f t="shared" si="24"/>
        <v>-327.99703691509939</v>
      </c>
      <c r="CU132" s="7">
        <f t="shared" si="25"/>
        <v>-319.92803386970655</v>
      </c>
      <c r="CV132" s="9">
        <f t="shared" si="27"/>
        <v>242.99</v>
      </c>
      <c r="CW132" t="str">
        <f t="shared" si="26"/>
        <v>TiPt</v>
      </c>
    </row>
    <row r="133" spans="1:101" ht="15.75" thickBot="1" x14ac:dyDescent="0.3">
      <c r="A133" t="s">
        <v>91</v>
      </c>
      <c r="B133" t="s">
        <v>350</v>
      </c>
      <c r="C133" t="s">
        <v>3144</v>
      </c>
      <c r="E133" t="s">
        <v>3145</v>
      </c>
      <c r="F133" t="s">
        <v>93</v>
      </c>
      <c r="G133" t="s">
        <v>351</v>
      </c>
      <c r="H133">
        <v>241.92239999999899</v>
      </c>
      <c r="I133">
        <v>148</v>
      </c>
      <c r="J133">
        <v>0</v>
      </c>
      <c r="K133" t="s">
        <v>95</v>
      </c>
      <c r="L133">
        <v>-77.191545590000004</v>
      </c>
      <c r="M133">
        <f t="shared" si="19"/>
        <v>-319.07564404949824</v>
      </c>
      <c r="N133" t="s">
        <v>95</v>
      </c>
      <c r="O133" t="s">
        <v>352</v>
      </c>
      <c r="P133" t="s">
        <v>93</v>
      </c>
      <c r="Q133">
        <v>0.22972329999999999</v>
      </c>
      <c r="R133" t="s">
        <v>95</v>
      </c>
      <c r="S133">
        <v>-77.545409570000004</v>
      </c>
      <c r="T133">
        <f t="shared" si="20"/>
        <v>-320.53836093722754</v>
      </c>
      <c r="U133" t="s">
        <v>95</v>
      </c>
      <c r="V133">
        <v>10797</v>
      </c>
      <c r="W133" t="s">
        <v>102</v>
      </c>
      <c r="X133">
        <v>298</v>
      </c>
      <c r="Y133" t="s">
        <v>103</v>
      </c>
      <c r="Z133">
        <v>-76.099999999999994</v>
      </c>
      <c r="AA133" t="s">
        <v>95</v>
      </c>
      <c r="AB133">
        <f t="shared" si="21"/>
        <v>-314.56367827038883</v>
      </c>
      <c r="AC133" t="s">
        <v>93</v>
      </c>
      <c r="AD133">
        <v>3</v>
      </c>
      <c r="AE133" t="s">
        <v>95</v>
      </c>
      <c r="AF133" t="s">
        <v>93</v>
      </c>
      <c r="BC133">
        <v>0.5</v>
      </c>
      <c r="CR133">
        <f t="shared" si="22"/>
        <v>-319.07564404949824</v>
      </c>
      <c r="CS133">
        <f t="shared" si="23"/>
        <v>-320.53836093722754</v>
      </c>
      <c r="CT133">
        <f t="shared" si="24"/>
        <v>-314.56367827038883</v>
      </c>
      <c r="CU133" s="7">
        <f t="shared" si="25"/>
        <v>-318.05922775237156</v>
      </c>
      <c r="CV133" s="9">
        <f t="shared" si="27"/>
        <v>241.92239999999899</v>
      </c>
      <c r="CW133" t="str">
        <f t="shared" si="26"/>
        <v>ScAu</v>
      </c>
    </row>
    <row r="134" spans="1:101" ht="15.75" thickBot="1" x14ac:dyDescent="0.3">
      <c r="A134" t="s">
        <v>91</v>
      </c>
      <c r="B134" t="s">
        <v>819</v>
      </c>
      <c r="C134" t="s">
        <v>3144</v>
      </c>
      <c r="E134" t="s">
        <v>3145</v>
      </c>
      <c r="F134" t="s">
        <v>93</v>
      </c>
      <c r="G134" t="s">
        <v>820</v>
      </c>
      <c r="H134">
        <v>339.33</v>
      </c>
      <c r="I134">
        <v>327</v>
      </c>
      <c r="M134">
        <f t="shared" si="19"/>
        <v>0</v>
      </c>
      <c r="O134" t="s">
        <v>93</v>
      </c>
      <c r="P134" t="s">
        <v>93</v>
      </c>
      <c r="Q134">
        <v>0</v>
      </c>
      <c r="R134" t="s">
        <v>95</v>
      </c>
      <c r="S134">
        <v>-110.8484569</v>
      </c>
      <c r="T134">
        <f t="shared" si="20"/>
        <v>-326.66860254030001</v>
      </c>
      <c r="U134" t="s">
        <v>95</v>
      </c>
      <c r="V134">
        <v>30808</v>
      </c>
      <c r="W134" t="s">
        <v>358</v>
      </c>
      <c r="X134">
        <v>298</v>
      </c>
      <c r="Y134" t="s">
        <v>359</v>
      </c>
      <c r="Z134">
        <v>-104.4</v>
      </c>
      <c r="AA134" t="s">
        <v>95</v>
      </c>
      <c r="AB134">
        <f t="shared" si="21"/>
        <v>-307.66510476527282</v>
      </c>
      <c r="AC134" t="s">
        <v>93</v>
      </c>
      <c r="AD134">
        <v>2.6</v>
      </c>
      <c r="AE134" t="s">
        <v>95</v>
      </c>
      <c r="AF134" t="s">
        <v>93</v>
      </c>
      <c r="AH134" t="s">
        <v>93</v>
      </c>
      <c r="AI134" t="s">
        <v>93</v>
      </c>
      <c r="AO134">
        <v>0.5</v>
      </c>
      <c r="AY134">
        <v>0.5</v>
      </c>
      <c r="CR134">
        <f t="shared" si="22"/>
        <v>0</v>
      </c>
      <c r="CS134">
        <f t="shared" si="23"/>
        <v>-326.66860254030001</v>
      </c>
      <c r="CT134">
        <f t="shared" si="24"/>
        <v>-307.66510476527282</v>
      </c>
      <c r="CU134" s="7">
        <f t="shared" si="25"/>
        <v>-317.16685365278641</v>
      </c>
      <c r="CV134" s="9">
        <f t="shared" si="27"/>
        <v>339.33</v>
      </c>
      <c r="CW134" t="str">
        <f t="shared" si="26"/>
        <v>NdPt</v>
      </c>
    </row>
    <row r="135" spans="1:101" ht="15.75" thickBot="1" x14ac:dyDescent="0.3">
      <c r="A135" t="s">
        <v>484</v>
      </c>
      <c r="B135" t="s">
        <v>925</v>
      </c>
      <c r="C135" t="s">
        <v>3138</v>
      </c>
      <c r="D135" t="s">
        <v>3139</v>
      </c>
      <c r="F135" t="s">
        <v>3140</v>
      </c>
      <c r="G135" t="s">
        <v>926</v>
      </c>
      <c r="H135">
        <v>197.62</v>
      </c>
      <c r="I135">
        <v>369</v>
      </c>
      <c r="J135">
        <v>0</v>
      </c>
      <c r="K135" t="s">
        <v>95</v>
      </c>
      <c r="L135">
        <v>-63.07864008</v>
      </c>
      <c r="M135">
        <f t="shared" si="19"/>
        <v>-319.19158020443274</v>
      </c>
      <c r="N135" t="s">
        <v>95</v>
      </c>
      <c r="O135" t="s">
        <v>927</v>
      </c>
      <c r="P135" t="s">
        <v>93</v>
      </c>
      <c r="Q135">
        <v>0</v>
      </c>
      <c r="R135" t="s">
        <v>95</v>
      </c>
      <c r="S135">
        <v>-62.615627099999998</v>
      </c>
      <c r="T135">
        <f t="shared" si="20"/>
        <v>-316.84863424754582</v>
      </c>
      <c r="U135" t="s">
        <v>95</v>
      </c>
      <c r="V135">
        <v>9971</v>
      </c>
      <c r="W135" t="s">
        <v>928</v>
      </c>
      <c r="X135">
        <v>298</v>
      </c>
      <c r="Y135" t="s">
        <v>147</v>
      </c>
      <c r="Z135">
        <v>-61.3</v>
      </c>
      <c r="AA135" t="s">
        <v>95</v>
      </c>
      <c r="AB135">
        <f t="shared" si="21"/>
        <v>-310.19127618662077</v>
      </c>
      <c r="AC135" t="s">
        <v>93</v>
      </c>
      <c r="AD135">
        <v>3.5</v>
      </c>
      <c r="AE135" t="s">
        <v>95</v>
      </c>
      <c r="AF135" t="s">
        <v>93</v>
      </c>
      <c r="AP135">
        <v>0.5</v>
      </c>
      <c r="AZ135">
        <v>0.5</v>
      </c>
      <c r="CR135">
        <f t="shared" si="22"/>
        <v>-319.19158020443274</v>
      </c>
      <c r="CS135">
        <f t="shared" si="23"/>
        <v>-316.84863424754582</v>
      </c>
      <c r="CT135">
        <f t="shared" si="24"/>
        <v>-310.19127618662077</v>
      </c>
      <c r="CU135" s="7">
        <f t="shared" si="25"/>
        <v>-315.41049687953313</v>
      </c>
      <c r="CV135" s="9">
        <f t="shared" si="27"/>
        <v>197.62</v>
      </c>
      <c r="CW135" t="str">
        <f t="shared" si="26"/>
        <v>ZrPd</v>
      </c>
    </row>
    <row r="136" spans="1:101" ht="15.75" thickBot="1" x14ac:dyDescent="0.3">
      <c r="A136" t="s">
        <v>91</v>
      </c>
      <c r="B136" t="s">
        <v>935</v>
      </c>
      <c r="C136" t="s">
        <v>3144</v>
      </c>
      <c r="E136" t="s">
        <v>3145</v>
      </c>
      <c r="F136" t="s">
        <v>93</v>
      </c>
      <c r="G136" t="s">
        <v>936</v>
      </c>
      <c r="H136">
        <v>335.99770000000001</v>
      </c>
      <c r="I136">
        <v>373</v>
      </c>
      <c r="M136">
        <f t="shared" si="19"/>
        <v>0</v>
      </c>
      <c r="O136" t="s">
        <v>93</v>
      </c>
      <c r="P136" t="s">
        <v>93</v>
      </c>
      <c r="Q136">
        <v>0</v>
      </c>
      <c r="R136" t="s">
        <v>95</v>
      </c>
      <c r="S136">
        <v>-107.9049401</v>
      </c>
      <c r="T136">
        <f t="shared" si="20"/>
        <v>-321.14785339304404</v>
      </c>
      <c r="U136" t="s">
        <v>95</v>
      </c>
      <c r="V136">
        <v>30953</v>
      </c>
      <c r="W136" t="s">
        <v>358</v>
      </c>
      <c r="X136">
        <v>298</v>
      </c>
      <c r="Y136" t="s">
        <v>359</v>
      </c>
      <c r="Z136">
        <v>-103.4</v>
      </c>
      <c r="AA136" t="s">
        <v>95</v>
      </c>
      <c r="AB136">
        <f t="shared" si="21"/>
        <v>-307.74020179304802</v>
      </c>
      <c r="AC136" t="s">
        <v>93</v>
      </c>
      <c r="AD136">
        <v>2.7</v>
      </c>
      <c r="AE136" t="s">
        <v>95</v>
      </c>
      <c r="AF136" t="s">
        <v>93</v>
      </c>
      <c r="AH136" t="s">
        <v>93</v>
      </c>
      <c r="AI136" t="s">
        <v>93</v>
      </c>
      <c r="AN136">
        <v>0.5</v>
      </c>
      <c r="AY136">
        <v>0.5</v>
      </c>
      <c r="CR136">
        <f t="shared" si="22"/>
        <v>0</v>
      </c>
      <c r="CS136">
        <f t="shared" si="23"/>
        <v>-321.14785339304404</v>
      </c>
      <c r="CT136">
        <f t="shared" si="24"/>
        <v>-307.74020179304802</v>
      </c>
      <c r="CU136" s="7">
        <f t="shared" si="25"/>
        <v>-314.44402759304603</v>
      </c>
      <c r="CV136" s="9">
        <f t="shared" si="27"/>
        <v>335.99770000000001</v>
      </c>
      <c r="CW136" t="str">
        <f t="shared" si="26"/>
        <v>PrPt</v>
      </c>
    </row>
    <row r="137" spans="1:101" ht="15.75" thickBot="1" x14ac:dyDescent="0.3">
      <c r="A137" t="s">
        <v>91</v>
      </c>
      <c r="B137" t="s">
        <v>1513</v>
      </c>
      <c r="C137" t="s">
        <v>3144</v>
      </c>
      <c r="E137" t="s">
        <v>3145</v>
      </c>
      <c r="F137" t="s">
        <v>93</v>
      </c>
      <c r="G137" t="s">
        <v>1514</v>
      </c>
      <c r="H137">
        <v>152.11099999999999</v>
      </c>
      <c r="I137">
        <v>581</v>
      </c>
      <c r="J137">
        <v>0</v>
      </c>
      <c r="K137" t="s">
        <v>95</v>
      </c>
      <c r="L137">
        <v>-47.298251880000002</v>
      </c>
      <c r="M137">
        <f t="shared" si="19"/>
        <v>-310.94563759359943</v>
      </c>
      <c r="N137" t="s">
        <v>95</v>
      </c>
      <c r="O137" t="s">
        <v>1515</v>
      </c>
      <c r="P137" t="s">
        <v>93</v>
      </c>
      <c r="Q137">
        <v>0</v>
      </c>
      <c r="R137" t="s">
        <v>95</v>
      </c>
      <c r="S137">
        <v>-47.919581809999997</v>
      </c>
      <c r="T137">
        <f t="shared" si="20"/>
        <v>-315.03035158535545</v>
      </c>
      <c r="U137" t="s">
        <v>95</v>
      </c>
      <c r="V137">
        <v>17715</v>
      </c>
      <c r="W137" t="s">
        <v>97</v>
      </c>
      <c r="X137">
        <v>298</v>
      </c>
      <c r="Y137" t="s">
        <v>98</v>
      </c>
      <c r="Z137">
        <v>-47.9</v>
      </c>
      <c r="AA137" t="s">
        <v>95</v>
      </c>
      <c r="AB137">
        <f t="shared" si="21"/>
        <v>-314.90161789745645</v>
      </c>
      <c r="AC137" t="s">
        <v>93</v>
      </c>
      <c r="AD137">
        <v>2.1</v>
      </c>
      <c r="AE137" t="s">
        <v>95</v>
      </c>
      <c r="AF137" t="s">
        <v>93</v>
      </c>
      <c r="BS137">
        <v>0.33</v>
      </c>
      <c r="BX137">
        <v>0.66</v>
      </c>
      <c r="CR137">
        <f t="shared" si="22"/>
        <v>-310.94563759359943</v>
      </c>
      <c r="CS137">
        <f t="shared" si="23"/>
        <v>-315.03035158535545</v>
      </c>
      <c r="CT137">
        <f t="shared" si="24"/>
        <v>-314.90161789745645</v>
      </c>
      <c r="CU137" s="7">
        <f t="shared" si="25"/>
        <v>-313.62586902547042</v>
      </c>
      <c r="CV137" s="9">
        <f t="shared" si="27"/>
        <v>152.11099999999999</v>
      </c>
      <c r="CW137" t="str">
        <f t="shared" si="26"/>
        <v>Si2Mo</v>
      </c>
    </row>
    <row r="138" spans="1:101" ht="15.75" thickBot="1" x14ac:dyDescent="0.3">
      <c r="A138" t="s">
        <v>91</v>
      </c>
      <c r="B138" t="s">
        <v>880</v>
      </c>
      <c r="C138" t="s">
        <v>3144</v>
      </c>
      <c r="E138" t="s">
        <v>3145</v>
      </c>
      <c r="F138" t="s">
        <v>93</v>
      </c>
      <c r="G138" t="s">
        <v>881</v>
      </c>
      <c r="H138">
        <v>247.30770000000001</v>
      </c>
      <c r="I138">
        <v>349</v>
      </c>
      <c r="J138">
        <v>0</v>
      </c>
      <c r="K138" t="s">
        <v>95</v>
      </c>
      <c r="L138">
        <v>-76.749902939999998</v>
      </c>
      <c r="M138">
        <f t="shared" si="19"/>
        <v>-310.34174407024125</v>
      </c>
      <c r="N138" t="s">
        <v>95</v>
      </c>
      <c r="O138" t="s">
        <v>882</v>
      </c>
      <c r="P138" t="s">
        <v>93</v>
      </c>
      <c r="Q138">
        <v>0</v>
      </c>
      <c r="R138" t="s">
        <v>95</v>
      </c>
      <c r="S138">
        <v>-76.467826619999997</v>
      </c>
      <c r="T138">
        <f t="shared" si="20"/>
        <v>-309.20115556450526</v>
      </c>
      <c r="U138" t="s">
        <v>95</v>
      </c>
      <c r="V138">
        <v>31204</v>
      </c>
      <c r="W138" t="s">
        <v>430</v>
      </c>
      <c r="X138">
        <v>298</v>
      </c>
      <c r="Y138" t="s">
        <v>147</v>
      </c>
      <c r="Z138">
        <v>-78.8</v>
      </c>
      <c r="AA138" t="s">
        <v>95</v>
      </c>
      <c r="AB138">
        <f t="shared" si="21"/>
        <v>-318.63140533028286</v>
      </c>
      <c r="AC138" t="s">
        <v>93</v>
      </c>
      <c r="AD138">
        <v>2.5</v>
      </c>
      <c r="AE138" t="s">
        <v>95</v>
      </c>
      <c r="AF138" t="s">
        <v>93</v>
      </c>
      <c r="AN138">
        <v>0.5</v>
      </c>
      <c r="AZ138">
        <v>0.5</v>
      </c>
      <c r="CR138">
        <f t="shared" si="22"/>
        <v>-310.34174407024125</v>
      </c>
      <c r="CS138">
        <f t="shared" si="23"/>
        <v>-309.20115556450526</v>
      </c>
      <c r="CT138">
        <f t="shared" si="24"/>
        <v>-318.63140533028286</v>
      </c>
      <c r="CU138" s="7">
        <f t="shared" si="25"/>
        <v>-312.72476832167644</v>
      </c>
      <c r="CV138" s="9">
        <f t="shared" si="27"/>
        <v>247.30770000000001</v>
      </c>
      <c r="CW138" t="str">
        <f t="shared" si="26"/>
        <v>PrPd</v>
      </c>
    </row>
    <row r="139" spans="1:101" ht="15.75" thickBot="1" x14ac:dyDescent="0.3">
      <c r="A139" t="s">
        <v>484</v>
      </c>
      <c r="B139" t="s">
        <v>918</v>
      </c>
      <c r="C139" t="s">
        <v>3138</v>
      </c>
      <c r="D139" t="s">
        <v>3139</v>
      </c>
      <c r="F139" t="s">
        <v>3140</v>
      </c>
      <c r="G139" t="s">
        <v>919</v>
      </c>
      <c r="H139">
        <v>154.30000000000001</v>
      </c>
      <c r="I139">
        <v>366</v>
      </c>
      <c r="J139">
        <v>6.9577364700000004</v>
      </c>
      <c r="K139" t="s">
        <v>95</v>
      </c>
      <c r="L139">
        <v>-46.084203690000002</v>
      </c>
      <c r="M139">
        <f t="shared" si="19"/>
        <v>-298.66625852235904</v>
      </c>
      <c r="N139" t="s">
        <v>95</v>
      </c>
      <c r="O139" t="s">
        <v>920</v>
      </c>
      <c r="P139" t="s">
        <v>93</v>
      </c>
      <c r="Q139">
        <v>7.8747261999999996</v>
      </c>
      <c r="R139" t="s">
        <v>95</v>
      </c>
      <c r="S139">
        <v>-46.960979029999997</v>
      </c>
      <c r="T139">
        <f t="shared" si="20"/>
        <v>-304.34853551523003</v>
      </c>
      <c r="U139" t="s">
        <v>95</v>
      </c>
      <c r="V139">
        <v>17970</v>
      </c>
      <c r="W139" t="s">
        <v>102</v>
      </c>
      <c r="X139">
        <v>298</v>
      </c>
      <c r="Y139" t="s">
        <v>103</v>
      </c>
      <c r="Z139">
        <v>-51.6</v>
      </c>
      <c r="AA139" t="s">
        <v>95</v>
      </c>
      <c r="AB139">
        <f t="shared" si="21"/>
        <v>-334.41348023331176</v>
      </c>
      <c r="AC139" t="s">
        <v>93</v>
      </c>
      <c r="AD139">
        <v>6.4</v>
      </c>
      <c r="AE139" t="s">
        <v>95</v>
      </c>
      <c r="AF139" t="s">
        <v>93</v>
      </c>
      <c r="AZ139">
        <v>0.5</v>
      </c>
      <c r="BA139">
        <v>0.5</v>
      </c>
      <c r="CR139">
        <f t="shared" si="22"/>
        <v>-298.66625852235904</v>
      </c>
      <c r="CS139">
        <f t="shared" si="23"/>
        <v>-304.34853551523003</v>
      </c>
      <c r="CT139">
        <f t="shared" si="24"/>
        <v>-334.41348023331176</v>
      </c>
      <c r="CU139" s="7">
        <f t="shared" si="25"/>
        <v>-312.47609142363359</v>
      </c>
      <c r="CV139" s="9">
        <f t="shared" si="27"/>
        <v>154.30000000000001</v>
      </c>
      <c r="CW139" t="str">
        <f t="shared" si="26"/>
        <v>TiPd</v>
      </c>
    </row>
    <row r="140" spans="1:101" ht="15.75" thickBot="1" x14ac:dyDescent="0.3">
      <c r="A140" t="s">
        <v>91</v>
      </c>
      <c r="B140" t="s">
        <v>805</v>
      </c>
      <c r="C140" t="s">
        <v>3144</v>
      </c>
      <c r="E140" t="s">
        <v>3145</v>
      </c>
      <c r="F140" t="s">
        <v>93</v>
      </c>
      <c r="G140" t="s">
        <v>806</v>
      </c>
      <c r="H140">
        <v>250.64</v>
      </c>
      <c r="I140">
        <v>323</v>
      </c>
      <c r="J140">
        <v>0</v>
      </c>
      <c r="K140" t="s">
        <v>95</v>
      </c>
      <c r="L140">
        <v>-78.961006580000003</v>
      </c>
      <c r="M140">
        <f t="shared" si="19"/>
        <v>-315.03753024257901</v>
      </c>
      <c r="N140" t="s">
        <v>95</v>
      </c>
      <c r="O140" t="s">
        <v>807</v>
      </c>
      <c r="P140" t="s">
        <v>93</v>
      </c>
      <c r="Q140">
        <v>0</v>
      </c>
      <c r="R140" t="s">
        <v>95</v>
      </c>
      <c r="S140">
        <v>-78.689182889999998</v>
      </c>
      <c r="T140">
        <f t="shared" si="20"/>
        <v>-313.95301184966485</v>
      </c>
      <c r="U140" t="s">
        <v>95</v>
      </c>
      <c r="V140">
        <v>30805</v>
      </c>
      <c r="W140" t="s">
        <v>430</v>
      </c>
      <c r="X140">
        <v>298</v>
      </c>
      <c r="Y140" t="s">
        <v>147</v>
      </c>
      <c r="Z140">
        <v>-77.2</v>
      </c>
      <c r="AA140" t="s">
        <v>95</v>
      </c>
      <c r="AB140">
        <f t="shared" si="21"/>
        <v>-308.01149058410471</v>
      </c>
      <c r="AC140" t="s">
        <v>93</v>
      </c>
      <c r="AD140">
        <v>2.7</v>
      </c>
      <c r="AE140" t="s">
        <v>95</v>
      </c>
      <c r="AF140" t="s">
        <v>93</v>
      </c>
      <c r="AO140">
        <v>0.5</v>
      </c>
      <c r="AZ140">
        <v>0.5</v>
      </c>
      <c r="CR140">
        <f t="shared" si="22"/>
        <v>-315.03753024257901</v>
      </c>
      <c r="CS140">
        <f t="shared" si="23"/>
        <v>-313.95301184966485</v>
      </c>
      <c r="CT140">
        <f t="shared" si="24"/>
        <v>-308.01149058410471</v>
      </c>
      <c r="CU140" s="7">
        <f t="shared" si="25"/>
        <v>-312.33401089211617</v>
      </c>
      <c r="CV140" s="9">
        <f t="shared" si="27"/>
        <v>250.64</v>
      </c>
      <c r="CW140" t="str">
        <f t="shared" si="26"/>
        <v>NdPd</v>
      </c>
    </row>
    <row r="141" spans="1:101" ht="15.75" thickBot="1" x14ac:dyDescent="0.3">
      <c r="A141" t="s">
        <v>91</v>
      </c>
      <c r="B141" t="s">
        <v>1556</v>
      </c>
      <c r="C141" t="s">
        <v>3144</v>
      </c>
      <c r="E141" t="s">
        <v>3145</v>
      </c>
      <c r="F141" t="s">
        <v>93</v>
      </c>
      <c r="G141" t="s">
        <v>1557</v>
      </c>
      <c r="H141">
        <v>197.0787</v>
      </c>
      <c r="I141">
        <v>596</v>
      </c>
      <c r="M141">
        <f t="shared" si="19"/>
        <v>0</v>
      </c>
      <c r="O141" t="s">
        <v>93</v>
      </c>
      <c r="P141" t="s">
        <v>93</v>
      </c>
      <c r="T141">
        <f t="shared" si="20"/>
        <v>0</v>
      </c>
      <c r="V141" t="s">
        <v>93</v>
      </c>
      <c r="W141" t="s">
        <v>364</v>
      </c>
      <c r="X141">
        <v>298</v>
      </c>
      <c r="Y141" t="s">
        <v>365</v>
      </c>
      <c r="Z141">
        <v>-61.5</v>
      </c>
      <c r="AA141" t="s">
        <v>95</v>
      </c>
      <c r="AB141">
        <f t="shared" si="21"/>
        <v>-312.05807629134961</v>
      </c>
      <c r="AC141" t="s">
        <v>93</v>
      </c>
      <c r="AD141">
        <v>1.7</v>
      </c>
      <c r="AE141" t="s">
        <v>95</v>
      </c>
      <c r="AF141" t="s">
        <v>93</v>
      </c>
      <c r="AH141" t="s">
        <v>93</v>
      </c>
      <c r="AI141" t="s">
        <v>93</v>
      </c>
      <c r="AJ141" t="s">
        <v>93</v>
      </c>
      <c r="AK141" t="s">
        <v>93</v>
      </c>
      <c r="AN141">
        <v>0.33</v>
      </c>
      <c r="BX141">
        <v>0.66</v>
      </c>
      <c r="CR141">
        <f t="shared" si="22"/>
        <v>0</v>
      </c>
      <c r="CS141">
        <f t="shared" si="23"/>
        <v>0</v>
      </c>
      <c r="CT141">
        <f t="shared" si="24"/>
        <v>-312.05807629134961</v>
      </c>
      <c r="CU141" s="7">
        <f t="shared" si="25"/>
        <v>-312.05807629134961</v>
      </c>
      <c r="CV141" s="9">
        <f t="shared" si="27"/>
        <v>197.0787</v>
      </c>
      <c r="CW141" t="str">
        <f t="shared" si="26"/>
        <v>PrSi2</v>
      </c>
    </row>
    <row r="142" spans="1:101" ht="15.75" thickBot="1" x14ac:dyDescent="0.3">
      <c r="A142" t="s">
        <v>91</v>
      </c>
      <c r="B142" t="s">
        <v>454</v>
      </c>
      <c r="C142" t="s">
        <v>3144</v>
      </c>
      <c r="E142" t="s">
        <v>3145</v>
      </c>
      <c r="F142" t="s">
        <v>93</v>
      </c>
      <c r="G142" t="s">
        <v>455</v>
      </c>
      <c r="H142">
        <v>335.21</v>
      </c>
      <c r="I142">
        <v>185</v>
      </c>
      <c r="J142">
        <v>0</v>
      </c>
      <c r="K142" t="s">
        <v>95</v>
      </c>
      <c r="L142">
        <v>-105.24969489999999</v>
      </c>
      <c r="M142">
        <f t="shared" si="19"/>
        <v>-313.9813695892127</v>
      </c>
      <c r="N142" t="s">
        <v>95</v>
      </c>
      <c r="O142" t="s">
        <v>456</v>
      </c>
      <c r="P142" t="s">
        <v>93</v>
      </c>
      <c r="Q142">
        <v>0</v>
      </c>
      <c r="R142" t="s">
        <v>95</v>
      </c>
      <c r="S142">
        <v>-104.1003255</v>
      </c>
      <c r="T142">
        <f t="shared" si="20"/>
        <v>-310.55256555592018</v>
      </c>
      <c r="U142" t="s">
        <v>95</v>
      </c>
      <c r="V142">
        <v>18268</v>
      </c>
      <c r="W142" t="s">
        <v>430</v>
      </c>
      <c r="X142">
        <v>298</v>
      </c>
      <c r="Y142" t="s">
        <v>147</v>
      </c>
      <c r="Z142">
        <v>-103.8</v>
      </c>
      <c r="AA142" t="s">
        <v>95</v>
      </c>
      <c r="AB142">
        <f t="shared" si="21"/>
        <v>-309.65663315533544</v>
      </c>
      <c r="AC142" t="s">
        <v>93</v>
      </c>
      <c r="AD142">
        <v>4</v>
      </c>
      <c r="AE142" t="s">
        <v>95</v>
      </c>
      <c r="AF142" t="s">
        <v>93</v>
      </c>
      <c r="AM142">
        <v>0.5</v>
      </c>
      <c r="AY142">
        <v>0.5</v>
      </c>
      <c r="CR142">
        <f t="shared" si="22"/>
        <v>-313.9813695892127</v>
      </c>
      <c r="CS142">
        <f t="shared" si="23"/>
        <v>-310.55256555592018</v>
      </c>
      <c r="CT142">
        <f t="shared" si="24"/>
        <v>-309.65663315533544</v>
      </c>
      <c r="CU142" s="7">
        <f t="shared" si="25"/>
        <v>-311.39685610015613</v>
      </c>
      <c r="CV142" s="9">
        <f t="shared" si="27"/>
        <v>335.21</v>
      </c>
      <c r="CW142" t="str">
        <f t="shared" si="26"/>
        <v>CePt</v>
      </c>
    </row>
    <row r="143" spans="1:101" ht="15.75" thickBot="1" x14ac:dyDescent="0.3">
      <c r="A143" t="s">
        <v>91</v>
      </c>
      <c r="B143" t="s">
        <v>148</v>
      </c>
      <c r="C143" t="s">
        <v>3144</v>
      </c>
      <c r="E143" t="s">
        <v>3145</v>
      </c>
      <c r="F143" t="s">
        <v>93</v>
      </c>
      <c r="G143" t="s">
        <v>149</v>
      </c>
      <c r="H143">
        <v>201.56898000000001</v>
      </c>
      <c r="I143">
        <v>17</v>
      </c>
      <c r="J143">
        <v>0</v>
      </c>
      <c r="K143" t="s">
        <v>95</v>
      </c>
      <c r="L143">
        <v>-62.543159500000002</v>
      </c>
      <c r="M143">
        <f t="shared" si="19"/>
        <v>-310.28166883614733</v>
      </c>
      <c r="N143" t="s">
        <v>95</v>
      </c>
      <c r="O143" t="s">
        <v>150</v>
      </c>
      <c r="P143" t="s">
        <v>93</v>
      </c>
      <c r="Q143">
        <v>0</v>
      </c>
      <c r="R143" t="s">
        <v>95</v>
      </c>
      <c r="S143">
        <v>-62.92025898</v>
      </c>
      <c r="T143">
        <f t="shared" si="20"/>
        <v>-312.15248983251291</v>
      </c>
      <c r="U143" t="s">
        <v>95</v>
      </c>
      <c r="V143">
        <v>10532</v>
      </c>
      <c r="W143" t="s">
        <v>151</v>
      </c>
      <c r="X143">
        <v>298</v>
      </c>
      <c r="Y143" t="s">
        <v>147</v>
      </c>
      <c r="Z143">
        <v>-62.8</v>
      </c>
      <c r="AA143" t="s">
        <v>95</v>
      </c>
      <c r="AB143">
        <f t="shared" si="21"/>
        <v>-311.55587531375113</v>
      </c>
      <c r="AC143" t="s">
        <v>93</v>
      </c>
      <c r="AD143">
        <v>1.5</v>
      </c>
      <c r="AE143" t="s">
        <v>95</v>
      </c>
      <c r="AF143" t="s">
        <v>93</v>
      </c>
      <c r="AG143">
        <v>0.25</v>
      </c>
      <c r="AR143">
        <v>0.5</v>
      </c>
      <c r="AS143">
        <v>0.25</v>
      </c>
      <c r="CR143">
        <f t="shared" si="22"/>
        <v>-310.28166883614733</v>
      </c>
      <c r="CS143">
        <f t="shared" si="23"/>
        <v>-312.15248983251291</v>
      </c>
      <c r="CT143">
        <f t="shared" si="24"/>
        <v>-311.55587531375113</v>
      </c>
      <c r="CU143" s="7">
        <f t="shared" si="25"/>
        <v>-311.33001132747046</v>
      </c>
      <c r="CV143" s="9">
        <f t="shared" si="27"/>
        <v>201.56898000000001</v>
      </c>
      <c r="CW143" t="str">
        <f t="shared" si="26"/>
        <v>YAl2Ni</v>
      </c>
    </row>
    <row r="144" spans="1:101" ht="15.75" thickBot="1" x14ac:dyDescent="0.3">
      <c r="A144" t="s">
        <v>91</v>
      </c>
      <c r="B144" t="s">
        <v>2188</v>
      </c>
      <c r="C144" t="s">
        <v>3144</v>
      </c>
      <c r="E144" t="s">
        <v>3145</v>
      </c>
      <c r="F144" t="s">
        <v>93</v>
      </c>
      <c r="G144" t="s">
        <v>2189</v>
      </c>
      <c r="H144">
        <v>175.49549999999999</v>
      </c>
      <c r="I144">
        <v>871</v>
      </c>
      <c r="J144">
        <v>0</v>
      </c>
      <c r="K144" t="s">
        <v>95</v>
      </c>
      <c r="L144">
        <v>-53.105183390000001</v>
      </c>
      <c r="M144">
        <f t="shared" si="19"/>
        <v>-302.60139656002576</v>
      </c>
      <c r="N144" t="s">
        <v>95</v>
      </c>
      <c r="O144" t="s">
        <v>2190</v>
      </c>
      <c r="P144" t="s">
        <v>93</v>
      </c>
      <c r="Q144">
        <v>0</v>
      </c>
      <c r="R144" t="s">
        <v>95</v>
      </c>
      <c r="S144">
        <v>-53.58628659</v>
      </c>
      <c r="T144">
        <f t="shared" si="20"/>
        <v>-305.34279562723833</v>
      </c>
      <c r="U144" t="s">
        <v>95</v>
      </c>
      <c r="V144">
        <v>646171</v>
      </c>
      <c r="W144" t="s">
        <v>358</v>
      </c>
      <c r="X144">
        <v>298</v>
      </c>
      <c r="Y144" t="s">
        <v>359</v>
      </c>
      <c r="Z144">
        <v>-56.9</v>
      </c>
      <c r="AA144" t="s">
        <v>95</v>
      </c>
      <c r="AB144">
        <f t="shared" si="21"/>
        <v>-324.22483767390048</v>
      </c>
      <c r="AC144" t="s">
        <v>93</v>
      </c>
      <c r="AD144">
        <v>1.1000000000000001</v>
      </c>
      <c r="AE144" t="s">
        <v>95</v>
      </c>
      <c r="AF144" t="s">
        <v>93</v>
      </c>
      <c r="BF144">
        <v>0.5</v>
      </c>
      <c r="CA144">
        <v>0.5</v>
      </c>
      <c r="CR144">
        <f t="shared" si="22"/>
        <v>-302.60139656002576</v>
      </c>
      <c r="CS144">
        <f t="shared" si="23"/>
        <v>-305.34279562723833</v>
      </c>
      <c r="CT144">
        <f t="shared" si="24"/>
        <v>-324.22483767390048</v>
      </c>
      <c r="CU144" s="7">
        <f t="shared" si="25"/>
        <v>-310.72300995372149</v>
      </c>
      <c r="CV144" s="9">
        <f t="shared" si="27"/>
        <v>175.49549999999999</v>
      </c>
      <c r="CW144" t="str">
        <f t="shared" si="26"/>
        <v>GeRh</v>
      </c>
    </row>
    <row r="145" spans="1:101" ht="15.75" thickBot="1" x14ac:dyDescent="0.3">
      <c r="A145" t="s">
        <v>91</v>
      </c>
      <c r="B145" t="s">
        <v>542</v>
      </c>
      <c r="C145" t="s">
        <v>3144</v>
      </c>
      <c r="E145" t="s">
        <v>3145</v>
      </c>
      <c r="F145" t="s">
        <v>93</v>
      </c>
      <c r="G145" t="s">
        <v>543</v>
      </c>
      <c r="H145">
        <v>265.40550000000002</v>
      </c>
      <c r="I145">
        <v>221</v>
      </c>
      <c r="J145">
        <v>0</v>
      </c>
      <c r="K145" t="s">
        <v>95</v>
      </c>
      <c r="L145">
        <v>-86.410017449999998</v>
      </c>
      <c r="M145">
        <f t="shared" si="19"/>
        <v>-325.57734278302445</v>
      </c>
      <c r="N145" t="s">
        <v>95</v>
      </c>
      <c r="O145" t="s">
        <v>544</v>
      </c>
      <c r="P145" t="s">
        <v>93</v>
      </c>
      <c r="Q145">
        <v>2.8923879999999999E-2</v>
      </c>
      <c r="R145" t="s">
        <v>95</v>
      </c>
      <c r="S145">
        <v>-84.281477240000001</v>
      </c>
      <c r="T145">
        <f t="shared" si="20"/>
        <v>-317.5573876200757</v>
      </c>
      <c r="U145" t="s">
        <v>95</v>
      </c>
      <c r="V145">
        <v>89140</v>
      </c>
      <c r="W145" t="s">
        <v>102</v>
      </c>
      <c r="X145">
        <v>298</v>
      </c>
      <c r="Y145" t="s">
        <v>103</v>
      </c>
      <c r="Z145">
        <v>-76.5</v>
      </c>
      <c r="AA145" t="s">
        <v>95</v>
      </c>
      <c r="AB145">
        <f t="shared" si="21"/>
        <v>-288.23818647315147</v>
      </c>
      <c r="AC145" t="s">
        <v>93</v>
      </c>
      <c r="AD145">
        <v>2</v>
      </c>
      <c r="AE145" t="s">
        <v>95</v>
      </c>
      <c r="AF145" t="s">
        <v>93</v>
      </c>
      <c r="BF145">
        <v>0.5</v>
      </c>
      <c r="BG145">
        <v>0.5</v>
      </c>
      <c r="CR145">
        <f t="shared" si="22"/>
        <v>-325.57734278302445</v>
      </c>
      <c r="CS145">
        <f t="shared" si="23"/>
        <v>-317.5573876200757</v>
      </c>
      <c r="CT145">
        <f t="shared" si="24"/>
        <v>-288.23818647315147</v>
      </c>
      <c r="CU145" s="7">
        <f t="shared" si="25"/>
        <v>-310.45763895875052</v>
      </c>
      <c r="CV145" s="9">
        <f t="shared" si="27"/>
        <v>265.40550000000002</v>
      </c>
      <c r="CW145" t="str">
        <f t="shared" si="26"/>
        <v>DyRh</v>
      </c>
    </row>
    <row r="146" spans="1:101" ht="15.75" thickBot="1" x14ac:dyDescent="0.3">
      <c r="A146" t="s">
        <v>91</v>
      </c>
      <c r="B146" t="s">
        <v>1490</v>
      </c>
      <c r="C146" t="s">
        <v>3144</v>
      </c>
      <c r="E146" t="s">
        <v>3145</v>
      </c>
      <c r="F146" t="s">
        <v>93</v>
      </c>
      <c r="G146" t="s">
        <v>1491</v>
      </c>
      <c r="H146">
        <v>195.07649999999899</v>
      </c>
      <c r="I146">
        <v>573</v>
      </c>
      <c r="M146">
        <f t="shared" si="19"/>
        <v>0</v>
      </c>
      <c r="O146" t="s">
        <v>93</v>
      </c>
      <c r="P146" t="s">
        <v>93</v>
      </c>
      <c r="Q146">
        <v>0</v>
      </c>
      <c r="R146" t="s">
        <v>95</v>
      </c>
      <c r="S146">
        <v>-64.248781960000002</v>
      </c>
      <c r="T146">
        <f t="shared" si="20"/>
        <v>-329.35172591265655</v>
      </c>
      <c r="U146" t="s">
        <v>95</v>
      </c>
      <c r="V146">
        <v>14081</v>
      </c>
      <c r="W146" t="s">
        <v>479</v>
      </c>
      <c r="X146">
        <v>298</v>
      </c>
      <c r="Y146" t="s">
        <v>480</v>
      </c>
      <c r="Z146">
        <v>-56.8</v>
      </c>
      <c r="AA146" t="s">
        <v>95</v>
      </c>
      <c r="AB146">
        <f t="shared" si="21"/>
        <v>-291.16782390498241</v>
      </c>
      <c r="AC146" t="s">
        <v>93</v>
      </c>
      <c r="AD146">
        <v>2.5</v>
      </c>
      <c r="AE146" t="s">
        <v>95</v>
      </c>
      <c r="AF146" t="s">
        <v>93</v>
      </c>
      <c r="AH146" t="s">
        <v>93</v>
      </c>
      <c r="AI146" t="s">
        <v>93</v>
      </c>
      <c r="AL146">
        <v>0.33</v>
      </c>
      <c r="BX146">
        <v>0.66</v>
      </c>
      <c r="CR146">
        <f t="shared" si="22"/>
        <v>0</v>
      </c>
      <c r="CS146">
        <f t="shared" si="23"/>
        <v>-329.35172591265655</v>
      </c>
      <c r="CT146">
        <f t="shared" si="24"/>
        <v>-291.16782390498241</v>
      </c>
      <c r="CU146" s="7">
        <f t="shared" si="25"/>
        <v>-310.25977490881951</v>
      </c>
      <c r="CV146" s="9">
        <f t="shared" si="27"/>
        <v>195.07649999999899</v>
      </c>
      <c r="CW146" t="str">
        <f t="shared" si="26"/>
        <v>LaSi2</v>
      </c>
    </row>
    <row r="147" spans="1:101" ht="15.75" thickBot="1" x14ac:dyDescent="0.3">
      <c r="A147" t="s">
        <v>91</v>
      </c>
      <c r="B147" t="s">
        <v>550</v>
      </c>
      <c r="C147" t="s">
        <v>3144</v>
      </c>
      <c r="E147" t="s">
        <v>3145</v>
      </c>
      <c r="F147" t="s">
        <v>93</v>
      </c>
      <c r="G147" t="s">
        <v>551</v>
      </c>
      <c r="H147">
        <v>268.89999999999998</v>
      </c>
      <c r="I147">
        <v>224</v>
      </c>
      <c r="M147">
        <f t="shared" si="19"/>
        <v>0</v>
      </c>
      <c r="O147" t="s">
        <v>93</v>
      </c>
      <c r="P147" t="s">
        <v>93</v>
      </c>
      <c r="T147">
        <f t="shared" si="20"/>
        <v>0</v>
      </c>
      <c r="V147" t="s">
        <v>93</v>
      </c>
      <c r="W147" t="s">
        <v>93</v>
      </c>
      <c r="X147">
        <v>298</v>
      </c>
      <c r="Y147" t="s">
        <v>93</v>
      </c>
      <c r="Z147">
        <v>-83.3</v>
      </c>
      <c r="AA147" t="s">
        <v>95</v>
      </c>
      <c r="AB147">
        <f t="shared" si="21"/>
        <v>-309.78058757902568</v>
      </c>
      <c r="AC147" t="s">
        <v>93</v>
      </c>
      <c r="AD147">
        <v>2</v>
      </c>
      <c r="AE147" t="s">
        <v>95</v>
      </c>
      <c r="AF147" t="s">
        <v>93</v>
      </c>
      <c r="AH147" t="s">
        <v>93</v>
      </c>
      <c r="AI147" t="s">
        <v>93</v>
      </c>
      <c r="AJ147" t="s">
        <v>93</v>
      </c>
      <c r="AK147" t="s">
        <v>93</v>
      </c>
      <c r="AZ147">
        <v>0.5</v>
      </c>
      <c r="BG147">
        <v>0.5</v>
      </c>
      <c r="CR147">
        <f t="shared" si="22"/>
        <v>0</v>
      </c>
      <c r="CS147">
        <f t="shared" si="23"/>
        <v>0</v>
      </c>
      <c r="CT147">
        <f t="shared" si="24"/>
        <v>-309.78058757902568</v>
      </c>
      <c r="CU147" s="7">
        <f t="shared" si="25"/>
        <v>-309.78058757902568</v>
      </c>
      <c r="CV147" s="9">
        <f t="shared" si="27"/>
        <v>268.89999999999998</v>
      </c>
      <c r="CW147" t="str">
        <f t="shared" si="26"/>
        <v>DyPd</v>
      </c>
    </row>
    <row r="148" spans="1:101" ht="15.75" thickBot="1" x14ac:dyDescent="0.3">
      <c r="A148" t="s">
        <v>91</v>
      </c>
      <c r="B148" t="s">
        <v>1525</v>
      </c>
      <c r="C148" t="s">
        <v>3144</v>
      </c>
      <c r="E148" t="s">
        <v>3145</v>
      </c>
      <c r="F148" t="s">
        <v>93</v>
      </c>
      <c r="G148" t="s">
        <v>1526</v>
      </c>
      <c r="H148">
        <v>200.411</v>
      </c>
      <c r="I148">
        <v>585</v>
      </c>
      <c r="M148">
        <f t="shared" si="19"/>
        <v>0</v>
      </c>
      <c r="O148" t="s">
        <v>93</v>
      </c>
      <c r="P148" t="s">
        <v>93</v>
      </c>
      <c r="T148">
        <f t="shared" si="20"/>
        <v>0</v>
      </c>
      <c r="V148" t="s">
        <v>93</v>
      </c>
      <c r="W148" t="s">
        <v>364</v>
      </c>
      <c r="X148">
        <v>298</v>
      </c>
      <c r="Y148" t="s">
        <v>365</v>
      </c>
      <c r="Z148">
        <v>-62</v>
      </c>
      <c r="AA148" t="s">
        <v>95</v>
      </c>
      <c r="AB148">
        <f t="shared" si="21"/>
        <v>-309.36425645298914</v>
      </c>
      <c r="AC148" t="s">
        <v>93</v>
      </c>
      <c r="AD148">
        <v>1.9</v>
      </c>
      <c r="AE148" t="s">
        <v>95</v>
      </c>
      <c r="AF148" t="s">
        <v>93</v>
      </c>
      <c r="AH148" t="s">
        <v>93</v>
      </c>
      <c r="AI148" t="s">
        <v>93</v>
      </c>
      <c r="AJ148" t="s">
        <v>93</v>
      </c>
      <c r="AK148" t="s">
        <v>93</v>
      </c>
      <c r="AO148">
        <v>0.33</v>
      </c>
      <c r="BX148">
        <v>0.66</v>
      </c>
      <c r="CR148">
        <f t="shared" si="22"/>
        <v>0</v>
      </c>
      <c r="CS148">
        <f t="shared" si="23"/>
        <v>0</v>
      </c>
      <c r="CT148">
        <f t="shared" si="24"/>
        <v>-309.36425645298914</v>
      </c>
      <c r="CU148" s="7">
        <f t="shared" si="25"/>
        <v>-309.36425645298914</v>
      </c>
      <c r="CV148" s="9">
        <f t="shared" si="27"/>
        <v>200.411</v>
      </c>
      <c r="CW148" t="str">
        <f t="shared" si="26"/>
        <v>NdSi2</v>
      </c>
    </row>
    <row r="149" spans="1:101" ht="15.75" thickBot="1" x14ac:dyDescent="0.3">
      <c r="A149" t="s">
        <v>484</v>
      </c>
      <c r="B149" t="s">
        <v>650</v>
      </c>
      <c r="C149" t="s">
        <v>3138</v>
      </c>
      <c r="D149" t="s">
        <v>3139</v>
      </c>
      <c r="F149" t="s">
        <v>3140</v>
      </c>
      <c r="G149" t="s">
        <v>651</v>
      </c>
      <c r="H149">
        <v>281.39550000000003</v>
      </c>
      <c r="I149">
        <v>264</v>
      </c>
      <c r="J149">
        <v>0</v>
      </c>
      <c r="K149" t="s">
        <v>95</v>
      </c>
      <c r="L149">
        <v>-81.437705690000001</v>
      </c>
      <c r="M149">
        <f t="shared" si="19"/>
        <v>-289.4065672336622</v>
      </c>
      <c r="N149" t="s">
        <v>95</v>
      </c>
      <c r="O149" t="s">
        <v>652</v>
      </c>
      <c r="P149" t="s">
        <v>93</v>
      </c>
      <c r="Q149">
        <v>0.11935618000000001</v>
      </c>
      <c r="R149" t="s">
        <v>95</v>
      </c>
      <c r="S149">
        <v>-83.195388530000002</v>
      </c>
      <c r="T149">
        <f t="shared" si="20"/>
        <v>-295.65287479721599</v>
      </c>
      <c r="U149" t="s">
        <v>95</v>
      </c>
      <c r="V149">
        <v>17386</v>
      </c>
      <c r="W149" t="s">
        <v>102</v>
      </c>
      <c r="X149">
        <v>298</v>
      </c>
      <c r="Y149" t="s">
        <v>103</v>
      </c>
      <c r="Z149">
        <v>-95.8</v>
      </c>
      <c r="AA149" t="s">
        <v>95</v>
      </c>
      <c r="AB149">
        <f t="shared" si="21"/>
        <v>-340.44609810746795</v>
      </c>
      <c r="AC149" t="s">
        <v>93</v>
      </c>
      <c r="AD149">
        <v>2.2000000000000002</v>
      </c>
      <c r="AE149" t="s">
        <v>95</v>
      </c>
      <c r="AF149" t="s">
        <v>93</v>
      </c>
      <c r="AQ149">
        <v>0.5</v>
      </c>
      <c r="BF149">
        <v>0.5</v>
      </c>
      <c r="CR149">
        <f t="shared" si="22"/>
        <v>-289.4065672336622</v>
      </c>
      <c r="CS149">
        <f t="shared" si="23"/>
        <v>-295.65287479721599</v>
      </c>
      <c r="CT149">
        <f t="shared" si="24"/>
        <v>-340.44609810746795</v>
      </c>
      <c r="CU149" s="7">
        <f t="shared" si="25"/>
        <v>-308.50184671278208</v>
      </c>
      <c r="CV149" s="9">
        <f t="shared" si="27"/>
        <v>281.39550000000003</v>
      </c>
      <c r="CW149" t="str">
        <f t="shared" si="26"/>
        <v>HfRh</v>
      </c>
    </row>
    <row r="150" spans="1:101" ht="15.75" thickBot="1" x14ac:dyDescent="0.3">
      <c r="A150" t="s">
        <v>91</v>
      </c>
      <c r="B150" t="s">
        <v>1354</v>
      </c>
      <c r="C150" t="s">
        <v>3144</v>
      </c>
      <c r="E150" t="s">
        <v>3145</v>
      </c>
      <c r="F150" t="s">
        <v>93</v>
      </c>
      <c r="G150" t="s">
        <v>1355</v>
      </c>
      <c r="H150">
        <v>196.291</v>
      </c>
      <c r="I150">
        <v>526</v>
      </c>
      <c r="M150">
        <f t="shared" si="19"/>
        <v>0</v>
      </c>
      <c r="O150" t="s">
        <v>93</v>
      </c>
      <c r="P150" t="s">
        <v>93</v>
      </c>
      <c r="T150">
        <f t="shared" si="20"/>
        <v>0</v>
      </c>
      <c r="V150" t="s">
        <v>93</v>
      </c>
      <c r="W150" t="s">
        <v>479</v>
      </c>
      <c r="X150">
        <v>298</v>
      </c>
      <c r="Y150" t="s">
        <v>480</v>
      </c>
      <c r="Z150">
        <v>-60.5</v>
      </c>
      <c r="AA150" t="s">
        <v>95</v>
      </c>
      <c r="AB150">
        <f t="shared" si="21"/>
        <v>-308.21586318272364</v>
      </c>
      <c r="AC150" t="s">
        <v>93</v>
      </c>
      <c r="AD150">
        <v>2</v>
      </c>
      <c r="AE150" t="s">
        <v>95</v>
      </c>
      <c r="AF150" t="s">
        <v>93</v>
      </c>
      <c r="AH150" t="s">
        <v>93</v>
      </c>
      <c r="AI150" t="s">
        <v>93</v>
      </c>
      <c r="AJ150" t="s">
        <v>93</v>
      </c>
      <c r="AK150" t="s">
        <v>93</v>
      </c>
      <c r="AM150">
        <v>0.33</v>
      </c>
      <c r="BX150">
        <v>0.66</v>
      </c>
      <c r="CR150">
        <f t="shared" si="22"/>
        <v>0</v>
      </c>
      <c r="CS150">
        <f t="shared" si="23"/>
        <v>0</v>
      </c>
      <c r="CT150">
        <f t="shared" si="24"/>
        <v>-308.21586318272364</v>
      </c>
      <c r="CU150" s="7">
        <f t="shared" si="25"/>
        <v>-308.21586318272364</v>
      </c>
      <c r="CV150" s="9">
        <f t="shared" si="27"/>
        <v>196.291</v>
      </c>
      <c r="CW150" t="str">
        <f t="shared" si="26"/>
        <v>CeSi2</v>
      </c>
    </row>
    <row r="151" spans="1:101" ht="15.75" thickBot="1" x14ac:dyDescent="0.3">
      <c r="A151" t="s">
        <v>91</v>
      </c>
      <c r="B151" t="s">
        <v>861</v>
      </c>
      <c r="C151" t="s">
        <v>3144</v>
      </c>
      <c r="E151" t="s">
        <v>3145</v>
      </c>
      <c r="F151" t="s">
        <v>93</v>
      </c>
      <c r="G151" t="s">
        <v>862</v>
      </c>
      <c r="H151">
        <v>149.91999999999999</v>
      </c>
      <c r="I151">
        <v>343</v>
      </c>
      <c r="J151">
        <v>0</v>
      </c>
      <c r="K151" t="s">
        <v>95</v>
      </c>
      <c r="L151">
        <v>-44.001070339999998</v>
      </c>
      <c r="M151">
        <f t="shared" si="19"/>
        <v>-293.49700066702241</v>
      </c>
      <c r="N151" t="s">
        <v>95</v>
      </c>
      <c r="O151" t="s">
        <v>863</v>
      </c>
      <c r="P151" t="s">
        <v>93</v>
      </c>
      <c r="Q151">
        <v>0</v>
      </c>
      <c r="R151" t="s">
        <v>95</v>
      </c>
      <c r="S151">
        <v>-43.977799820000001</v>
      </c>
      <c r="T151">
        <f t="shared" si="20"/>
        <v>-293.34178108324443</v>
      </c>
      <c r="U151" t="s">
        <v>95</v>
      </c>
      <c r="V151">
        <v>17864</v>
      </c>
      <c r="W151" t="s">
        <v>430</v>
      </c>
      <c r="X151">
        <v>298</v>
      </c>
      <c r="Y151" t="s">
        <v>147</v>
      </c>
      <c r="Z151">
        <v>-50.5</v>
      </c>
      <c r="AA151" t="s">
        <v>95</v>
      </c>
      <c r="AB151">
        <f t="shared" si="21"/>
        <v>-336.84631803628605</v>
      </c>
      <c r="AC151" t="s">
        <v>93</v>
      </c>
      <c r="AD151">
        <v>1.5</v>
      </c>
      <c r="AE151" t="s">
        <v>95</v>
      </c>
      <c r="AF151" t="s">
        <v>93</v>
      </c>
      <c r="AP151">
        <v>0.5</v>
      </c>
      <c r="AS151">
        <v>0.5</v>
      </c>
      <c r="CR151">
        <f t="shared" si="22"/>
        <v>-293.49700066702241</v>
      </c>
      <c r="CS151">
        <f t="shared" si="23"/>
        <v>-293.34178108324443</v>
      </c>
      <c r="CT151">
        <f t="shared" si="24"/>
        <v>-336.84631803628605</v>
      </c>
      <c r="CU151" s="7">
        <f t="shared" si="25"/>
        <v>-307.89503326218431</v>
      </c>
      <c r="CV151" s="9">
        <f t="shared" si="27"/>
        <v>149.91999999999999</v>
      </c>
      <c r="CW151" t="str">
        <f t="shared" si="26"/>
        <v>ZrNi</v>
      </c>
    </row>
    <row r="152" spans="1:101" ht="15.75" thickBot="1" x14ac:dyDescent="0.3">
      <c r="A152" t="s">
        <v>91</v>
      </c>
      <c r="B152" t="s">
        <v>326</v>
      </c>
      <c r="C152" t="s">
        <v>3144</v>
      </c>
      <c r="E152" t="s">
        <v>3145</v>
      </c>
      <c r="F152" t="s">
        <v>93</v>
      </c>
      <c r="G152" t="s">
        <v>327</v>
      </c>
      <c r="H152">
        <v>192.28154000000001</v>
      </c>
      <c r="I152">
        <v>130</v>
      </c>
      <c r="J152">
        <v>0</v>
      </c>
      <c r="K152" t="s">
        <v>95</v>
      </c>
      <c r="L152">
        <v>-59.871580729999998</v>
      </c>
      <c r="M152">
        <f t="shared" si="19"/>
        <v>-311.37456424574088</v>
      </c>
      <c r="N152" t="s">
        <v>95</v>
      </c>
      <c r="O152" t="s">
        <v>328</v>
      </c>
      <c r="P152" t="s">
        <v>93</v>
      </c>
      <c r="Q152">
        <v>0</v>
      </c>
      <c r="R152" t="s">
        <v>95</v>
      </c>
      <c r="S152">
        <v>-61.864152109999999</v>
      </c>
      <c r="T152">
        <f t="shared" si="20"/>
        <v>-321.73734467697727</v>
      </c>
      <c r="U152" t="s">
        <v>95</v>
      </c>
      <c r="V152">
        <v>21081</v>
      </c>
      <c r="W152" t="s">
        <v>184</v>
      </c>
      <c r="X152">
        <v>298</v>
      </c>
      <c r="Y152" t="s">
        <v>185</v>
      </c>
      <c r="Z152">
        <v>-55.8</v>
      </c>
      <c r="AA152" t="s">
        <v>95</v>
      </c>
      <c r="AB152">
        <f t="shared" si="21"/>
        <v>-290.19946480561782</v>
      </c>
      <c r="AC152" t="s">
        <v>93</v>
      </c>
      <c r="AD152">
        <v>2.2000000000000002</v>
      </c>
      <c r="AE152" t="s">
        <v>95</v>
      </c>
      <c r="AF152" t="s">
        <v>93</v>
      </c>
      <c r="AR152">
        <v>0.25</v>
      </c>
      <c r="AS152">
        <v>0.5</v>
      </c>
      <c r="BA152">
        <v>0.25</v>
      </c>
      <c r="CR152">
        <f t="shared" si="22"/>
        <v>-311.37456424574088</v>
      </c>
      <c r="CS152">
        <f t="shared" si="23"/>
        <v>-321.73734467697727</v>
      </c>
      <c r="CT152">
        <f t="shared" si="24"/>
        <v>-290.19946480561782</v>
      </c>
      <c r="CU152" s="7">
        <f t="shared" si="25"/>
        <v>-307.77045790944533</v>
      </c>
      <c r="CV152" s="9">
        <f t="shared" si="27"/>
        <v>192.28154000000001</v>
      </c>
      <c r="CW152" t="str">
        <f t="shared" si="26"/>
        <v>TiAlNi2</v>
      </c>
    </row>
    <row r="153" spans="1:101" ht="15.75" thickBot="1" x14ac:dyDescent="0.3">
      <c r="A153" t="s">
        <v>91</v>
      </c>
      <c r="B153" t="s">
        <v>2420</v>
      </c>
      <c r="C153" t="s">
        <v>3144</v>
      </c>
      <c r="E153" t="s">
        <v>3145</v>
      </c>
      <c r="F153" t="s">
        <v>93</v>
      </c>
      <c r="G153" t="s">
        <v>2421</v>
      </c>
      <c r="H153">
        <v>192.74794</v>
      </c>
      <c r="I153">
        <v>983</v>
      </c>
      <c r="J153">
        <v>0</v>
      </c>
      <c r="K153" t="s">
        <v>95</v>
      </c>
      <c r="L153">
        <v>-59.151491440000001</v>
      </c>
      <c r="M153">
        <f t="shared" si="19"/>
        <v>-306.88520686654294</v>
      </c>
      <c r="N153" t="s">
        <v>95</v>
      </c>
      <c r="O153" t="s">
        <v>2422</v>
      </c>
      <c r="P153" t="s">
        <v>93</v>
      </c>
      <c r="Q153">
        <v>3.7678669999999997E-2</v>
      </c>
      <c r="R153" t="s">
        <v>95</v>
      </c>
      <c r="S153">
        <v>-61.47062553</v>
      </c>
      <c r="T153">
        <f t="shared" si="20"/>
        <v>-318.91715952969457</v>
      </c>
      <c r="U153" t="s">
        <v>95</v>
      </c>
      <c r="V153">
        <v>27707</v>
      </c>
      <c r="W153" t="s">
        <v>184</v>
      </c>
      <c r="X153">
        <v>298</v>
      </c>
      <c r="Y153" t="s">
        <v>185</v>
      </c>
      <c r="Z153">
        <v>-55</v>
      </c>
      <c r="AA153" t="s">
        <v>95</v>
      </c>
      <c r="AB153">
        <f t="shared" si="21"/>
        <v>-285.34675908857963</v>
      </c>
      <c r="AC153" t="s">
        <v>93</v>
      </c>
      <c r="AD153">
        <v>3.7</v>
      </c>
      <c r="AE153" t="s">
        <v>95</v>
      </c>
      <c r="AF153" t="s">
        <v>93</v>
      </c>
      <c r="AR153">
        <v>0.25</v>
      </c>
      <c r="AW153">
        <v>0.5</v>
      </c>
      <c r="BA153">
        <v>0.25</v>
      </c>
      <c r="CR153">
        <f t="shared" si="22"/>
        <v>-306.88520686654294</v>
      </c>
      <c r="CS153">
        <f t="shared" si="23"/>
        <v>-318.91715952969457</v>
      </c>
      <c r="CT153">
        <f t="shared" si="24"/>
        <v>-285.34675908857963</v>
      </c>
      <c r="CU153" s="7">
        <f t="shared" si="25"/>
        <v>-303.71637516160575</v>
      </c>
      <c r="CV153" s="9">
        <f t="shared" si="27"/>
        <v>192.74794</v>
      </c>
      <c r="CW153" t="str">
        <f t="shared" si="26"/>
        <v>TiAlCo2</v>
      </c>
    </row>
    <row r="154" spans="1:101" ht="15.75" thickBot="1" x14ac:dyDescent="0.3">
      <c r="A154" t="s">
        <v>91</v>
      </c>
      <c r="B154" t="s">
        <v>1171</v>
      </c>
      <c r="C154" t="s">
        <v>3144</v>
      </c>
      <c r="E154" t="s">
        <v>3145</v>
      </c>
      <c r="G154" t="s">
        <v>1172</v>
      </c>
      <c r="H154">
        <v>128.84461999999999</v>
      </c>
      <c r="I154">
        <v>825</v>
      </c>
      <c r="J154">
        <v>0</v>
      </c>
      <c r="K154" t="s">
        <v>95</v>
      </c>
      <c r="L154">
        <v>-38.185496749999999</v>
      </c>
      <c r="M154">
        <f t="shared" si="19"/>
        <v>-296.36857751608102</v>
      </c>
      <c r="N154" t="s">
        <v>95</v>
      </c>
      <c r="O154" t="s">
        <v>1173</v>
      </c>
      <c r="P154" t="s">
        <v>93</v>
      </c>
      <c r="Q154">
        <v>0</v>
      </c>
      <c r="R154" t="s">
        <v>95</v>
      </c>
      <c r="S154">
        <v>-39.782349590000003</v>
      </c>
      <c r="T154">
        <f t="shared" si="20"/>
        <v>-308.76220978415711</v>
      </c>
      <c r="U154" t="s">
        <v>95</v>
      </c>
      <c r="V154">
        <v>18722</v>
      </c>
      <c r="W154" t="s">
        <v>870</v>
      </c>
      <c r="X154">
        <v>1073</v>
      </c>
      <c r="Y154" t="s">
        <v>98</v>
      </c>
      <c r="AB154">
        <f t="shared" si="21"/>
        <v>0</v>
      </c>
      <c r="AC154" t="s">
        <v>93</v>
      </c>
      <c r="AD154">
        <v>1.8</v>
      </c>
      <c r="AE154" t="s">
        <v>95</v>
      </c>
      <c r="AF154" t="s">
        <v>93</v>
      </c>
      <c r="AR154">
        <v>0.75</v>
      </c>
      <c r="BA154">
        <v>0.25</v>
      </c>
      <c r="CG154">
        <v>-47</v>
      </c>
      <c r="CH154" t="s">
        <v>95</v>
      </c>
      <c r="CI154" t="s">
        <v>93</v>
      </c>
      <c r="CR154">
        <f t="shared" si="22"/>
        <v>-296.36857751608102</v>
      </c>
      <c r="CS154">
        <f t="shared" si="23"/>
        <v>-308.76220978415711</v>
      </c>
      <c r="CT154">
        <f t="shared" si="24"/>
        <v>0</v>
      </c>
      <c r="CU154" s="7">
        <f t="shared" si="25"/>
        <v>-302.56539365011906</v>
      </c>
      <c r="CV154" s="9">
        <f t="shared" si="27"/>
        <v>128.84461999999999</v>
      </c>
      <c r="CW154" t="str">
        <f t="shared" si="26"/>
        <v>TiAl3</v>
      </c>
    </row>
    <row r="155" spans="1:101" ht="15.75" thickBot="1" x14ac:dyDescent="0.3">
      <c r="A155" t="s">
        <v>91</v>
      </c>
      <c r="B155" t="s">
        <v>1171</v>
      </c>
      <c r="C155" t="s">
        <v>3144</v>
      </c>
      <c r="E155" t="s">
        <v>3145</v>
      </c>
      <c r="G155" t="s">
        <v>1172</v>
      </c>
      <c r="H155">
        <v>128.84461999999999</v>
      </c>
      <c r="I155">
        <v>826</v>
      </c>
      <c r="J155">
        <v>0</v>
      </c>
      <c r="K155" t="s">
        <v>95</v>
      </c>
      <c r="L155">
        <v>-38.185496749999999</v>
      </c>
      <c r="M155">
        <f t="shared" si="19"/>
        <v>-296.36857751608102</v>
      </c>
      <c r="N155" t="s">
        <v>95</v>
      </c>
      <c r="O155" t="s">
        <v>1173</v>
      </c>
      <c r="P155" t="s">
        <v>93</v>
      </c>
      <c r="Q155">
        <v>0</v>
      </c>
      <c r="R155" t="s">
        <v>95</v>
      </c>
      <c r="S155">
        <v>-39.782349590000003</v>
      </c>
      <c r="T155">
        <f t="shared" si="20"/>
        <v>-308.76220978415711</v>
      </c>
      <c r="U155" t="s">
        <v>95</v>
      </c>
      <c r="V155">
        <v>18722</v>
      </c>
      <c r="W155" t="s">
        <v>870</v>
      </c>
      <c r="X155">
        <v>1073</v>
      </c>
      <c r="Y155" t="s">
        <v>98</v>
      </c>
      <c r="AB155">
        <f t="shared" si="21"/>
        <v>0</v>
      </c>
      <c r="AC155" t="s">
        <v>93</v>
      </c>
      <c r="AD155">
        <v>1.8</v>
      </c>
      <c r="AE155" t="s">
        <v>95</v>
      </c>
      <c r="AF155" t="s">
        <v>93</v>
      </c>
      <c r="AR155">
        <v>0.75</v>
      </c>
      <c r="BA155">
        <v>0.25</v>
      </c>
      <c r="CG155">
        <v>-39.200000000000003</v>
      </c>
      <c r="CH155" t="s">
        <v>95</v>
      </c>
      <c r="CI155" t="s">
        <v>93</v>
      </c>
      <c r="CR155">
        <f t="shared" si="22"/>
        <v>-296.36857751608102</v>
      </c>
      <c r="CS155">
        <f t="shared" si="23"/>
        <v>-308.76220978415711</v>
      </c>
      <c r="CT155">
        <f t="shared" si="24"/>
        <v>0</v>
      </c>
      <c r="CU155" s="7">
        <f t="shared" si="25"/>
        <v>-302.56539365011906</v>
      </c>
      <c r="CV155" s="9">
        <f t="shared" si="27"/>
        <v>128.84461999999999</v>
      </c>
      <c r="CW155" t="str">
        <f t="shared" si="26"/>
        <v>TiAl3</v>
      </c>
    </row>
    <row r="156" spans="1:101" ht="15.75" thickBot="1" x14ac:dyDescent="0.3">
      <c r="A156" t="s">
        <v>91</v>
      </c>
      <c r="B156" t="s">
        <v>1437</v>
      </c>
      <c r="C156" t="s">
        <v>3144</v>
      </c>
      <c r="E156" t="s">
        <v>3145</v>
      </c>
      <c r="F156" t="s">
        <v>93</v>
      </c>
      <c r="G156" t="s">
        <v>1438</v>
      </c>
      <c r="H156">
        <v>128.41999999999999</v>
      </c>
      <c r="I156">
        <v>553</v>
      </c>
      <c r="J156">
        <v>3.3235021499999999</v>
      </c>
      <c r="K156" t="s">
        <v>95</v>
      </c>
      <c r="L156">
        <v>-35.218086999999997</v>
      </c>
      <c r="M156">
        <f t="shared" si="19"/>
        <v>-274.24144992991745</v>
      </c>
      <c r="N156" t="s">
        <v>95</v>
      </c>
      <c r="O156" t="s">
        <v>1439</v>
      </c>
      <c r="P156" t="s">
        <v>93</v>
      </c>
      <c r="Q156">
        <v>3.1207590399999998</v>
      </c>
      <c r="R156" t="s">
        <v>95</v>
      </c>
      <c r="S156">
        <v>-36.302371049999998</v>
      </c>
      <c r="T156">
        <f t="shared" si="20"/>
        <v>-282.68471460831648</v>
      </c>
      <c r="U156" t="s">
        <v>95</v>
      </c>
      <c r="V156">
        <v>89558</v>
      </c>
      <c r="W156" t="s">
        <v>102</v>
      </c>
      <c r="X156">
        <v>298</v>
      </c>
      <c r="Y156" t="s">
        <v>103</v>
      </c>
      <c r="Z156">
        <v>-44.9</v>
      </c>
      <c r="AA156" t="s">
        <v>95</v>
      </c>
      <c r="AB156">
        <f t="shared" si="21"/>
        <v>-349.63401339355244</v>
      </c>
      <c r="AC156" t="s">
        <v>93</v>
      </c>
      <c r="AD156">
        <v>1.9</v>
      </c>
      <c r="AE156" t="s">
        <v>95</v>
      </c>
      <c r="AF156" t="s">
        <v>93</v>
      </c>
      <c r="AS156">
        <v>0.5</v>
      </c>
      <c r="BY156">
        <v>0.5</v>
      </c>
      <c r="CR156">
        <f t="shared" si="22"/>
        <v>-274.24144992991745</v>
      </c>
      <c r="CS156">
        <f t="shared" si="23"/>
        <v>-282.68471460831648</v>
      </c>
      <c r="CT156">
        <f t="shared" si="24"/>
        <v>-349.63401339355244</v>
      </c>
      <c r="CU156" s="7">
        <f t="shared" si="25"/>
        <v>-302.18672597726214</v>
      </c>
      <c r="CV156" s="9">
        <f t="shared" si="27"/>
        <v>128.41999999999999</v>
      </c>
      <c r="CW156" t="str">
        <f t="shared" si="26"/>
        <v>GaNi</v>
      </c>
    </row>
    <row r="157" spans="1:101" ht="15.75" thickBot="1" x14ac:dyDescent="0.3">
      <c r="A157" t="s">
        <v>91</v>
      </c>
      <c r="B157" t="s">
        <v>918</v>
      </c>
      <c r="C157" t="s">
        <v>3144</v>
      </c>
      <c r="E157" t="s">
        <v>3145</v>
      </c>
      <c r="G157" t="s">
        <v>919</v>
      </c>
      <c r="H157">
        <v>154.30000000000001</v>
      </c>
      <c r="I157">
        <v>773</v>
      </c>
      <c r="J157">
        <v>6.9577364700000004</v>
      </c>
      <c r="K157" t="s">
        <v>95</v>
      </c>
      <c r="L157">
        <v>-46.084203690000002</v>
      </c>
      <c r="M157">
        <f t="shared" si="19"/>
        <v>-298.66625852235904</v>
      </c>
      <c r="N157" t="s">
        <v>95</v>
      </c>
      <c r="O157" t="s">
        <v>920</v>
      </c>
      <c r="P157" t="s">
        <v>93</v>
      </c>
      <c r="Q157">
        <v>7.8747261999999996</v>
      </c>
      <c r="R157" t="s">
        <v>95</v>
      </c>
      <c r="S157">
        <v>-46.960979029999997</v>
      </c>
      <c r="T157">
        <f t="shared" si="20"/>
        <v>-304.34853551523003</v>
      </c>
      <c r="U157" t="s">
        <v>95</v>
      </c>
      <c r="V157">
        <v>17970</v>
      </c>
      <c r="W157" t="s">
        <v>102</v>
      </c>
      <c r="X157">
        <v>1523</v>
      </c>
      <c r="Y157" t="s">
        <v>103</v>
      </c>
      <c r="AB157">
        <f t="shared" si="21"/>
        <v>0</v>
      </c>
      <c r="AC157" t="s">
        <v>93</v>
      </c>
      <c r="AD157">
        <v>3</v>
      </c>
      <c r="AE157" t="s">
        <v>95</v>
      </c>
      <c r="AF157" t="s">
        <v>93</v>
      </c>
      <c r="AZ157">
        <v>0.5</v>
      </c>
      <c r="BA157">
        <v>0.5</v>
      </c>
      <c r="CG157">
        <v>-53.1</v>
      </c>
      <c r="CH157" t="s">
        <v>95</v>
      </c>
      <c r="CI157" t="s">
        <v>93</v>
      </c>
      <c r="CR157">
        <f t="shared" si="22"/>
        <v>-298.66625852235904</v>
      </c>
      <c r="CS157">
        <f t="shared" si="23"/>
        <v>-304.34853551523003</v>
      </c>
      <c r="CT157">
        <f t="shared" si="24"/>
        <v>0</v>
      </c>
      <c r="CU157" s="7">
        <f t="shared" si="25"/>
        <v>-301.50739701879456</v>
      </c>
      <c r="CV157" s="9">
        <f t="shared" si="27"/>
        <v>154.30000000000001</v>
      </c>
      <c r="CW157" t="str">
        <f t="shared" si="26"/>
        <v>TiPd</v>
      </c>
    </row>
    <row r="158" spans="1:101" ht="15.75" thickBot="1" x14ac:dyDescent="0.3">
      <c r="A158" t="s">
        <v>484</v>
      </c>
      <c r="B158" t="s">
        <v>641</v>
      </c>
      <c r="C158" t="s">
        <v>3138</v>
      </c>
      <c r="D158" t="s">
        <v>3139</v>
      </c>
      <c r="F158" t="s">
        <v>3140</v>
      </c>
      <c r="G158" t="s">
        <v>642</v>
      </c>
      <c r="H158">
        <v>373.58</v>
      </c>
      <c r="I158">
        <v>259</v>
      </c>
      <c r="J158">
        <v>0</v>
      </c>
      <c r="K158" t="s">
        <v>95</v>
      </c>
      <c r="L158">
        <v>-111.45293940000001</v>
      </c>
      <c r="M158">
        <f t="shared" si="19"/>
        <v>-298.33754323036572</v>
      </c>
      <c r="N158" t="s">
        <v>95</v>
      </c>
      <c r="O158" t="s">
        <v>643</v>
      </c>
      <c r="P158" t="s">
        <v>93</v>
      </c>
      <c r="Q158">
        <v>0</v>
      </c>
      <c r="R158" t="s">
        <v>95</v>
      </c>
      <c r="S158">
        <v>-110.9797449</v>
      </c>
      <c r="T158">
        <f t="shared" si="20"/>
        <v>-297.07089485518503</v>
      </c>
      <c r="U158" t="s">
        <v>95</v>
      </c>
      <c r="V158">
        <v>30519</v>
      </c>
      <c r="W158" t="s">
        <v>430</v>
      </c>
      <c r="X158">
        <v>298</v>
      </c>
      <c r="Y158" t="s">
        <v>147</v>
      </c>
      <c r="Z158">
        <v>-113.7</v>
      </c>
      <c r="AA158" t="s">
        <v>95</v>
      </c>
      <c r="AB158">
        <f t="shared" si="21"/>
        <v>-304.35248139622041</v>
      </c>
      <c r="AC158" t="s">
        <v>93</v>
      </c>
      <c r="AD158">
        <v>6.6</v>
      </c>
      <c r="AE158" t="s">
        <v>95</v>
      </c>
      <c r="AF158" t="s">
        <v>93</v>
      </c>
      <c r="AQ158">
        <v>0.5</v>
      </c>
      <c r="AY158">
        <v>0.5</v>
      </c>
      <c r="CR158">
        <f t="shared" si="22"/>
        <v>-298.33754323036572</v>
      </c>
      <c r="CS158">
        <f t="shared" si="23"/>
        <v>-297.07089485518503</v>
      </c>
      <c r="CT158">
        <f t="shared" si="24"/>
        <v>-304.35248139622041</v>
      </c>
      <c r="CU158" s="7">
        <f t="shared" si="25"/>
        <v>-299.92030649392376</v>
      </c>
      <c r="CV158" s="9">
        <f t="shared" si="27"/>
        <v>373.58</v>
      </c>
      <c r="CW158" t="str">
        <f t="shared" si="26"/>
        <v>HfPt</v>
      </c>
    </row>
    <row r="159" spans="1:101" ht="15.75" thickBot="1" x14ac:dyDescent="0.3">
      <c r="A159" t="s">
        <v>484</v>
      </c>
      <c r="B159" t="s">
        <v>1189</v>
      </c>
      <c r="C159" t="s">
        <v>3138</v>
      </c>
      <c r="D159" t="s">
        <v>3139</v>
      </c>
      <c r="F159" t="s">
        <v>3140</v>
      </c>
      <c r="G159" t="s">
        <v>1190</v>
      </c>
      <c r="H159">
        <v>120.68600000000001</v>
      </c>
      <c r="I159">
        <v>466</v>
      </c>
      <c r="J159">
        <v>0</v>
      </c>
      <c r="K159" t="s">
        <v>95</v>
      </c>
      <c r="L159">
        <v>-38.365952819999997</v>
      </c>
      <c r="M159">
        <f t="shared" si="19"/>
        <v>-317.89895116252092</v>
      </c>
      <c r="N159" t="s">
        <v>95</v>
      </c>
      <c r="O159" t="s">
        <v>1191</v>
      </c>
      <c r="P159" t="s">
        <v>93</v>
      </c>
      <c r="Q159">
        <v>0.58790896000000004</v>
      </c>
      <c r="R159" t="s">
        <v>95</v>
      </c>
      <c r="S159">
        <v>-38.416171490000004</v>
      </c>
      <c r="T159">
        <f t="shared" si="20"/>
        <v>-318.31506131614276</v>
      </c>
      <c r="U159" t="s">
        <v>95</v>
      </c>
      <c r="V159">
        <v>67949</v>
      </c>
      <c r="W159" t="s">
        <v>479</v>
      </c>
      <c r="X159">
        <v>298</v>
      </c>
      <c r="Y159" t="s">
        <v>480</v>
      </c>
      <c r="Z159">
        <v>-31.7</v>
      </c>
      <c r="AA159" t="s">
        <v>95</v>
      </c>
      <c r="AB159">
        <f t="shared" si="21"/>
        <v>-262.66509785724941</v>
      </c>
      <c r="AC159" t="s">
        <v>93</v>
      </c>
      <c r="AD159">
        <v>2</v>
      </c>
      <c r="AE159" t="s">
        <v>95</v>
      </c>
      <c r="AF159" t="s">
        <v>93</v>
      </c>
      <c r="BQ159">
        <v>0.33</v>
      </c>
      <c r="BR159">
        <v>0.66</v>
      </c>
      <c r="CR159">
        <f t="shared" si="22"/>
        <v>-317.89895116252092</v>
      </c>
      <c r="CS159">
        <f t="shared" si="23"/>
        <v>-318.31506131614276</v>
      </c>
      <c r="CT159">
        <f t="shared" si="24"/>
        <v>-262.66509785724941</v>
      </c>
      <c r="CU159" s="7">
        <f t="shared" si="25"/>
        <v>-299.62637011197103</v>
      </c>
      <c r="CV159" s="9">
        <f t="shared" si="27"/>
        <v>120.68600000000001</v>
      </c>
      <c r="CW159" t="str">
        <f t="shared" si="26"/>
        <v>Mn2B</v>
      </c>
    </row>
    <row r="160" spans="1:101" ht="15.75" thickBot="1" x14ac:dyDescent="0.3">
      <c r="A160" t="s">
        <v>484</v>
      </c>
      <c r="B160" t="s">
        <v>1024</v>
      </c>
      <c r="C160" t="s">
        <v>3138</v>
      </c>
      <c r="D160" t="s">
        <v>3139</v>
      </c>
      <c r="F160" t="s">
        <v>3140</v>
      </c>
      <c r="G160" t="s">
        <v>1025</v>
      </c>
      <c r="H160">
        <v>279.56</v>
      </c>
      <c r="I160">
        <v>410</v>
      </c>
      <c r="J160">
        <v>0</v>
      </c>
      <c r="K160" t="s">
        <v>95</v>
      </c>
      <c r="L160">
        <v>-80.385675520000007</v>
      </c>
      <c r="M160">
        <f t="shared" si="19"/>
        <v>-287.54355243954785</v>
      </c>
      <c r="N160" t="s">
        <v>95</v>
      </c>
      <c r="O160" t="s">
        <v>1026</v>
      </c>
      <c r="P160" t="s">
        <v>93</v>
      </c>
      <c r="Q160">
        <v>5.0679389999999998E-2</v>
      </c>
      <c r="R160" t="s">
        <v>95</v>
      </c>
      <c r="S160">
        <v>-78.392126939999997</v>
      </c>
      <c r="T160">
        <f t="shared" si="20"/>
        <v>-280.41253019029904</v>
      </c>
      <c r="U160" t="s">
        <v>95</v>
      </c>
      <c r="V160">
        <v>17389</v>
      </c>
      <c r="W160" t="s">
        <v>102</v>
      </c>
      <c r="X160">
        <v>298</v>
      </c>
      <c r="Y160" t="s">
        <v>103</v>
      </c>
      <c r="Z160">
        <v>-91.8</v>
      </c>
      <c r="AA160" t="s">
        <v>95</v>
      </c>
      <c r="AB160">
        <f t="shared" si="21"/>
        <v>-328.3731578194305</v>
      </c>
      <c r="AC160" t="s">
        <v>93</v>
      </c>
      <c r="AD160">
        <v>5.2</v>
      </c>
      <c r="AE160" t="s">
        <v>95</v>
      </c>
      <c r="AF160" t="s">
        <v>93</v>
      </c>
      <c r="AQ160">
        <v>0.5</v>
      </c>
      <c r="AV160">
        <v>0.5</v>
      </c>
      <c r="CR160">
        <f t="shared" si="22"/>
        <v>-287.54355243954785</v>
      </c>
      <c r="CS160">
        <f t="shared" si="23"/>
        <v>-280.41253019029904</v>
      </c>
      <c r="CT160">
        <f t="shared" si="24"/>
        <v>-328.3731578194305</v>
      </c>
      <c r="CU160" s="7">
        <f t="shared" si="25"/>
        <v>-298.77641348309243</v>
      </c>
      <c r="CV160" s="9">
        <f t="shared" si="27"/>
        <v>279.56</v>
      </c>
      <c r="CW160" t="str">
        <f t="shared" si="26"/>
        <v>HfRu</v>
      </c>
    </row>
    <row r="161" spans="1:101" ht="15.75" thickBot="1" x14ac:dyDescent="0.3">
      <c r="A161" t="s">
        <v>91</v>
      </c>
      <c r="B161" t="s">
        <v>2259</v>
      </c>
      <c r="C161" t="s">
        <v>3144</v>
      </c>
      <c r="E161" t="s">
        <v>3145</v>
      </c>
      <c r="F161" t="s">
        <v>93</v>
      </c>
      <c r="G161" t="s">
        <v>2260</v>
      </c>
      <c r="H161">
        <v>116.89333999999999</v>
      </c>
      <c r="I161">
        <v>903</v>
      </c>
      <c r="J161">
        <v>0</v>
      </c>
      <c r="K161" t="s">
        <v>95</v>
      </c>
      <c r="L161">
        <v>-33.769665889999999</v>
      </c>
      <c r="M161">
        <f t="shared" si="19"/>
        <v>-288.89298475002937</v>
      </c>
      <c r="N161" t="s">
        <v>95</v>
      </c>
      <c r="O161" t="s">
        <v>2261</v>
      </c>
      <c r="P161" t="s">
        <v>93</v>
      </c>
      <c r="Q161">
        <v>0</v>
      </c>
      <c r="R161" t="s">
        <v>95</v>
      </c>
      <c r="S161">
        <v>-33.95790504</v>
      </c>
      <c r="T161">
        <f t="shared" si="20"/>
        <v>-290.50333440724683</v>
      </c>
      <c r="U161" t="s">
        <v>95</v>
      </c>
      <c r="V161">
        <v>10540</v>
      </c>
      <c r="W161" t="s">
        <v>172</v>
      </c>
      <c r="X161">
        <v>300</v>
      </c>
      <c r="Y161" t="s">
        <v>179</v>
      </c>
      <c r="Z161">
        <v>-37</v>
      </c>
      <c r="AA161" t="s">
        <v>95</v>
      </c>
      <c r="AB161">
        <f t="shared" si="21"/>
        <v>-316.52787062120046</v>
      </c>
      <c r="AF161" t="s">
        <v>93</v>
      </c>
      <c r="AR161">
        <v>0.33</v>
      </c>
      <c r="CC161">
        <v>2</v>
      </c>
      <c r="CD161" t="s">
        <v>95</v>
      </c>
      <c r="CE161" t="s">
        <v>93</v>
      </c>
      <c r="CR161">
        <f t="shared" si="22"/>
        <v>-288.89298475002937</v>
      </c>
      <c r="CS161">
        <f t="shared" si="23"/>
        <v>-290.50333440724683</v>
      </c>
      <c r="CT161">
        <f t="shared" si="24"/>
        <v>-316.52787062120046</v>
      </c>
      <c r="CU161" s="7">
        <f t="shared" si="25"/>
        <v>-298.64139659282552</v>
      </c>
      <c r="CV161" s="9">
        <f t="shared" si="27"/>
        <v>116.89333999999999</v>
      </c>
      <c r="CW161" t="str">
        <f t="shared" si="26"/>
        <v>Sc2Al</v>
      </c>
    </row>
    <row r="162" spans="1:101" ht="15.75" thickBot="1" x14ac:dyDescent="0.3">
      <c r="A162" t="s">
        <v>91</v>
      </c>
      <c r="B162" t="s">
        <v>1270</v>
      </c>
      <c r="C162" t="s">
        <v>3144</v>
      </c>
      <c r="E162" t="s">
        <v>3145</v>
      </c>
      <c r="F162" t="s">
        <v>93</v>
      </c>
      <c r="G162" t="s">
        <v>1271</v>
      </c>
      <c r="H162">
        <v>183.36</v>
      </c>
      <c r="I162">
        <v>498</v>
      </c>
      <c r="J162">
        <v>0</v>
      </c>
      <c r="K162" t="s">
        <v>95</v>
      </c>
      <c r="L162">
        <v>-60.494582639999997</v>
      </c>
      <c r="M162">
        <f t="shared" si="19"/>
        <v>-329.92246204188473</v>
      </c>
      <c r="N162" t="s">
        <v>95</v>
      </c>
      <c r="O162" t="s">
        <v>1272</v>
      </c>
      <c r="P162" t="s">
        <v>93</v>
      </c>
      <c r="Q162">
        <v>0</v>
      </c>
      <c r="R162" t="s">
        <v>95</v>
      </c>
      <c r="S162">
        <v>-50.106922079999997</v>
      </c>
      <c r="T162">
        <f t="shared" si="20"/>
        <v>-273.27073560209419</v>
      </c>
      <c r="U162" t="s">
        <v>95</v>
      </c>
      <c r="V162">
        <v>4683</v>
      </c>
      <c r="W162" t="s">
        <v>1100</v>
      </c>
      <c r="X162">
        <v>298</v>
      </c>
      <c r="Y162" t="s">
        <v>1273</v>
      </c>
      <c r="Z162">
        <v>-53.5</v>
      </c>
      <c r="AA162" t="s">
        <v>95</v>
      </c>
      <c r="AB162">
        <f t="shared" si="21"/>
        <v>-291.77574171029664</v>
      </c>
      <c r="AC162" t="s">
        <v>93</v>
      </c>
      <c r="AD162">
        <v>1.5</v>
      </c>
      <c r="AE162" t="s">
        <v>95</v>
      </c>
      <c r="AF162" t="s">
        <v>93</v>
      </c>
      <c r="AM162">
        <v>0.2</v>
      </c>
      <c r="BQ162">
        <v>0.8</v>
      </c>
      <c r="CR162">
        <f t="shared" si="22"/>
        <v>-329.92246204188473</v>
      </c>
      <c r="CS162">
        <f t="shared" si="23"/>
        <v>-273.27073560209419</v>
      </c>
      <c r="CT162">
        <f t="shared" si="24"/>
        <v>-291.77574171029664</v>
      </c>
      <c r="CU162" s="7">
        <f t="shared" si="25"/>
        <v>-298.3229797847585</v>
      </c>
      <c r="CV162" s="9">
        <f t="shared" si="27"/>
        <v>183.36</v>
      </c>
      <c r="CW162" t="str">
        <f t="shared" si="26"/>
        <v>CeB4</v>
      </c>
    </row>
    <row r="163" spans="1:101" ht="15.75" thickBot="1" x14ac:dyDescent="0.3">
      <c r="A163" t="s">
        <v>91</v>
      </c>
      <c r="B163" t="s">
        <v>1487</v>
      </c>
      <c r="C163" t="s">
        <v>3144</v>
      </c>
      <c r="E163" t="s">
        <v>3145</v>
      </c>
      <c r="F163" t="s">
        <v>93</v>
      </c>
      <c r="G163" t="s">
        <v>1488</v>
      </c>
      <c r="H163">
        <v>220.30549999999999</v>
      </c>
      <c r="I163">
        <v>572</v>
      </c>
      <c r="J163">
        <v>0</v>
      </c>
      <c r="K163" t="s">
        <v>95</v>
      </c>
      <c r="L163">
        <v>-66.025899159999994</v>
      </c>
      <c r="M163">
        <f t="shared" si="19"/>
        <v>-299.70154698815958</v>
      </c>
      <c r="N163" t="s">
        <v>95</v>
      </c>
      <c r="O163" t="s">
        <v>1489</v>
      </c>
      <c r="P163" t="s">
        <v>93</v>
      </c>
      <c r="Q163">
        <v>0</v>
      </c>
      <c r="R163" t="s">
        <v>95</v>
      </c>
      <c r="S163">
        <v>-66.607465079999997</v>
      </c>
      <c r="T163">
        <f t="shared" si="20"/>
        <v>-302.34136269861619</v>
      </c>
      <c r="U163" t="s">
        <v>95</v>
      </c>
      <c r="V163">
        <v>3182</v>
      </c>
      <c r="W163" t="s">
        <v>358</v>
      </c>
      <c r="X163">
        <v>298</v>
      </c>
      <c r="Y163" t="s">
        <v>359</v>
      </c>
      <c r="Z163">
        <v>-64.400000000000006</v>
      </c>
      <c r="AA163" t="s">
        <v>95</v>
      </c>
      <c r="AB163">
        <f t="shared" si="21"/>
        <v>-292.32134467818554</v>
      </c>
      <c r="AC163" t="s">
        <v>93</v>
      </c>
      <c r="AD163">
        <v>2.6</v>
      </c>
      <c r="AE163" t="s">
        <v>95</v>
      </c>
      <c r="AF163" t="s">
        <v>93</v>
      </c>
      <c r="BB163">
        <v>0.5</v>
      </c>
      <c r="BX163">
        <v>0.5</v>
      </c>
      <c r="CR163">
        <f t="shared" si="22"/>
        <v>-299.70154698815958</v>
      </c>
      <c r="CS163">
        <f t="shared" si="23"/>
        <v>-302.34136269861619</v>
      </c>
      <c r="CT163">
        <f t="shared" si="24"/>
        <v>-292.32134467818554</v>
      </c>
      <c r="CU163" s="7">
        <f t="shared" si="25"/>
        <v>-298.12141812165379</v>
      </c>
      <c r="CV163" s="9">
        <f t="shared" si="27"/>
        <v>220.30549999999999</v>
      </c>
      <c r="CW163" t="str">
        <f t="shared" si="26"/>
        <v>SiIr</v>
      </c>
    </row>
    <row r="164" spans="1:101" ht="15.75" thickBot="1" x14ac:dyDescent="0.3">
      <c r="A164" t="s">
        <v>91</v>
      </c>
      <c r="B164" t="s">
        <v>772</v>
      </c>
      <c r="C164" t="s">
        <v>3144</v>
      </c>
      <c r="E164" t="s">
        <v>3145</v>
      </c>
      <c r="F164" t="s">
        <v>93</v>
      </c>
      <c r="G164" t="s">
        <v>773</v>
      </c>
      <c r="H164">
        <v>370.05700000000002</v>
      </c>
      <c r="I164">
        <v>309</v>
      </c>
      <c r="M164">
        <f t="shared" si="19"/>
        <v>0</v>
      </c>
      <c r="O164" t="s">
        <v>93</v>
      </c>
      <c r="P164" t="s">
        <v>93</v>
      </c>
      <c r="Q164">
        <v>0</v>
      </c>
      <c r="R164" t="s">
        <v>95</v>
      </c>
      <c r="S164">
        <v>-129.3729798</v>
      </c>
      <c r="T164">
        <f t="shared" si="20"/>
        <v>-349.60284442666938</v>
      </c>
      <c r="U164" t="s">
        <v>95</v>
      </c>
      <c r="V164">
        <v>30701</v>
      </c>
      <c r="W164" t="s">
        <v>358</v>
      </c>
      <c r="X164">
        <v>298</v>
      </c>
      <c r="Y164" t="s">
        <v>359</v>
      </c>
      <c r="Z164">
        <v>-90.6</v>
      </c>
      <c r="AA164" t="s">
        <v>95</v>
      </c>
      <c r="AB164">
        <f t="shared" si="21"/>
        <v>-244.82714825013443</v>
      </c>
      <c r="AC164" t="s">
        <v>93</v>
      </c>
      <c r="AD164">
        <v>7.7</v>
      </c>
      <c r="AE164" t="s">
        <v>95</v>
      </c>
      <c r="AF164" t="s">
        <v>93</v>
      </c>
      <c r="AH164" t="s">
        <v>93</v>
      </c>
      <c r="AI164" t="s">
        <v>93</v>
      </c>
      <c r="AY164">
        <v>0.5</v>
      </c>
      <c r="BL164">
        <v>0.5</v>
      </c>
      <c r="CR164">
        <f t="shared" si="22"/>
        <v>0</v>
      </c>
      <c r="CS164">
        <f t="shared" si="23"/>
        <v>-349.60284442666938</v>
      </c>
      <c r="CT164">
        <f t="shared" si="24"/>
        <v>-244.82714825013443</v>
      </c>
      <c r="CU164" s="7">
        <f t="shared" si="25"/>
        <v>-297.21499633840187</v>
      </c>
      <c r="CV164" s="9">
        <f t="shared" si="27"/>
        <v>370.05700000000002</v>
      </c>
      <c r="CW164" t="str">
        <f t="shared" si="26"/>
        <v>LuPt</v>
      </c>
    </row>
    <row r="165" spans="1:101" ht="15.75" thickBot="1" x14ac:dyDescent="0.3">
      <c r="A165" t="s">
        <v>484</v>
      </c>
      <c r="B165" t="s">
        <v>1487</v>
      </c>
      <c r="C165" t="s">
        <v>3138</v>
      </c>
      <c r="D165" t="s">
        <v>3139</v>
      </c>
      <c r="F165" t="s">
        <v>3140</v>
      </c>
      <c r="G165" t="s">
        <v>1488</v>
      </c>
      <c r="H165">
        <v>220.30549999999999</v>
      </c>
      <c r="I165">
        <v>571</v>
      </c>
      <c r="J165">
        <v>0</v>
      </c>
      <c r="K165" t="s">
        <v>95</v>
      </c>
      <c r="L165">
        <v>-66.025899159999994</v>
      </c>
      <c r="M165">
        <f t="shared" si="19"/>
        <v>-299.70154698815958</v>
      </c>
      <c r="N165" t="s">
        <v>95</v>
      </c>
      <c r="O165" t="s">
        <v>1489</v>
      </c>
      <c r="P165" t="s">
        <v>93</v>
      </c>
      <c r="Q165">
        <v>0</v>
      </c>
      <c r="R165" t="s">
        <v>95</v>
      </c>
      <c r="S165">
        <v>-66.607465079999997</v>
      </c>
      <c r="T165">
        <f t="shared" si="20"/>
        <v>-302.34136269861619</v>
      </c>
      <c r="U165" t="s">
        <v>95</v>
      </c>
      <c r="V165">
        <v>3182</v>
      </c>
      <c r="W165" t="s">
        <v>358</v>
      </c>
      <c r="X165">
        <v>298</v>
      </c>
      <c r="Y165" t="s">
        <v>359</v>
      </c>
      <c r="Z165">
        <v>-63.8</v>
      </c>
      <c r="AA165" t="s">
        <v>95</v>
      </c>
      <c r="AB165">
        <f t="shared" si="21"/>
        <v>-289.59785388925832</v>
      </c>
      <c r="AC165" t="s">
        <v>93</v>
      </c>
      <c r="AD165">
        <v>3.7</v>
      </c>
      <c r="AE165" t="s">
        <v>95</v>
      </c>
      <c r="AF165" t="s">
        <v>93</v>
      </c>
      <c r="BB165">
        <v>0.5</v>
      </c>
      <c r="BX165">
        <v>0.5</v>
      </c>
      <c r="CR165">
        <f t="shared" si="22"/>
        <v>-299.70154698815958</v>
      </c>
      <c r="CS165">
        <f t="shared" si="23"/>
        <v>-302.34136269861619</v>
      </c>
      <c r="CT165">
        <f t="shared" si="24"/>
        <v>-289.59785388925832</v>
      </c>
      <c r="CU165" s="7">
        <f t="shared" si="25"/>
        <v>-297.21358785867807</v>
      </c>
      <c r="CV165" s="9">
        <f t="shared" si="27"/>
        <v>220.30549999999999</v>
      </c>
      <c r="CW165" t="str">
        <f t="shared" si="26"/>
        <v>SiIr</v>
      </c>
    </row>
    <row r="166" spans="1:101" ht="15.75" thickBot="1" x14ac:dyDescent="0.3">
      <c r="A166" t="s">
        <v>91</v>
      </c>
      <c r="B166" t="s">
        <v>1171</v>
      </c>
      <c r="C166" t="s">
        <v>3144</v>
      </c>
      <c r="E166" t="s">
        <v>3145</v>
      </c>
      <c r="F166" t="s">
        <v>93</v>
      </c>
      <c r="G166" t="s">
        <v>1172</v>
      </c>
      <c r="H166">
        <v>128.84461999999999</v>
      </c>
      <c r="I166">
        <v>460</v>
      </c>
      <c r="J166">
        <v>0</v>
      </c>
      <c r="K166" t="s">
        <v>95</v>
      </c>
      <c r="L166">
        <v>-38.185496749999999</v>
      </c>
      <c r="M166">
        <f t="shared" si="19"/>
        <v>-296.36857751608102</v>
      </c>
      <c r="N166" t="s">
        <v>95</v>
      </c>
      <c r="O166" t="s">
        <v>1173</v>
      </c>
      <c r="P166" t="s">
        <v>93</v>
      </c>
      <c r="Q166">
        <v>0</v>
      </c>
      <c r="R166" t="s">
        <v>95</v>
      </c>
      <c r="S166">
        <v>-39.782349590000003</v>
      </c>
      <c r="T166">
        <f t="shared" si="20"/>
        <v>-308.76220978415711</v>
      </c>
      <c r="U166" t="s">
        <v>95</v>
      </c>
      <c r="V166">
        <v>18722</v>
      </c>
      <c r="W166" t="s">
        <v>870</v>
      </c>
      <c r="X166">
        <v>298</v>
      </c>
      <c r="Y166" t="s">
        <v>98</v>
      </c>
      <c r="Z166">
        <v>-36.6</v>
      </c>
      <c r="AA166" t="s">
        <v>95</v>
      </c>
      <c r="AB166">
        <f t="shared" si="21"/>
        <v>-284.06308311515068</v>
      </c>
      <c r="AC166" t="s">
        <v>93</v>
      </c>
      <c r="AD166">
        <v>1.2</v>
      </c>
      <c r="AE166" t="s">
        <v>95</v>
      </c>
      <c r="AF166" t="s">
        <v>93</v>
      </c>
      <c r="AR166">
        <v>0.75</v>
      </c>
      <c r="BA166">
        <v>0.25</v>
      </c>
      <c r="CR166">
        <f t="shared" si="22"/>
        <v>-296.36857751608102</v>
      </c>
      <c r="CS166">
        <f t="shared" si="23"/>
        <v>-308.76220978415711</v>
      </c>
      <c r="CT166">
        <f t="shared" si="24"/>
        <v>-284.06308311515068</v>
      </c>
      <c r="CU166" s="7">
        <f t="shared" si="25"/>
        <v>-296.39795680512958</v>
      </c>
      <c r="CV166" s="9">
        <f t="shared" si="27"/>
        <v>128.84461999999999</v>
      </c>
      <c r="CW166" t="str">
        <f t="shared" si="26"/>
        <v>TiAl3</v>
      </c>
    </row>
    <row r="167" spans="1:101" ht="15.75" thickBot="1" x14ac:dyDescent="0.3">
      <c r="A167" t="s">
        <v>91</v>
      </c>
      <c r="B167" t="s">
        <v>1038</v>
      </c>
      <c r="C167" t="s">
        <v>3144</v>
      </c>
      <c r="E167" t="s">
        <v>3145</v>
      </c>
      <c r="F167" t="s">
        <v>93</v>
      </c>
      <c r="G167" t="s">
        <v>1039</v>
      </c>
      <c r="H167">
        <v>162.35589999999999</v>
      </c>
      <c r="I167">
        <v>415</v>
      </c>
      <c r="J167">
        <v>0</v>
      </c>
      <c r="K167" t="s">
        <v>95</v>
      </c>
      <c r="L167">
        <v>-50.477006209999999</v>
      </c>
      <c r="M167">
        <f t="shared" si="19"/>
        <v>-310.90343011864678</v>
      </c>
      <c r="N167" t="s">
        <v>95</v>
      </c>
      <c r="O167" t="s">
        <v>1040</v>
      </c>
      <c r="P167" t="s">
        <v>93</v>
      </c>
      <c r="Q167">
        <v>0</v>
      </c>
      <c r="R167" t="s">
        <v>95</v>
      </c>
      <c r="S167">
        <v>-50.606417020000002</v>
      </c>
      <c r="T167">
        <f t="shared" si="20"/>
        <v>-311.7005111609742</v>
      </c>
      <c r="U167" t="s">
        <v>95</v>
      </c>
      <c r="V167">
        <v>17796</v>
      </c>
      <c r="W167" t="s">
        <v>159</v>
      </c>
      <c r="X167">
        <v>298</v>
      </c>
      <c r="Y167" t="s">
        <v>160</v>
      </c>
      <c r="Z167">
        <v>-43</v>
      </c>
      <c r="AA167" t="s">
        <v>95</v>
      </c>
      <c r="AB167">
        <f t="shared" si="21"/>
        <v>-264.85024566400114</v>
      </c>
      <c r="AC167" t="s">
        <v>93</v>
      </c>
      <c r="AD167">
        <v>2.2999999999999998</v>
      </c>
      <c r="AE167" t="s">
        <v>95</v>
      </c>
      <c r="AF167" t="s">
        <v>93</v>
      </c>
      <c r="AS167">
        <v>0.66</v>
      </c>
      <c r="CR167">
        <f t="shared" si="22"/>
        <v>-310.90343011864678</v>
      </c>
      <c r="CS167">
        <f t="shared" si="23"/>
        <v>-311.7005111609742</v>
      </c>
      <c r="CT167">
        <f t="shared" si="24"/>
        <v>-264.85024566400114</v>
      </c>
      <c r="CU167" s="7">
        <f t="shared" si="25"/>
        <v>-295.81806231454073</v>
      </c>
      <c r="CV167" s="9">
        <f t="shared" si="27"/>
        <v>162.35589999999999</v>
      </c>
      <c r="CW167" t="str">
        <f t="shared" si="26"/>
        <v>ScNi2</v>
      </c>
    </row>
    <row r="168" spans="1:101" ht="15.75" thickBot="1" x14ac:dyDescent="0.3">
      <c r="A168" t="s">
        <v>91</v>
      </c>
      <c r="B168" t="s">
        <v>2684</v>
      </c>
      <c r="C168" t="s">
        <v>3144</v>
      </c>
      <c r="E168" t="s">
        <v>3145</v>
      </c>
      <c r="F168" t="s">
        <v>93</v>
      </c>
      <c r="G168" t="s">
        <v>2685</v>
      </c>
      <c r="H168">
        <v>294.71953999999999</v>
      </c>
      <c r="I168">
        <v>1097</v>
      </c>
      <c r="M168">
        <f t="shared" si="19"/>
        <v>0</v>
      </c>
      <c r="O168" t="s">
        <v>93</v>
      </c>
      <c r="P168" t="s">
        <v>93</v>
      </c>
      <c r="T168">
        <f t="shared" si="20"/>
        <v>0</v>
      </c>
      <c r="V168" t="s">
        <v>93</v>
      </c>
      <c r="W168" t="s">
        <v>102</v>
      </c>
      <c r="X168">
        <v>298</v>
      </c>
      <c r="Y168" t="s">
        <v>103</v>
      </c>
      <c r="Z168">
        <v>-87.1</v>
      </c>
      <c r="AA168" t="s">
        <v>95</v>
      </c>
      <c r="AB168">
        <f t="shared" si="21"/>
        <v>-295.53520611493894</v>
      </c>
      <c r="AC168" t="s">
        <v>93</v>
      </c>
      <c r="AD168">
        <v>3</v>
      </c>
      <c r="AE168" t="s">
        <v>95</v>
      </c>
      <c r="AF168" t="s">
        <v>93</v>
      </c>
      <c r="AH168" t="s">
        <v>93</v>
      </c>
      <c r="AI168" t="s">
        <v>93</v>
      </c>
      <c r="AJ168" t="s">
        <v>93</v>
      </c>
      <c r="AK168" t="s">
        <v>93</v>
      </c>
      <c r="AR168">
        <v>0.25</v>
      </c>
      <c r="AZ168">
        <v>0.5</v>
      </c>
      <c r="BR168">
        <v>0.25</v>
      </c>
      <c r="CR168">
        <f t="shared" si="22"/>
        <v>0</v>
      </c>
      <c r="CS168">
        <f t="shared" si="23"/>
        <v>0</v>
      </c>
      <c r="CT168">
        <f t="shared" si="24"/>
        <v>-295.53520611493894</v>
      </c>
      <c r="CU168" s="7">
        <f t="shared" si="25"/>
        <v>-295.53520611493894</v>
      </c>
      <c r="CV168" s="9">
        <f t="shared" si="27"/>
        <v>294.71953999999999</v>
      </c>
      <c r="CW168" t="str">
        <f t="shared" si="26"/>
        <v>Pd2MnAl</v>
      </c>
    </row>
    <row r="169" spans="1:101" ht="15.75" thickBot="1" x14ac:dyDescent="0.3">
      <c r="A169" t="s">
        <v>91</v>
      </c>
      <c r="B169" t="s">
        <v>1244</v>
      </c>
      <c r="C169" t="s">
        <v>3144</v>
      </c>
      <c r="E169" t="s">
        <v>3145</v>
      </c>
      <c r="F169" t="s">
        <v>93</v>
      </c>
      <c r="G169" t="s">
        <v>1245</v>
      </c>
      <c r="H169">
        <v>202.56790000000001</v>
      </c>
      <c r="I169">
        <v>487</v>
      </c>
      <c r="J169">
        <v>0</v>
      </c>
      <c r="K169" t="s">
        <v>95</v>
      </c>
      <c r="L169">
        <v>-62.965631770000002</v>
      </c>
      <c r="M169">
        <f t="shared" si="19"/>
        <v>-310.83716506909531</v>
      </c>
      <c r="N169" t="s">
        <v>95</v>
      </c>
      <c r="O169" t="s">
        <v>1246</v>
      </c>
      <c r="P169" t="s">
        <v>93</v>
      </c>
      <c r="Q169">
        <v>0</v>
      </c>
      <c r="R169" t="s">
        <v>95</v>
      </c>
      <c r="S169">
        <v>-62.619057830000003</v>
      </c>
      <c r="T169">
        <f t="shared" si="20"/>
        <v>-309.12626250259785</v>
      </c>
      <c r="U169" t="s">
        <v>95</v>
      </c>
      <c r="V169">
        <v>5807</v>
      </c>
      <c r="W169" t="s">
        <v>510</v>
      </c>
      <c r="X169">
        <v>298</v>
      </c>
      <c r="Y169" t="s">
        <v>170</v>
      </c>
      <c r="Z169">
        <v>-53.3</v>
      </c>
      <c r="AA169" t="s">
        <v>95</v>
      </c>
      <c r="AB169">
        <f t="shared" si="21"/>
        <v>-263.12164958021481</v>
      </c>
      <c r="AC169" t="s">
        <v>93</v>
      </c>
      <c r="AD169">
        <v>2</v>
      </c>
      <c r="AE169" t="s">
        <v>95</v>
      </c>
      <c r="AF169" t="s">
        <v>93</v>
      </c>
      <c r="BE169">
        <v>0.33</v>
      </c>
      <c r="BQ169">
        <v>0.66</v>
      </c>
      <c r="CR169">
        <f t="shared" si="22"/>
        <v>-310.83716506909531</v>
      </c>
      <c r="CS169">
        <f t="shared" si="23"/>
        <v>-309.12626250259785</v>
      </c>
      <c r="CT169">
        <f t="shared" si="24"/>
        <v>-263.12164958021481</v>
      </c>
      <c r="CU169" s="7">
        <f t="shared" si="25"/>
        <v>-294.36169238396934</v>
      </c>
      <c r="CV169" s="9">
        <f t="shared" si="27"/>
        <v>202.56790000000001</v>
      </c>
      <c r="CW169" t="str">
        <f t="shared" si="26"/>
        <v>TaB2</v>
      </c>
    </row>
    <row r="170" spans="1:101" ht="15.75" thickBot="1" x14ac:dyDescent="0.3">
      <c r="A170" t="s">
        <v>91</v>
      </c>
      <c r="B170" t="s">
        <v>445</v>
      </c>
      <c r="C170" t="s">
        <v>3144</v>
      </c>
      <c r="E170" t="s">
        <v>3145</v>
      </c>
      <c r="F170" t="s">
        <v>93</v>
      </c>
      <c r="G170" t="s">
        <v>446</v>
      </c>
      <c r="H170">
        <v>246.52</v>
      </c>
      <c r="I170">
        <v>182</v>
      </c>
      <c r="J170">
        <v>0</v>
      </c>
      <c r="K170" t="s">
        <v>95</v>
      </c>
      <c r="L170">
        <v>-65.288585609999998</v>
      </c>
      <c r="M170">
        <f t="shared" si="19"/>
        <v>-264.84092815998702</v>
      </c>
      <c r="N170" t="s">
        <v>95</v>
      </c>
      <c r="O170" t="s">
        <v>447</v>
      </c>
      <c r="P170" t="s">
        <v>93</v>
      </c>
      <c r="Q170">
        <v>0</v>
      </c>
      <c r="R170" t="s">
        <v>95</v>
      </c>
      <c r="S170">
        <v>-73.941292660000002</v>
      </c>
      <c r="T170">
        <f t="shared" si="20"/>
        <v>-299.94034017523933</v>
      </c>
      <c r="U170" t="s">
        <v>95</v>
      </c>
      <c r="V170">
        <v>29155</v>
      </c>
      <c r="W170" t="s">
        <v>430</v>
      </c>
      <c r="X170">
        <v>298</v>
      </c>
      <c r="Y170" t="s">
        <v>147</v>
      </c>
      <c r="Z170">
        <v>-78.3</v>
      </c>
      <c r="AA170" t="s">
        <v>95</v>
      </c>
      <c r="AB170">
        <f t="shared" si="21"/>
        <v>-317.62128833360373</v>
      </c>
      <c r="AC170" t="s">
        <v>93</v>
      </c>
      <c r="AD170">
        <v>1.5</v>
      </c>
      <c r="AE170" t="s">
        <v>95</v>
      </c>
      <c r="AF170" t="s">
        <v>93</v>
      </c>
      <c r="AM170">
        <v>0.5</v>
      </c>
      <c r="AZ170">
        <v>0.5</v>
      </c>
      <c r="CR170">
        <f t="shared" si="22"/>
        <v>-264.84092815998702</v>
      </c>
      <c r="CS170">
        <f t="shared" si="23"/>
        <v>-299.94034017523933</v>
      </c>
      <c r="CT170">
        <f t="shared" si="24"/>
        <v>-317.62128833360373</v>
      </c>
      <c r="CU170" s="7">
        <f t="shared" si="25"/>
        <v>-294.13418555627669</v>
      </c>
      <c r="CV170" s="9">
        <f t="shared" si="27"/>
        <v>246.52</v>
      </c>
      <c r="CW170" t="str">
        <f t="shared" si="26"/>
        <v>CePd</v>
      </c>
    </row>
    <row r="171" spans="1:101" ht="15.75" thickBot="1" x14ac:dyDescent="0.3">
      <c r="A171" t="s">
        <v>91</v>
      </c>
      <c r="B171" t="s">
        <v>1274</v>
      </c>
      <c r="C171" t="s">
        <v>3144</v>
      </c>
      <c r="E171" t="s">
        <v>3145</v>
      </c>
      <c r="F171" t="s">
        <v>93</v>
      </c>
      <c r="G171" t="s">
        <v>1275</v>
      </c>
      <c r="H171">
        <v>182.1455</v>
      </c>
      <c r="I171">
        <v>499</v>
      </c>
      <c r="J171">
        <v>0</v>
      </c>
      <c r="K171" t="s">
        <v>95</v>
      </c>
      <c r="L171">
        <v>-55.160679199999997</v>
      </c>
      <c r="M171">
        <f t="shared" si="19"/>
        <v>-302.83855049946334</v>
      </c>
      <c r="N171" t="s">
        <v>95</v>
      </c>
      <c r="O171" t="s">
        <v>1276</v>
      </c>
      <c r="P171" t="s">
        <v>93</v>
      </c>
      <c r="Q171">
        <v>0</v>
      </c>
      <c r="R171" t="s">
        <v>95</v>
      </c>
      <c r="S171">
        <v>-54.836839990000001</v>
      </c>
      <c r="T171">
        <f t="shared" si="20"/>
        <v>-301.06063553587654</v>
      </c>
      <c r="U171" t="s">
        <v>95</v>
      </c>
      <c r="V171">
        <v>2155</v>
      </c>
      <c r="W171" t="s">
        <v>1100</v>
      </c>
      <c r="X171">
        <v>298</v>
      </c>
      <c r="Y171" t="s">
        <v>1273</v>
      </c>
      <c r="Z171">
        <v>-50.7</v>
      </c>
      <c r="AA171" t="s">
        <v>95</v>
      </c>
      <c r="AB171">
        <f t="shared" si="21"/>
        <v>-278.34890238847521</v>
      </c>
      <c r="AC171" t="s">
        <v>93</v>
      </c>
      <c r="AD171">
        <v>1.3</v>
      </c>
      <c r="AE171" t="s">
        <v>95</v>
      </c>
      <c r="AF171" t="s">
        <v>93</v>
      </c>
      <c r="AL171">
        <v>0.2</v>
      </c>
      <c r="BQ171">
        <v>0.8</v>
      </c>
      <c r="CR171">
        <f t="shared" si="22"/>
        <v>-302.83855049946334</v>
      </c>
      <c r="CS171">
        <f t="shared" si="23"/>
        <v>-301.06063553587654</v>
      </c>
      <c r="CT171">
        <f t="shared" si="24"/>
        <v>-278.34890238847521</v>
      </c>
      <c r="CU171" s="7">
        <f t="shared" si="25"/>
        <v>-294.0826961412717</v>
      </c>
      <c r="CV171" s="9">
        <f t="shared" si="27"/>
        <v>182.1455</v>
      </c>
      <c r="CW171" t="str">
        <f t="shared" si="26"/>
        <v>LaB4</v>
      </c>
    </row>
    <row r="172" spans="1:101" ht="15.75" thickBot="1" x14ac:dyDescent="0.3">
      <c r="A172" t="s">
        <v>91</v>
      </c>
      <c r="B172" t="s">
        <v>877</v>
      </c>
      <c r="C172" t="s">
        <v>3144</v>
      </c>
      <c r="E172" t="s">
        <v>3145</v>
      </c>
      <c r="G172" t="s">
        <v>878</v>
      </c>
      <c r="H172">
        <v>238.1</v>
      </c>
      <c r="I172">
        <v>821</v>
      </c>
      <c r="J172">
        <v>0</v>
      </c>
      <c r="K172" t="s">
        <v>95</v>
      </c>
      <c r="L172">
        <v>-68.853302940000006</v>
      </c>
      <c r="M172">
        <f t="shared" si="19"/>
        <v>-289.17808878622429</v>
      </c>
      <c r="N172" t="s">
        <v>95</v>
      </c>
      <c r="O172" t="s">
        <v>879</v>
      </c>
      <c r="P172" t="s">
        <v>93</v>
      </c>
      <c r="Q172">
        <v>0</v>
      </c>
      <c r="R172" t="s">
        <v>95</v>
      </c>
      <c r="S172">
        <v>-71.026010549999995</v>
      </c>
      <c r="T172">
        <f t="shared" si="20"/>
        <v>-298.30327824443509</v>
      </c>
      <c r="U172" t="s">
        <v>95</v>
      </c>
      <c r="V172">
        <v>90586</v>
      </c>
      <c r="W172" t="s">
        <v>102</v>
      </c>
      <c r="X172">
        <v>1743</v>
      </c>
      <c r="Y172" t="s">
        <v>103</v>
      </c>
      <c r="AB172">
        <f t="shared" si="21"/>
        <v>0</v>
      </c>
      <c r="AC172" t="s">
        <v>93</v>
      </c>
      <c r="AD172">
        <v>3.5</v>
      </c>
      <c r="AE172" t="s">
        <v>95</v>
      </c>
      <c r="AF172" t="s">
        <v>93</v>
      </c>
      <c r="BA172">
        <v>0.52</v>
      </c>
      <c r="BM172">
        <v>0.48</v>
      </c>
      <c r="CG172">
        <v>-69.3</v>
      </c>
      <c r="CH172" t="s">
        <v>95</v>
      </c>
      <c r="CI172" t="s">
        <v>93</v>
      </c>
      <c r="CR172">
        <f t="shared" si="22"/>
        <v>-289.17808878622429</v>
      </c>
      <c r="CS172">
        <f t="shared" si="23"/>
        <v>-298.30327824443509</v>
      </c>
      <c r="CT172">
        <f t="shared" si="24"/>
        <v>0</v>
      </c>
      <c r="CU172" s="7">
        <f t="shared" si="25"/>
        <v>-293.74068351532969</v>
      </c>
      <c r="CV172" s="9">
        <f t="shared" si="27"/>
        <v>238.1</v>
      </c>
      <c r="CW172" t="str">
        <f t="shared" si="26"/>
        <v>OsTi</v>
      </c>
    </row>
    <row r="173" spans="1:101" ht="15.75" thickBot="1" x14ac:dyDescent="0.3">
      <c r="A173" t="s">
        <v>91</v>
      </c>
      <c r="B173" t="s">
        <v>861</v>
      </c>
      <c r="C173" t="s">
        <v>3144</v>
      </c>
      <c r="E173" t="s">
        <v>3145</v>
      </c>
      <c r="G173" t="s">
        <v>862</v>
      </c>
      <c r="H173">
        <v>149.91999999999999</v>
      </c>
      <c r="I173">
        <v>770</v>
      </c>
      <c r="J173">
        <v>0</v>
      </c>
      <c r="K173" t="s">
        <v>95</v>
      </c>
      <c r="L173">
        <v>-44.001070339999998</v>
      </c>
      <c r="M173">
        <f t="shared" si="19"/>
        <v>-293.49700066702241</v>
      </c>
      <c r="N173" t="s">
        <v>95</v>
      </c>
      <c r="O173" t="s">
        <v>863</v>
      </c>
      <c r="P173" t="s">
        <v>93</v>
      </c>
      <c r="Q173">
        <v>0</v>
      </c>
      <c r="R173" t="s">
        <v>95</v>
      </c>
      <c r="S173">
        <v>-43.977799820000001</v>
      </c>
      <c r="T173">
        <f t="shared" si="20"/>
        <v>-293.34178108324443</v>
      </c>
      <c r="U173" t="s">
        <v>95</v>
      </c>
      <c r="V173">
        <v>17864</v>
      </c>
      <c r="W173" t="s">
        <v>430</v>
      </c>
      <c r="X173">
        <v>1405</v>
      </c>
      <c r="Y173" t="s">
        <v>147</v>
      </c>
      <c r="AB173">
        <f t="shared" si="21"/>
        <v>0</v>
      </c>
      <c r="AC173" t="s">
        <v>93</v>
      </c>
      <c r="AD173">
        <v>2</v>
      </c>
      <c r="AE173" t="s">
        <v>95</v>
      </c>
      <c r="AF173" t="s">
        <v>93</v>
      </c>
      <c r="AP173">
        <v>0.5</v>
      </c>
      <c r="AS173">
        <v>0.5</v>
      </c>
      <c r="CG173">
        <v>-51.5</v>
      </c>
      <c r="CH173" t="s">
        <v>95</v>
      </c>
      <c r="CI173" t="s">
        <v>93</v>
      </c>
      <c r="CR173">
        <f t="shared" si="22"/>
        <v>-293.49700066702241</v>
      </c>
      <c r="CS173">
        <f t="shared" si="23"/>
        <v>-293.34178108324443</v>
      </c>
      <c r="CT173">
        <f t="shared" si="24"/>
        <v>0</v>
      </c>
      <c r="CU173" s="7">
        <f t="shared" si="25"/>
        <v>-293.41939087513344</v>
      </c>
      <c r="CV173" s="9">
        <f t="shared" si="27"/>
        <v>149.91999999999999</v>
      </c>
      <c r="CW173" t="str">
        <f t="shared" si="26"/>
        <v>ZrNi</v>
      </c>
    </row>
    <row r="174" spans="1:101" ht="15.75" thickBot="1" x14ac:dyDescent="0.3">
      <c r="A174" t="s">
        <v>91</v>
      </c>
      <c r="B174" t="s">
        <v>945</v>
      </c>
      <c r="C174" t="s">
        <v>3144</v>
      </c>
      <c r="E174" t="s">
        <v>3145</v>
      </c>
      <c r="F174" t="s">
        <v>93</v>
      </c>
      <c r="G174" t="s">
        <v>946</v>
      </c>
      <c r="H174">
        <v>354.0154</v>
      </c>
      <c r="I174">
        <v>377</v>
      </c>
      <c r="M174">
        <f t="shared" si="19"/>
        <v>0</v>
      </c>
      <c r="O174" t="s">
        <v>93</v>
      </c>
      <c r="P174" t="s">
        <v>93</v>
      </c>
      <c r="Q174">
        <v>0</v>
      </c>
      <c r="R174" t="s">
        <v>95</v>
      </c>
      <c r="S174">
        <v>-90.926948010000004</v>
      </c>
      <c r="T174">
        <f t="shared" si="20"/>
        <v>-256.84461187281681</v>
      </c>
      <c r="U174" t="s">
        <v>95</v>
      </c>
      <c r="V174">
        <v>670146</v>
      </c>
      <c r="W174" t="s">
        <v>358</v>
      </c>
      <c r="X174">
        <v>298</v>
      </c>
      <c r="Y174" t="s">
        <v>359</v>
      </c>
      <c r="Z174">
        <v>-115.7</v>
      </c>
      <c r="AA174" t="s">
        <v>95</v>
      </c>
      <c r="AB174">
        <f t="shared" si="21"/>
        <v>-326.82194051445219</v>
      </c>
      <c r="AC174" t="s">
        <v>93</v>
      </c>
      <c r="AD174">
        <v>2.9</v>
      </c>
      <c r="AE174" t="s">
        <v>95</v>
      </c>
      <c r="AF174" t="s">
        <v>93</v>
      </c>
      <c r="AH174" t="s">
        <v>93</v>
      </c>
      <c r="AI174" t="s">
        <v>93</v>
      </c>
      <c r="AY174">
        <v>0.5</v>
      </c>
      <c r="BK174">
        <v>0.5</v>
      </c>
      <c r="CR174">
        <f t="shared" si="22"/>
        <v>0</v>
      </c>
      <c r="CS174">
        <f t="shared" si="23"/>
        <v>-256.84461187281681</v>
      </c>
      <c r="CT174">
        <f t="shared" si="24"/>
        <v>-326.82194051445219</v>
      </c>
      <c r="CU174" s="7">
        <f t="shared" si="25"/>
        <v>-291.8332761936345</v>
      </c>
      <c r="CV174" s="9">
        <f t="shared" si="27"/>
        <v>354.0154</v>
      </c>
      <c r="CW174" t="str">
        <f t="shared" si="26"/>
        <v>TbPt</v>
      </c>
    </row>
    <row r="175" spans="1:101" ht="15.75" thickBot="1" x14ac:dyDescent="0.3">
      <c r="A175" t="s">
        <v>484</v>
      </c>
      <c r="B175" t="s">
        <v>877</v>
      </c>
      <c r="C175" t="s">
        <v>3138</v>
      </c>
      <c r="D175" t="s">
        <v>3139</v>
      </c>
      <c r="F175" t="s">
        <v>3140</v>
      </c>
      <c r="G175" t="s">
        <v>878</v>
      </c>
      <c r="H175">
        <v>238.1</v>
      </c>
      <c r="I175">
        <v>348</v>
      </c>
      <c r="J175">
        <v>0</v>
      </c>
      <c r="K175" t="s">
        <v>95</v>
      </c>
      <c r="L175">
        <v>-68.853302940000006</v>
      </c>
      <c r="M175">
        <f t="shared" si="19"/>
        <v>-289.17808878622429</v>
      </c>
      <c r="N175" t="s">
        <v>95</v>
      </c>
      <c r="O175" t="s">
        <v>879</v>
      </c>
      <c r="P175" t="s">
        <v>93</v>
      </c>
      <c r="Q175">
        <v>0</v>
      </c>
      <c r="R175" t="s">
        <v>95</v>
      </c>
      <c r="S175">
        <v>-71.026010549999995</v>
      </c>
      <c r="T175">
        <f t="shared" si="20"/>
        <v>-298.30327824443509</v>
      </c>
      <c r="U175" t="s">
        <v>95</v>
      </c>
      <c r="V175">
        <v>90586</v>
      </c>
      <c r="W175" t="s">
        <v>102</v>
      </c>
      <c r="X175">
        <v>298</v>
      </c>
      <c r="Y175" t="s">
        <v>103</v>
      </c>
      <c r="Z175">
        <v>-68.5</v>
      </c>
      <c r="AA175" t="s">
        <v>95</v>
      </c>
      <c r="AB175">
        <f t="shared" si="21"/>
        <v>-287.6942461150777</v>
      </c>
      <c r="AC175" t="s">
        <v>93</v>
      </c>
      <c r="AD175">
        <v>3.6</v>
      </c>
      <c r="AE175" t="s">
        <v>95</v>
      </c>
      <c r="AF175" t="s">
        <v>93</v>
      </c>
      <c r="BA175">
        <v>0.5</v>
      </c>
      <c r="BM175">
        <v>0.5</v>
      </c>
      <c r="CR175">
        <f t="shared" si="22"/>
        <v>-289.17808878622429</v>
      </c>
      <c r="CS175">
        <f t="shared" si="23"/>
        <v>-298.30327824443509</v>
      </c>
      <c r="CT175">
        <f t="shared" si="24"/>
        <v>-287.6942461150777</v>
      </c>
      <c r="CU175" s="7">
        <f t="shared" si="25"/>
        <v>-291.72520438191236</v>
      </c>
      <c r="CV175" s="9">
        <f t="shared" si="27"/>
        <v>238.1</v>
      </c>
      <c r="CW175" t="str">
        <f t="shared" si="26"/>
        <v>OsTi</v>
      </c>
    </row>
    <row r="176" spans="1:101" ht="15.75" thickBot="1" x14ac:dyDescent="0.3">
      <c r="A176" t="s">
        <v>91</v>
      </c>
      <c r="B176" t="s">
        <v>1577</v>
      </c>
      <c r="C176" t="s">
        <v>3144</v>
      </c>
      <c r="E176" t="s">
        <v>3145</v>
      </c>
      <c r="F176" t="s">
        <v>93</v>
      </c>
      <c r="G176" t="s">
        <v>1578</v>
      </c>
      <c r="H176">
        <v>233.8965</v>
      </c>
      <c r="I176">
        <v>606</v>
      </c>
      <c r="J176">
        <v>0</v>
      </c>
      <c r="K176" t="s">
        <v>95</v>
      </c>
      <c r="L176">
        <v>-70.037149209999995</v>
      </c>
      <c r="M176">
        <f t="shared" si="19"/>
        <v>-299.4364995200869</v>
      </c>
      <c r="N176" t="s">
        <v>95</v>
      </c>
      <c r="O176" t="s">
        <v>1579</v>
      </c>
      <c r="P176" t="s">
        <v>93</v>
      </c>
      <c r="Q176">
        <v>0</v>
      </c>
      <c r="R176" t="s">
        <v>95</v>
      </c>
      <c r="S176">
        <v>-70.517174769999997</v>
      </c>
      <c r="T176">
        <f t="shared" si="20"/>
        <v>-301.48879854978594</v>
      </c>
      <c r="U176" t="s">
        <v>95</v>
      </c>
      <c r="V176">
        <v>8055</v>
      </c>
      <c r="W176" t="s">
        <v>1085</v>
      </c>
      <c r="X176">
        <v>298</v>
      </c>
      <c r="Y176" t="s">
        <v>359</v>
      </c>
      <c r="Z176">
        <v>-63.9</v>
      </c>
      <c r="AA176" t="s">
        <v>95</v>
      </c>
      <c r="AB176">
        <f t="shared" si="21"/>
        <v>-273.19776054793465</v>
      </c>
      <c r="AC176" t="s">
        <v>93</v>
      </c>
      <c r="AD176">
        <v>2.4</v>
      </c>
      <c r="AE176" t="s">
        <v>95</v>
      </c>
      <c r="AF176" t="s">
        <v>93</v>
      </c>
      <c r="BF176">
        <v>0.66</v>
      </c>
      <c r="BX176">
        <v>0.33</v>
      </c>
      <c r="CR176">
        <f t="shared" si="22"/>
        <v>-299.4364995200869</v>
      </c>
      <c r="CS176">
        <f t="shared" si="23"/>
        <v>-301.48879854978594</v>
      </c>
      <c r="CT176">
        <f t="shared" si="24"/>
        <v>-273.19776054793465</v>
      </c>
      <c r="CU176" s="7">
        <f t="shared" si="25"/>
        <v>-291.37435287260251</v>
      </c>
      <c r="CV176" s="9">
        <f t="shared" si="27"/>
        <v>233.8965</v>
      </c>
      <c r="CW176" t="str">
        <f t="shared" si="26"/>
        <v>SiRh2</v>
      </c>
    </row>
    <row r="177" spans="1:101" ht="15.75" thickBot="1" x14ac:dyDescent="0.3">
      <c r="A177" t="s">
        <v>91</v>
      </c>
      <c r="B177" t="s">
        <v>610</v>
      </c>
      <c r="C177" t="s">
        <v>3144</v>
      </c>
      <c r="E177" t="s">
        <v>3145</v>
      </c>
      <c r="F177" t="s">
        <v>93</v>
      </c>
      <c r="G177" t="s">
        <v>611</v>
      </c>
      <c r="H177">
        <v>260.15550000000002</v>
      </c>
      <c r="I177">
        <v>247</v>
      </c>
      <c r="J177">
        <v>0</v>
      </c>
      <c r="K177" t="s">
        <v>95</v>
      </c>
      <c r="L177">
        <v>-77.038735349999996</v>
      </c>
      <c r="M177">
        <f t="shared" si="19"/>
        <v>-296.12572230838862</v>
      </c>
      <c r="N177" t="s">
        <v>95</v>
      </c>
      <c r="O177" t="s">
        <v>612</v>
      </c>
      <c r="P177" t="s">
        <v>93</v>
      </c>
      <c r="Q177">
        <v>3.0571850000000001E-2</v>
      </c>
      <c r="R177" t="s">
        <v>95</v>
      </c>
      <c r="S177">
        <v>-77.65628237</v>
      </c>
      <c r="T177">
        <f t="shared" si="20"/>
        <v>-298.49948346277512</v>
      </c>
      <c r="U177" t="s">
        <v>95</v>
      </c>
      <c r="V177">
        <v>89749</v>
      </c>
      <c r="W177" t="s">
        <v>102</v>
      </c>
      <c r="X177">
        <v>298</v>
      </c>
      <c r="Y177" t="s">
        <v>103</v>
      </c>
      <c r="Z177">
        <v>-72.400000000000006</v>
      </c>
      <c r="AA177" t="s">
        <v>95</v>
      </c>
      <c r="AB177">
        <f t="shared" si="21"/>
        <v>-278.29509658646464</v>
      </c>
      <c r="AC177" t="s">
        <v>93</v>
      </c>
      <c r="AD177">
        <v>2.1</v>
      </c>
      <c r="AE177" t="s">
        <v>95</v>
      </c>
      <c r="AF177" t="s">
        <v>93</v>
      </c>
      <c r="BF177">
        <v>0.5</v>
      </c>
      <c r="BI177">
        <v>0.5</v>
      </c>
      <c r="CR177">
        <f t="shared" si="22"/>
        <v>-296.12572230838862</v>
      </c>
      <c r="CS177">
        <f t="shared" si="23"/>
        <v>-298.49948346277512</v>
      </c>
      <c r="CT177">
        <f t="shared" si="24"/>
        <v>-278.29509658646464</v>
      </c>
      <c r="CU177" s="7">
        <f t="shared" si="25"/>
        <v>-290.97343411920946</v>
      </c>
      <c r="CV177" s="9">
        <f t="shared" si="27"/>
        <v>260.15550000000002</v>
      </c>
      <c r="CW177" t="str">
        <f t="shared" si="26"/>
        <v>GdRh</v>
      </c>
    </row>
    <row r="178" spans="1:101" ht="15.75" thickBot="1" x14ac:dyDescent="0.3">
      <c r="A178" t="s">
        <v>91</v>
      </c>
      <c r="B178" t="s">
        <v>891</v>
      </c>
      <c r="C178" t="s">
        <v>3144</v>
      </c>
      <c r="E178" t="s">
        <v>3145</v>
      </c>
      <c r="F178" t="s">
        <v>93</v>
      </c>
      <c r="G178" t="s">
        <v>892</v>
      </c>
      <c r="H178">
        <v>265.3254</v>
      </c>
      <c r="I178">
        <v>354</v>
      </c>
      <c r="J178">
        <v>0</v>
      </c>
      <c r="K178" t="s">
        <v>95</v>
      </c>
      <c r="L178">
        <v>-89.096041900000003</v>
      </c>
      <c r="M178">
        <f t="shared" si="19"/>
        <v>-335.79914286381927</v>
      </c>
      <c r="N178" t="s">
        <v>95</v>
      </c>
      <c r="O178" t="s">
        <v>893</v>
      </c>
      <c r="P178" t="s">
        <v>93</v>
      </c>
      <c r="Q178">
        <v>0</v>
      </c>
      <c r="R178" t="s">
        <v>95</v>
      </c>
      <c r="S178">
        <v>-56.705415899999998</v>
      </c>
      <c r="T178">
        <f t="shared" si="20"/>
        <v>-213.7202691487509</v>
      </c>
      <c r="U178" t="s">
        <v>95</v>
      </c>
      <c r="V178">
        <v>30947</v>
      </c>
      <c r="W178" t="s">
        <v>430</v>
      </c>
      <c r="X178">
        <v>298</v>
      </c>
      <c r="Y178" t="s">
        <v>147</v>
      </c>
      <c r="Z178">
        <v>-85.2</v>
      </c>
      <c r="AA178" t="s">
        <v>95</v>
      </c>
      <c r="AB178">
        <f t="shared" si="21"/>
        <v>-321.11512881917827</v>
      </c>
      <c r="AC178" t="s">
        <v>93</v>
      </c>
      <c r="AD178">
        <v>1.6</v>
      </c>
      <c r="AE178" t="s">
        <v>95</v>
      </c>
      <c r="AF178" t="s">
        <v>93</v>
      </c>
      <c r="AZ178">
        <v>0.5</v>
      </c>
      <c r="BK178">
        <v>0.5</v>
      </c>
      <c r="CR178">
        <f t="shared" si="22"/>
        <v>-335.79914286381927</v>
      </c>
      <c r="CS178">
        <f t="shared" si="23"/>
        <v>-213.7202691487509</v>
      </c>
      <c r="CT178">
        <f t="shared" si="24"/>
        <v>-321.11512881917827</v>
      </c>
      <c r="CU178" s="7">
        <f t="shared" si="25"/>
        <v>-290.21151361058281</v>
      </c>
      <c r="CV178" s="9">
        <f t="shared" si="27"/>
        <v>265.3254</v>
      </c>
      <c r="CW178" t="str">
        <f t="shared" si="26"/>
        <v>TbPd</v>
      </c>
    </row>
    <row r="179" spans="1:101" ht="15.75" thickBot="1" x14ac:dyDescent="0.3">
      <c r="A179" t="s">
        <v>91</v>
      </c>
      <c r="B179" t="s">
        <v>1374</v>
      </c>
      <c r="C179" t="s">
        <v>3144</v>
      </c>
      <c r="E179" t="s">
        <v>3145</v>
      </c>
      <c r="F179" t="s">
        <v>93</v>
      </c>
      <c r="G179" t="s">
        <v>1375</v>
      </c>
      <c r="H179">
        <v>145.95189999999999</v>
      </c>
      <c r="I179">
        <v>532</v>
      </c>
      <c r="J179">
        <v>0</v>
      </c>
      <c r="K179" t="s">
        <v>95</v>
      </c>
      <c r="L179">
        <v>-43.696842349999997</v>
      </c>
      <c r="M179">
        <f t="shared" si="19"/>
        <v>-299.39207608808107</v>
      </c>
      <c r="N179" t="s">
        <v>95</v>
      </c>
      <c r="O179" t="s">
        <v>1376</v>
      </c>
      <c r="P179" t="s">
        <v>93</v>
      </c>
      <c r="Q179">
        <v>0</v>
      </c>
      <c r="R179" t="s">
        <v>95</v>
      </c>
      <c r="S179">
        <v>-44.83346118</v>
      </c>
      <c r="T179">
        <f t="shared" si="20"/>
        <v>-307.17970221696328</v>
      </c>
      <c r="U179" t="s">
        <v>95</v>
      </c>
      <c r="V179">
        <v>646168</v>
      </c>
      <c r="W179" t="s">
        <v>1085</v>
      </c>
      <c r="X179">
        <v>298</v>
      </c>
      <c r="Y179" t="s">
        <v>359</v>
      </c>
      <c r="Z179">
        <v>-37.9</v>
      </c>
      <c r="AA179" t="s">
        <v>95</v>
      </c>
      <c r="AB179">
        <f t="shared" si="21"/>
        <v>-259.67459142361287</v>
      </c>
      <c r="AC179" t="s">
        <v>93</v>
      </c>
      <c r="AD179">
        <v>2</v>
      </c>
      <c r="AE179" t="s">
        <v>95</v>
      </c>
      <c r="AF179" t="s">
        <v>93</v>
      </c>
      <c r="AW179">
        <v>0.66</v>
      </c>
      <c r="BX179">
        <v>0.33</v>
      </c>
      <c r="CR179">
        <f t="shared" si="22"/>
        <v>-299.39207608808107</v>
      </c>
      <c r="CS179">
        <f t="shared" si="23"/>
        <v>-307.17970221696328</v>
      </c>
      <c r="CT179">
        <f t="shared" si="24"/>
        <v>-259.67459142361287</v>
      </c>
      <c r="CU179" s="7">
        <f t="shared" si="25"/>
        <v>-288.74878990955239</v>
      </c>
      <c r="CV179" s="9">
        <f t="shared" si="27"/>
        <v>145.95189999999999</v>
      </c>
      <c r="CW179" t="str">
        <f t="shared" si="26"/>
        <v>Co2Si</v>
      </c>
    </row>
    <row r="180" spans="1:101" ht="15.75" thickBot="1" x14ac:dyDescent="0.3">
      <c r="A180" t="s">
        <v>91</v>
      </c>
      <c r="B180" t="s">
        <v>1277</v>
      </c>
      <c r="C180" t="s">
        <v>3144</v>
      </c>
      <c r="E180" t="s">
        <v>3145</v>
      </c>
      <c r="F180" t="s">
        <v>93</v>
      </c>
      <c r="G180" t="s">
        <v>1278</v>
      </c>
      <c r="H180">
        <v>187.48</v>
      </c>
      <c r="I180">
        <v>500</v>
      </c>
      <c r="J180">
        <v>0</v>
      </c>
      <c r="K180" t="s">
        <v>95</v>
      </c>
      <c r="L180">
        <v>-54.501314190000002</v>
      </c>
      <c r="M180">
        <f t="shared" si="19"/>
        <v>-290.70468417964582</v>
      </c>
      <c r="N180" t="s">
        <v>95</v>
      </c>
      <c r="O180" t="s">
        <v>1279</v>
      </c>
      <c r="P180" t="s">
        <v>93</v>
      </c>
      <c r="Q180">
        <v>0</v>
      </c>
      <c r="R180" t="s">
        <v>95</v>
      </c>
      <c r="S180">
        <v>-54.406484290000002</v>
      </c>
      <c r="T180">
        <f t="shared" si="20"/>
        <v>-290.19887075954767</v>
      </c>
      <c r="U180" t="s">
        <v>95</v>
      </c>
      <c r="V180">
        <v>19849</v>
      </c>
      <c r="W180" t="s">
        <v>1100</v>
      </c>
      <c r="X180">
        <v>298</v>
      </c>
      <c r="Y180" t="s">
        <v>1273</v>
      </c>
      <c r="Z180">
        <v>-53.3</v>
      </c>
      <c r="AA180" t="s">
        <v>95</v>
      </c>
      <c r="AB180">
        <f t="shared" si="21"/>
        <v>-284.29699167911241</v>
      </c>
      <c r="AC180" t="s">
        <v>93</v>
      </c>
      <c r="AD180">
        <v>1.5</v>
      </c>
      <c r="AE180" t="s">
        <v>95</v>
      </c>
      <c r="AF180" t="s">
        <v>93</v>
      </c>
      <c r="AO180">
        <v>0.2</v>
      </c>
      <c r="BQ180">
        <v>0.8</v>
      </c>
      <c r="CR180">
        <f t="shared" si="22"/>
        <v>-290.70468417964582</v>
      </c>
      <c r="CS180">
        <f t="shared" si="23"/>
        <v>-290.19887075954767</v>
      </c>
      <c r="CT180">
        <f t="shared" si="24"/>
        <v>-284.29699167911241</v>
      </c>
      <c r="CU180" s="7">
        <f t="shared" si="25"/>
        <v>-288.40018220610199</v>
      </c>
      <c r="CV180" s="9">
        <f t="shared" si="27"/>
        <v>187.48</v>
      </c>
      <c r="CW180" t="str">
        <f t="shared" si="26"/>
        <v>NdB4</v>
      </c>
    </row>
    <row r="181" spans="1:101" ht="15.75" thickBot="1" x14ac:dyDescent="0.3">
      <c r="A181" t="s">
        <v>91</v>
      </c>
      <c r="B181" t="s">
        <v>1280</v>
      </c>
      <c r="C181" t="s">
        <v>3144</v>
      </c>
      <c r="E181" t="s">
        <v>3145</v>
      </c>
      <c r="F181" t="s">
        <v>93</v>
      </c>
      <c r="G181" t="s">
        <v>1281</v>
      </c>
      <c r="H181">
        <v>184.14769999999999</v>
      </c>
      <c r="I181">
        <v>501</v>
      </c>
      <c r="J181">
        <v>0</v>
      </c>
      <c r="K181" t="s">
        <v>95</v>
      </c>
      <c r="L181">
        <v>-52.75082501</v>
      </c>
      <c r="M181">
        <f t="shared" si="19"/>
        <v>-286.45932048024497</v>
      </c>
      <c r="N181" t="s">
        <v>95</v>
      </c>
      <c r="O181" t="s">
        <v>1282</v>
      </c>
      <c r="P181" t="s">
        <v>93</v>
      </c>
      <c r="Q181">
        <v>0</v>
      </c>
      <c r="R181" t="s">
        <v>95</v>
      </c>
      <c r="S181">
        <v>-52.658121739999999</v>
      </c>
      <c r="T181">
        <f t="shared" si="20"/>
        <v>-285.95590246307722</v>
      </c>
      <c r="U181" t="s">
        <v>95</v>
      </c>
      <c r="V181">
        <v>18748</v>
      </c>
      <c r="W181" t="s">
        <v>1100</v>
      </c>
      <c r="X181">
        <v>298</v>
      </c>
      <c r="Y181" t="s">
        <v>1273</v>
      </c>
      <c r="Z181">
        <v>-53.1</v>
      </c>
      <c r="AA181" t="s">
        <v>95</v>
      </c>
      <c r="AB181">
        <f t="shared" si="21"/>
        <v>-288.35548855619703</v>
      </c>
      <c r="AC181" t="s">
        <v>93</v>
      </c>
      <c r="AD181">
        <v>1.6</v>
      </c>
      <c r="AE181" t="s">
        <v>95</v>
      </c>
      <c r="AF181" t="s">
        <v>93</v>
      </c>
      <c r="AN181">
        <v>0.2</v>
      </c>
      <c r="BQ181">
        <v>0.8</v>
      </c>
      <c r="CR181">
        <f t="shared" si="22"/>
        <v>-286.45932048024497</v>
      </c>
      <c r="CS181">
        <f t="shared" si="23"/>
        <v>-285.95590246307722</v>
      </c>
      <c r="CT181">
        <f t="shared" si="24"/>
        <v>-288.35548855619703</v>
      </c>
      <c r="CU181" s="7">
        <f t="shared" si="25"/>
        <v>-286.92357049983974</v>
      </c>
      <c r="CV181" s="9">
        <f t="shared" si="27"/>
        <v>184.14769999999999</v>
      </c>
      <c r="CW181" t="str">
        <f t="shared" si="26"/>
        <v>PrB4</v>
      </c>
    </row>
    <row r="182" spans="1:101" ht="15.75" thickBot="1" x14ac:dyDescent="0.3">
      <c r="A182" t="s">
        <v>91</v>
      </c>
      <c r="B182" t="s">
        <v>925</v>
      </c>
      <c r="C182" t="s">
        <v>3144</v>
      </c>
      <c r="E182" t="s">
        <v>3145</v>
      </c>
      <c r="G182" t="s">
        <v>926</v>
      </c>
      <c r="H182">
        <v>197.62</v>
      </c>
      <c r="I182">
        <v>778</v>
      </c>
      <c r="J182">
        <v>6.3690884399999996</v>
      </c>
      <c r="K182" t="s">
        <v>95</v>
      </c>
      <c r="L182">
        <v>-56.70955155</v>
      </c>
      <c r="M182">
        <f t="shared" si="19"/>
        <v>-286.96261284282969</v>
      </c>
      <c r="N182" t="s">
        <v>95</v>
      </c>
      <c r="O182" t="s">
        <v>1994</v>
      </c>
      <c r="P182" t="s">
        <v>93</v>
      </c>
      <c r="Q182">
        <v>6.1677070199999999</v>
      </c>
      <c r="R182" t="s">
        <v>95</v>
      </c>
      <c r="S182">
        <v>-56.447920080000003</v>
      </c>
      <c r="T182">
        <f t="shared" si="20"/>
        <v>-285.63870094120028</v>
      </c>
      <c r="U182" t="s">
        <v>95</v>
      </c>
      <c r="V182">
        <v>9972</v>
      </c>
      <c r="W182" t="s">
        <v>102</v>
      </c>
      <c r="X182">
        <v>1667</v>
      </c>
      <c r="Y182" t="s">
        <v>103</v>
      </c>
      <c r="AB182">
        <f t="shared" si="21"/>
        <v>0</v>
      </c>
      <c r="AC182" t="s">
        <v>93</v>
      </c>
      <c r="AD182">
        <v>5</v>
      </c>
      <c r="AE182" t="s">
        <v>95</v>
      </c>
      <c r="AF182" t="s">
        <v>93</v>
      </c>
      <c r="AP182">
        <v>0.5</v>
      </c>
      <c r="AZ182">
        <v>0.5</v>
      </c>
      <c r="CG182">
        <v>-62</v>
      </c>
      <c r="CH182" t="s">
        <v>95</v>
      </c>
      <c r="CI182" t="s">
        <v>93</v>
      </c>
      <c r="CR182">
        <f t="shared" si="22"/>
        <v>-286.96261284282969</v>
      </c>
      <c r="CS182">
        <f t="shared" si="23"/>
        <v>-285.63870094120028</v>
      </c>
      <c r="CT182">
        <f t="shared" si="24"/>
        <v>0</v>
      </c>
      <c r="CU182" s="7">
        <f t="shared" si="25"/>
        <v>-286.30065689201501</v>
      </c>
      <c r="CV182" s="9">
        <f t="shared" si="27"/>
        <v>197.62</v>
      </c>
      <c r="CW182" t="str">
        <f t="shared" si="26"/>
        <v>ZrPd</v>
      </c>
    </row>
    <row r="183" spans="1:101" ht="15.75" thickBot="1" x14ac:dyDescent="0.3">
      <c r="A183" t="s">
        <v>91</v>
      </c>
      <c r="B183" t="s">
        <v>1644</v>
      </c>
      <c r="C183" t="s">
        <v>3144</v>
      </c>
      <c r="E183" t="s">
        <v>3145</v>
      </c>
      <c r="F183" t="s">
        <v>93</v>
      </c>
      <c r="G183" t="s">
        <v>1645</v>
      </c>
      <c r="H183">
        <v>215.09639999999999</v>
      </c>
      <c r="I183">
        <v>632</v>
      </c>
      <c r="M183">
        <f t="shared" si="19"/>
        <v>0</v>
      </c>
      <c r="O183" t="s">
        <v>93</v>
      </c>
      <c r="P183" t="s">
        <v>93</v>
      </c>
      <c r="T183">
        <f t="shared" si="20"/>
        <v>0</v>
      </c>
      <c r="V183" t="s">
        <v>93</v>
      </c>
      <c r="W183" t="s">
        <v>364</v>
      </c>
      <c r="X183">
        <v>298</v>
      </c>
      <c r="Y183" t="s">
        <v>365</v>
      </c>
      <c r="Z183">
        <v>-61.5</v>
      </c>
      <c r="AA183" t="s">
        <v>95</v>
      </c>
      <c r="AB183">
        <f t="shared" si="21"/>
        <v>-285.91831383509907</v>
      </c>
      <c r="AC183" t="s">
        <v>93</v>
      </c>
      <c r="AD183">
        <v>2.4</v>
      </c>
      <c r="AE183" t="s">
        <v>95</v>
      </c>
      <c r="AF183" t="s">
        <v>93</v>
      </c>
      <c r="AH183" t="s">
        <v>93</v>
      </c>
      <c r="AI183" t="s">
        <v>93</v>
      </c>
      <c r="AJ183" t="s">
        <v>93</v>
      </c>
      <c r="AK183" t="s">
        <v>93</v>
      </c>
      <c r="BK183">
        <v>0.33</v>
      </c>
      <c r="BX183">
        <v>0.66</v>
      </c>
      <c r="CR183">
        <f t="shared" si="22"/>
        <v>0</v>
      </c>
      <c r="CS183">
        <f t="shared" si="23"/>
        <v>0</v>
      </c>
      <c r="CT183">
        <f t="shared" si="24"/>
        <v>-285.91831383509907</v>
      </c>
      <c r="CU183" s="7">
        <f t="shared" si="25"/>
        <v>-285.91831383509907</v>
      </c>
      <c r="CV183" s="9">
        <f t="shared" si="27"/>
        <v>215.09639999999999</v>
      </c>
      <c r="CW183" t="str">
        <f t="shared" si="26"/>
        <v>Si2Tb</v>
      </c>
    </row>
    <row r="184" spans="1:101" ht="15.75" thickBot="1" x14ac:dyDescent="0.3">
      <c r="A184" t="s">
        <v>91</v>
      </c>
      <c r="B184" t="s">
        <v>1455</v>
      </c>
      <c r="C184" t="s">
        <v>3144</v>
      </c>
      <c r="E184" t="s">
        <v>3145</v>
      </c>
      <c r="F184" t="s">
        <v>93</v>
      </c>
      <c r="G184" t="s">
        <v>1456</v>
      </c>
      <c r="H184">
        <v>228.3459</v>
      </c>
      <c r="I184">
        <v>559</v>
      </c>
      <c r="J184">
        <v>0</v>
      </c>
      <c r="K184" t="s">
        <v>95</v>
      </c>
      <c r="L184">
        <v>-63.961581600000002</v>
      </c>
      <c r="M184">
        <f t="shared" si="19"/>
        <v>-280.1082988571286</v>
      </c>
      <c r="N184" t="s">
        <v>95</v>
      </c>
      <c r="O184" t="s">
        <v>1457</v>
      </c>
      <c r="P184" t="s">
        <v>93</v>
      </c>
      <c r="Q184">
        <v>0</v>
      </c>
      <c r="R184" t="s">
        <v>95</v>
      </c>
      <c r="S184">
        <v>-63.776459590000002</v>
      </c>
      <c r="T184">
        <f t="shared" si="20"/>
        <v>-279.29759014722839</v>
      </c>
      <c r="U184" t="s">
        <v>95</v>
      </c>
      <c r="V184">
        <v>30368</v>
      </c>
      <c r="W184" t="s">
        <v>510</v>
      </c>
      <c r="X184">
        <v>298</v>
      </c>
      <c r="Y184" t="s">
        <v>170</v>
      </c>
      <c r="Z184">
        <v>-68.099999999999994</v>
      </c>
      <c r="AA184" t="s">
        <v>95</v>
      </c>
      <c r="AB184">
        <f t="shared" si="21"/>
        <v>-298.23176155122553</v>
      </c>
      <c r="AC184" t="s">
        <v>93</v>
      </c>
      <c r="AD184">
        <v>2.2999999999999998</v>
      </c>
      <c r="AE184" t="s">
        <v>95</v>
      </c>
      <c r="AF184" t="s">
        <v>93</v>
      </c>
      <c r="AG184">
        <v>0.33</v>
      </c>
      <c r="BY184">
        <v>0.66</v>
      </c>
      <c r="CR184">
        <f t="shared" si="22"/>
        <v>-280.1082988571286</v>
      </c>
      <c r="CS184">
        <f t="shared" si="23"/>
        <v>-279.29759014722839</v>
      </c>
      <c r="CT184">
        <f t="shared" si="24"/>
        <v>-298.23176155122553</v>
      </c>
      <c r="CU184" s="7">
        <f t="shared" si="25"/>
        <v>-285.87921685186086</v>
      </c>
      <c r="CV184" s="9">
        <f t="shared" si="27"/>
        <v>228.3459</v>
      </c>
      <c r="CW184" t="str">
        <f t="shared" si="26"/>
        <v>YGa2</v>
      </c>
    </row>
    <row r="185" spans="1:101" ht="15.75" thickBot="1" x14ac:dyDescent="0.3">
      <c r="A185" t="s">
        <v>91</v>
      </c>
      <c r="B185" t="s">
        <v>353</v>
      </c>
      <c r="C185" t="s">
        <v>3144</v>
      </c>
      <c r="E185" t="s">
        <v>3145</v>
      </c>
      <c r="F185" t="s">
        <v>93</v>
      </c>
      <c r="G185" t="s">
        <v>354</v>
      </c>
      <c r="H185">
        <v>285.872399999999</v>
      </c>
      <c r="I185">
        <v>149</v>
      </c>
      <c r="J185">
        <v>0</v>
      </c>
      <c r="K185" t="s">
        <v>95</v>
      </c>
      <c r="L185">
        <v>-82.606014540000004</v>
      </c>
      <c r="M185">
        <f t="shared" si="19"/>
        <v>-288.96113979523835</v>
      </c>
      <c r="N185" t="s">
        <v>95</v>
      </c>
      <c r="O185" t="s">
        <v>355</v>
      </c>
      <c r="P185" t="s">
        <v>93</v>
      </c>
      <c r="Q185">
        <v>2.32700043</v>
      </c>
      <c r="R185" t="s">
        <v>95</v>
      </c>
      <c r="S185">
        <v>-83.149718660000005</v>
      </c>
      <c r="T185">
        <f t="shared" si="20"/>
        <v>-290.86305169719179</v>
      </c>
      <c r="U185" t="s">
        <v>95</v>
      </c>
      <c r="V185">
        <v>10822</v>
      </c>
      <c r="W185" t="s">
        <v>102</v>
      </c>
      <c r="X185">
        <v>298</v>
      </c>
      <c r="Y185" t="s">
        <v>103</v>
      </c>
      <c r="Z185">
        <v>-78.7</v>
      </c>
      <c r="AA185" t="s">
        <v>95</v>
      </c>
      <c r="AB185">
        <f t="shared" si="21"/>
        <v>-275.29765028033586</v>
      </c>
      <c r="AC185" t="s">
        <v>93</v>
      </c>
      <c r="AD185">
        <v>2.5</v>
      </c>
      <c r="AE185" t="s">
        <v>95</v>
      </c>
      <c r="AF185" t="s">
        <v>93</v>
      </c>
      <c r="AG185">
        <v>0.5</v>
      </c>
      <c r="BC185">
        <v>0.5</v>
      </c>
      <c r="CR185">
        <f t="shared" si="22"/>
        <v>-288.96113979523835</v>
      </c>
      <c r="CS185">
        <f t="shared" si="23"/>
        <v>-290.86305169719179</v>
      </c>
      <c r="CT185">
        <f t="shared" si="24"/>
        <v>-275.29765028033586</v>
      </c>
      <c r="CU185" s="7">
        <f t="shared" si="25"/>
        <v>-285.0406139242553</v>
      </c>
      <c r="CV185" s="9">
        <f t="shared" si="27"/>
        <v>285.872399999999</v>
      </c>
      <c r="CW185" t="str">
        <f t="shared" si="26"/>
        <v>YAu</v>
      </c>
    </row>
    <row r="186" spans="1:101" ht="15.75" thickBot="1" x14ac:dyDescent="0.3">
      <c r="A186" t="s">
        <v>91</v>
      </c>
      <c r="B186" t="s">
        <v>2693</v>
      </c>
      <c r="C186" t="s">
        <v>3144</v>
      </c>
      <c r="E186" t="s">
        <v>3145</v>
      </c>
      <c r="F186" t="s">
        <v>93</v>
      </c>
      <c r="G186" t="s">
        <v>2694</v>
      </c>
      <c r="H186">
        <v>287.68153999999998</v>
      </c>
      <c r="I186">
        <v>1101</v>
      </c>
      <c r="M186">
        <f t="shared" si="19"/>
        <v>0</v>
      </c>
      <c r="O186" t="s">
        <v>93</v>
      </c>
      <c r="P186" t="s">
        <v>93</v>
      </c>
      <c r="T186">
        <f t="shared" si="20"/>
        <v>0</v>
      </c>
      <c r="V186" t="s">
        <v>93</v>
      </c>
      <c r="W186" t="s">
        <v>102</v>
      </c>
      <c r="X186">
        <v>298</v>
      </c>
      <c r="Y186" t="s">
        <v>103</v>
      </c>
      <c r="Z186">
        <v>-81.400000000000006</v>
      </c>
      <c r="AA186" t="s">
        <v>95</v>
      </c>
      <c r="AB186">
        <f t="shared" si="21"/>
        <v>-282.95176673484161</v>
      </c>
      <c r="AC186" t="s">
        <v>93</v>
      </c>
      <c r="AD186">
        <v>1.9</v>
      </c>
      <c r="AE186" t="s">
        <v>95</v>
      </c>
      <c r="AF186" t="s">
        <v>93</v>
      </c>
      <c r="AH186" t="s">
        <v>93</v>
      </c>
      <c r="AI186" t="s">
        <v>93</v>
      </c>
      <c r="AJ186" t="s">
        <v>93</v>
      </c>
      <c r="AK186" t="s">
        <v>93</v>
      </c>
      <c r="AR186">
        <v>0.25</v>
      </c>
      <c r="AZ186">
        <v>0.5</v>
      </c>
      <c r="BA186">
        <v>0.25</v>
      </c>
      <c r="CR186">
        <f t="shared" si="22"/>
        <v>0</v>
      </c>
      <c r="CS186">
        <f t="shared" si="23"/>
        <v>0</v>
      </c>
      <c r="CT186">
        <f t="shared" si="24"/>
        <v>-282.95176673484161</v>
      </c>
      <c r="CU186" s="7">
        <f t="shared" si="25"/>
        <v>-282.95176673484161</v>
      </c>
      <c r="CV186" s="9">
        <f t="shared" si="27"/>
        <v>287.68153999999998</v>
      </c>
      <c r="CW186" t="str">
        <f t="shared" si="26"/>
        <v>Pd2TiAl</v>
      </c>
    </row>
    <row r="187" spans="1:101" ht="15.75" thickBot="1" x14ac:dyDescent="0.3">
      <c r="A187" t="s">
        <v>91</v>
      </c>
      <c r="B187" t="s">
        <v>1563</v>
      </c>
      <c r="C187" t="s">
        <v>3144</v>
      </c>
      <c r="E187" t="s">
        <v>3145</v>
      </c>
      <c r="F187" t="s">
        <v>93</v>
      </c>
      <c r="G187" t="s">
        <v>1564</v>
      </c>
      <c r="H187">
        <v>223.1755</v>
      </c>
      <c r="I187">
        <v>600</v>
      </c>
      <c r="J187">
        <v>0</v>
      </c>
      <c r="K187" t="s">
        <v>95</v>
      </c>
      <c r="L187">
        <v>-64.782412050000005</v>
      </c>
      <c r="M187">
        <f t="shared" si="19"/>
        <v>-290.27564427995014</v>
      </c>
      <c r="N187" t="s">
        <v>95</v>
      </c>
      <c r="O187" t="s">
        <v>1565</v>
      </c>
      <c r="P187" t="s">
        <v>93</v>
      </c>
      <c r="Q187">
        <v>0</v>
      </c>
      <c r="R187" t="s">
        <v>95</v>
      </c>
      <c r="S187">
        <v>-64.709132240000002</v>
      </c>
      <c r="T187">
        <f t="shared" si="20"/>
        <v>-289.94729367694936</v>
      </c>
      <c r="U187" t="s">
        <v>95</v>
      </c>
      <c r="V187">
        <v>2257</v>
      </c>
      <c r="W187" t="s">
        <v>358</v>
      </c>
      <c r="X187">
        <v>298</v>
      </c>
      <c r="Y187" t="s">
        <v>359</v>
      </c>
      <c r="Z187">
        <v>-59.6</v>
      </c>
      <c r="AA187" t="s">
        <v>95</v>
      </c>
      <c r="AB187">
        <f t="shared" si="21"/>
        <v>-267.05440337313013</v>
      </c>
      <c r="AC187" t="s">
        <v>93</v>
      </c>
      <c r="AD187">
        <v>2.1</v>
      </c>
      <c r="AE187" t="s">
        <v>95</v>
      </c>
      <c r="AF187" t="s">
        <v>93</v>
      </c>
      <c r="AY187">
        <v>0.5</v>
      </c>
      <c r="BX187">
        <v>0.5</v>
      </c>
      <c r="CR187">
        <f t="shared" si="22"/>
        <v>-290.27564427995014</v>
      </c>
      <c r="CS187">
        <f t="shared" si="23"/>
        <v>-289.94729367694936</v>
      </c>
      <c r="CT187">
        <f t="shared" si="24"/>
        <v>-267.05440337313013</v>
      </c>
      <c r="CU187" s="7">
        <f t="shared" si="25"/>
        <v>-282.42578044334323</v>
      </c>
      <c r="CV187" s="9">
        <f t="shared" si="27"/>
        <v>223.1755</v>
      </c>
      <c r="CW187" t="str">
        <f t="shared" si="26"/>
        <v>SiPt</v>
      </c>
    </row>
    <row r="188" spans="1:101" ht="15.75" thickBot="1" x14ac:dyDescent="0.3">
      <c r="A188" t="s">
        <v>484</v>
      </c>
      <c r="B188" t="s">
        <v>1563</v>
      </c>
      <c r="C188" t="s">
        <v>3138</v>
      </c>
      <c r="D188" t="s">
        <v>3139</v>
      </c>
      <c r="F188" t="s">
        <v>3140</v>
      </c>
      <c r="G188" t="s">
        <v>1564</v>
      </c>
      <c r="H188">
        <v>223.1755</v>
      </c>
      <c r="I188">
        <v>599</v>
      </c>
      <c r="J188">
        <v>0</v>
      </c>
      <c r="K188" t="s">
        <v>95</v>
      </c>
      <c r="L188">
        <v>-64.782412050000005</v>
      </c>
      <c r="M188">
        <f t="shared" si="19"/>
        <v>-290.27564427995014</v>
      </c>
      <c r="N188" t="s">
        <v>95</v>
      </c>
      <c r="O188" t="s">
        <v>1565</v>
      </c>
      <c r="P188" t="s">
        <v>93</v>
      </c>
      <c r="Q188">
        <v>0</v>
      </c>
      <c r="R188" t="s">
        <v>95</v>
      </c>
      <c r="S188">
        <v>-64.709132240000002</v>
      </c>
      <c r="T188">
        <f t="shared" si="20"/>
        <v>-289.94729367694936</v>
      </c>
      <c r="U188" t="s">
        <v>95</v>
      </c>
      <c r="V188">
        <v>2257</v>
      </c>
      <c r="W188" t="s">
        <v>358</v>
      </c>
      <c r="X188">
        <v>298</v>
      </c>
      <c r="Y188" t="s">
        <v>359</v>
      </c>
      <c r="Z188">
        <v>-59.4</v>
      </c>
      <c r="AA188" t="s">
        <v>95</v>
      </c>
      <c r="AB188">
        <f t="shared" si="21"/>
        <v>-266.1582476571129</v>
      </c>
      <c r="AC188" t="s">
        <v>93</v>
      </c>
      <c r="AD188">
        <v>2.6</v>
      </c>
      <c r="AE188" t="s">
        <v>95</v>
      </c>
      <c r="AF188" t="s">
        <v>93</v>
      </c>
      <c r="AY188">
        <v>0.5</v>
      </c>
      <c r="BX188">
        <v>0.5</v>
      </c>
      <c r="CR188">
        <f t="shared" si="22"/>
        <v>-290.27564427995014</v>
      </c>
      <c r="CS188">
        <f t="shared" si="23"/>
        <v>-289.94729367694936</v>
      </c>
      <c r="CT188">
        <f t="shared" si="24"/>
        <v>-266.1582476571129</v>
      </c>
      <c r="CU188" s="7">
        <f t="shared" si="25"/>
        <v>-282.12706187133745</v>
      </c>
      <c r="CV188" s="9">
        <f t="shared" si="27"/>
        <v>223.1755</v>
      </c>
      <c r="CW188" t="str">
        <f t="shared" si="26"/>
        <v>SiPt</v>
      </c>
    </row>
    <row r="189" spans="1:101" ht="15.75" thickBot="1" x14ac:dyDescent="0.3">
      <c r="A189" t="s">
        <v>484</v>
      </c>
      <c r="B189" t="s">
        <v>1377</v>
      </c>
      <c r="C189" t="s">
        <v>3138</v>
      </c>
      <c r="D189" t="s">
        <v>3139</v>
      </c>
      <c r="F189" t="s">
        <v>3140</v>
      </c>
      <c r="G189" t="s">
        <v>1378</v>
      </c>
      <c r="H189">
        <v>108.167</v>
      </c>
      <c r="I189">
        <v>533</v>
      </c>
      <c r="J189">
        <v>1.1006345399999999</v>
      </c>
      <c r="K189" t="s">
        <v>95</v>
      </c>
      <c r="L189">
        <v>-35.000184699999998</v>
      </c>
      <c r="M189">
        <f t="shared" si="19"/>
        <v>-323.57544075364945</v>
      </c>
      <c r="N189" t="s">
        <v>95</v>
      </c>
      <c r="O189" t="s">
        <v>1379</v>
      </c>
      <c r="P189" t="s">
        <v>93</v>
      </c>
      <c r="T189">
        <f t="shared" si="20"/>
        <v>0</v>
      </c>
      <c r="V189" t="s">
        <v>93</v>
      </c>
      <c r="W189" t="s">
        <v>164</v>
      </c>
      <c r="X189">
        <v>298</v>
      </c>
      <c r="Y189" t="s">
        <v>1380</v>
      </c>
      <c r="Z189">
        <v>-25.8</v>
      </c>
      <c r="AA189" t="s">
        <v>95</v>
      </c>
      <c r="AB189">
        <f t="shared" si="21"/>
        <v>-238.52006619394086</v>
      </c>
      <c r="AC189" t="s">
        <v>93</v>
      </c>
      <c r="AD189">
        <v>4.4000000000000004</v>
      </c>
      <c r="AE189" t="s">
        <v>95</v>
      </c>
      <c r="AF189" t="s">
        <v>93</v>
      </c>
      <c r="AJ189" t="s">
        <v>93</v>
      </c>
      <c r="AK189" t="s">
        <v>93</v>
      </c>
      <c r="BV189">
        <v>0.33</v>
      </c>
      <c r="BX189">
        <v>0.66</v>
      </c>
      <c r="CR189">
        <f t="shared" si="22"/>
        <v>-323.57544075364945</v>
      </c>
      <c r="CS189">
        <f t="shared" si="23"/>
        <v>0</v>
      </c>
      <c r="CT189">
        <f t="shared" si="24"/>
        <v>-238.52006619394086</v>
      </c>
      <c r="CU189" s="7">
        <f t="shared" si="25"/>
        <v>-281.04775347379518</v>
      </c>
      <c r="CV189" s="9">
        <f t="shared" si="27"/>
        <v>108.167</v>
      </c>
      <c r="CW189" t="str">
        <f t="shared" si="26"/>
        <v>CrSi2</v>
      </c>
    </row>
    <row r="190" spans="1:101" ht="15.75" thickBot="1" x14ac:dyDescent="0.3">
      <c r="A190" t="s">
        <v>91</v>
      </c>
      <c r="B190" t="s">
        <v>202</v>
      </c>
      <c r="C190" t="s">
        <v>3144</v>
      </c>
      <c r="E190" t="s">
        <v>3145</v>
      </c>
      <c r="F190" t="s">
        <v>93</v>
      </c>
      <c r="G190" t="s">
        <v>203</v>
      </c>
      <c r="H190">
        <v>141.52853999999999</v>
      </c>
      <c r="I190">
        <v>36</v>
      </c>
      <c r="M190">
        <f t="shared" si="19"/>
        <v>0</v>
      </c>
      <c r="O190" t="s">
        <v>93</v>
      </c>
      <c r="P190" t="s">
        <v>93</v>
      </c>
      <c r="T190">
        <f t="shared" si="20"/>
        <v>0</v>
      </c>
      <c r="V190" t="s">
        <v>93</v>
      </c>
      <c r="W190" t="s">
        <v>102</v>
      </c>
      <c r="X190">
        <v>298</v>
      </c>
      <c r="Y190" t="s">
        <v>103</v>
      </c>
      <c r="Z190">
        <v>-39.4</v>
      </c>
      <c r="AA190" t="s">
        <v>95</v>
      </c>
      <c r="AB190">
        <f t="shared" si="21"/>
        <v>-278.38907968668371</v>
      </c>
      <c r="AC190" t="s">
        <v>93</v>
      </c>
      <c r="AD190">
        <v>1.3</v>
      </c>
      <c r="AE190" t="s">
        <v>95</v>
      </c>
      <c r="AF190" t="s">
        <v>93</v>
      </c>
      <c r="AH190" t="s">
        <v>93</v>
      </c>
      <c r="AI190" t="s">
        <v>93</v>
      </c>
      <c r="AJ190" t="s">
        <v>93</v>
      </c>
      <c r="AK190" t="s">
        <v>93</v>
      </c>
      <c r="AR190">
        <v>0.33</v>
      </c>
      <c r="AS190">
        <v>0.33</v>
      </c>
      <c r="AT190">
        <v>0.33</v>
      </c>
      <c r="CR190">
        <f t="shared" si="22"/>
        <v>0</v>
      </c>
      <c r="CS190">
        <f t="shared" si="23"/>
        <v>0</v>
      </c>
      <c r="CT190">
        <f t="shared" si="24"/>
        <v>-278.38907968668371</v>
      </c>
      <c r="CU190" s="7">
        <f t="shared" si="25"/>
        <v>-278.38907968668371</v>
      </c>
      <c r="CV190" s="9">
        <f t="shared" si="27"/>
        <v>141.52853999999999</v>
      </c>
      <c r="CW190" t="str">
        <f t="shared" si="26"/>
        <v>AlFeNi</v>
      </c>
    </row>
    <row r="191" spans="1:101" ht="15.75" thickBot="1" x14ac:dyDescent="0.3">
      <c r="A191" t="s">
        <v>91</v>
      </c>
      <c r="B191" t="s">
        <v>1229</v>
      </c>
      <c r="C191" t="s">
        <v>3144</v>
      </c>
      <c r="E191" t="s">
        <v>3145</v>
      </c>
      <c r="F191" t="s">
        <v>93</v>
      </c>
      <c r="G191" t="s">
        <v>1230</v>
      </c>
      <c r="H191">
        <v>196.58699999999999</v>
      </c>
      <c r="I191">
        <v>482</v>
      </c>
      <c r="J191">
        <v>0</v>
      </c>
      <c r="K191" t="s">
        <v>95</v>
      </c>
      <c r="L191">
        <v>-66.759813629999996</v>
      </c>
      <c r="M191">
        <f t="shared" si="19"/>
        <v>-339.59424392253811</v>
      </c>
      <c r="N191" t="s">
        <v>95</v>
      </c>
      <c r="O191" t="s">
        <v>1231</v>
      </c>
      <c r="P191" t="s">
        <v>93</v>
      </c>
      <c r="Q191">
        <v>0</v>
      </c>
      <c r="R191" t="s">
        <v>95</v>
      </c>
      <c r="S191">
        <v>-66.480540500000004</v>
      </c>
      <c r="T191">
        <f t="shared" si="20"/>
        <v>-338.17363559136669</v>
      </c>
      <c r="U191" t="s">
        <v>95</v>
      </c>
      <c r="V191">
        <v>115218</v>
      </c>
      <c r="W191" t="s">
        <v>510</v>
      </c>
      <c r="X191">
        <v>298</v>
      </c>
      <c r="Y191" t="s">
        <v>170</v>
      </c>
      <c r="Z191">
        <v>-29.8</v>
      </c>
      <c r="AA191" t="s">
        <v>95</v>
      </c>
      <c r="AB191">
        <f t="shared" si="21"/>
        <v>-151.58682924099762</v>
      </c>
      <c r="AC191" t="s">
        <v>93</v>
      </c>
      <c r="AD191">
        <v>0.9</v>
      </c>
      <c r="AE191" t="s">
        <v>95</v>
      </c>
      <c r="AF191" t="s">
        <v>93</v>
      </c>
      <c r="BL191">
        <v>0.33</v>
      </c>
      <c r="BQ191">
        <v>0.66</v>
      </c>
      <c r="CR191">
        <f t="shared" si="22"/>
        <v>-339.59424392253811</v>
      </c>
      <c r="CS191">
        <f t="shared" si="23"/>
        <v>-338.17363559136669</v>
      </c>
      <c r="CT191">
        <f t="shared" si="24"/>
        <v>-151.58682924099762</v>
      </c>
      <c r="CU191" s="7">
        <f t="shared" si="25"/>
        <v>-276.45156958496744</v>
      </c>
      <c r="CV191" s="9">
        <f t="shared" si="27"/>
        <v>196.58699999999999</v>
      </c>
      <c r="CW191" t="str">
        <f t="shared" si="26"/>
        <v>LuB2</v>
      </c>
    </row>
    <row r="192" spans="1:101" ht="15.75" thickBot="1" x14ac:dyDescent="0.3">
      <c r="A192" t="s">
        <v>91</v>
      </c>
      <c r="B192" t="s">
        <v>1466</v>
      </c>
      <c r="C192" t="s">
        <v>3144</v>
      </c>
      <c r="E192" t="s">
        <v>3145</v>
      </c>
      <c r="F192" t="s">
        <v>93</v>
      </c>
      <c r="G192" t="s">
        <v>1467</v>
      </c>
      <c r="H192">
        <v>213.42099999999999</v>
      </c>
      <c r="I192">
        <v>563</v>
      </c>
      <c r="M192">
        <f t="shared" si="19"/>
        <v>0</v>
      </c>
      <c r="O192" t="s">
        <v>93</v>
      </c>
      <c r="P192" t="s">
        <v>93</v>
      </c>
      <c r="T192">
        <f t="shared" si="20"/>
        <v>0</v>
      </c>
      <c r="V192" t="s">
        <v>93</v>
      </c>
      <c r="W192" t="s">
        <v>364</v>
      </c>
      <c r="X192">
        <v>298</v>
      </c>
      <c r="Y192" t="s">
        <v>365</v>
      </c>
      <c r="Z192">
        <v>-59</v>
      </c>
      <c r="AA192" t="s">
        <v>95</v>
      </c>
      <c r="AB192">
        <f t="shared" si="21"/>
        <v>-276.44889678147888</v>
      </c>
      <c r="AC192" t="s">
        <v>93</v>
      </c>
      <c r="AD192">
        <v>2.1</v>
      </c>
      <c r="AE192" t="s">
        <v>95</v>
      </c>
      <c r="AF192" t="s">
        <v>93</v>
      </c>
      <c r="AH192" t="s">
        <v>93</v>
      </c>
      <c r="AI192" t="s">
        <v>93</v>
      </c>
      <c r="AJ192" t="s">
        <v>93</v>
      </c>
      <c r="AK192" t="s">
        <v>93</v>
      </c>
      <c r="BI192">
        <v>0.33</v>
      </c>
      <c r="BX192">
        <v>0.66</v>
      </c>
      <c r="CR192">
        <f t="shared" si="22"/>
        <v>0</v>
      </c>
      <c r="CS192">
        <f t="shared" si="23"/>
        <v>0</v>
      </c>
      <c r="CT192">
        <f t="shared" si="24"/>
        <v>-276.44889678147888</v>
      </c>
      <c r="CU192" s="7">
        <f t="shared" si="25"/>
        <v>-276.44889678147888</v>
      </c>
      <c r="CV192" s="9">
        <f t="shared" si="27"/>
        <v>213.42099999999999</v>
      </c>
      <c r="CW192" t="str">
        <f t="shared" si="26"/>
        <v>GdSi2</v>
      </c>
    </row>
    <row r="193" spans="1:101" ht="15.75" thickBot="1" x14ac:dyDescent="0.3">
      <c r="A193" t="s">
        <v>91</v>
      </c>
      <c r="B193" t="s">
        <v>737</v>
      </c>
      <c r="C193" t="s">
        <v>3144</v>
      </c>
      <c r="E193" t="s">
        <v>3145</v>
      </c>
      <c r="F193" t="s">
        <v>93</v>
      </c>
      <c r="G193" t="s">
        <v>738</v>
      </c>
      <c r="H193">
        <v>241.81099999999901</v>
      </c>
      <c r="I193">
        <v>294</v>
      </c>
      <c r="J193">
        <v>0</v>
      </c>
      <c r="K193" t="s">
        <v>95</v>
      </c>
      <c r="L193">
        <v>-72.40993761</v>
      </c>
      <c r="M193">
        <f t="shared" si="19"/>
        <v>-299.4484850151577</v>
      </c>
      <c r="N193" t="s">
        <v>95</v>
      </c>
      <c r="O193" t="s">
        <v>739</v>
      </c>
      <c r="P193" t="s">
        <v>93</v>
      </c>
      <c r="Q193">
        <v>0</v>
      </c>
      <c r="R193" t="s">
        <v>95</v>
      </c>
      <c r="S193">
        <v>-71.481935620000002</v>
      </c>
      <c r="T193">
        <f t="shared" si="20"/>
        <v>-295.61076882358657</v>
      </c>
      <c r="U193" t="s">
        <v>95</v>
      </c>
      <c r="V193">
        <v>31221</v>
      </c>
      <c r="W193" t="s">
        <v>430</v>
      </c>
      <c r="X193">
        <v>298</v>
      </c>
      <c r="Y193" t="s">
        <v>147</v>
      </c>
      <c r="Z193">
        <v>-56.3</v>
      </c>
      <c r="AA193" t="s">
        <v>95</v>
      </c>
      <c r="AB193">
        <f t="shared" si="21"/>
        <v>-232.82646364309409</v>
      </c>
      <c r="AC193" t="s">
        <v>93</v>
      </c>
      <c r="AD193">
        <v>2.2999999999999998</v>
      </c>
      <c r="AE193" t="s">
        <v>95</v>
      </c>
      <c r="AF193" t="s">
        <v>93</v>
      </c>
      <c r="AL193">
        <v>0.5</v>
      </c>
      <c r="BF193">
        <v>0.5</v>
      </c>
      <c r="CR193">
        <f t="shared" si="22"/>
        <v>-299.4484850151577</v>
      </c>
      <c r="CS193">
        <f t="shared" si="23"/>
        <v>-295.61076882358657</v>
      </c>
      <c r="CT193">
        <f t="shared" si="24"/>
        <v>-232.82646364309409</v>
      </c>
      <c r="CU193" s="7">
        <f t="shared" si="25"/>
        <v>-275.96190582727945</v>
      </c>
      <c r="CV193" s="9">
        <f t="shared" si="27"/>
        <v>241.81099999999901</v>
      </c>
      <c r="CW193" t="str">
        <f t="shared" si="26"/>
        <v>LaRh</v>
      </c>
    </row>
    <row r="194" spans="1:101" ht="15.75" thickBot="1" x14ac:dyDescent="0.3">
      <c r="A194" t="s">
        <v>91</v>
      </c>
      <c r="B194" t="s">
        <v>1158</v>
      </c>
      <c r="C194" t="s">
        <v>3144</v>
      </c>
      <c r="E194" t="s">
        <v>3145</v>
      </c>
      <c r="F194" t="s">
        <v>93</v>
      </c>
      <c r="G194" t="s">
        <v>1159</v>
      </c>
      <c r="H194">
        <v>172.16462000000001</v>
      </c>
      <c r="I194">
        <v>456</v>
      </c>
      <c r="J194">
        <v>0</v>
      </c>
      <c r="K194" t="s">
        <v>95</v>
      </c>
      <c r="L194">
        <v>-46.751036859999999</v>
      </c>
      <c r="M194">
        <f t="shared" ref="M194:M257" si="28">(1000/H194)*L194</f>
        <v>-271.54845670382218</v>
      </c>
      <c r="N194" t="s">
        <v>95</v>
      </c>
      <c r="O194" t="s">
        <v>1160</v>
      </c>
      <c r="P194" t="s">
        <v>93</v>
      </c>
      <c r="Q194">
        <v>0</v>
      </c>
      <c r="R194" t="s">
        <v>95</v>
      </c>
      <c r="S194">
        <v>-47.080663450000003</v>
      </c>
      <c r="T194">
        <f t="shared" ref="T194:T257" si="29">(1000/H194)*S194</f>
        <v>-273.46305791515124</v>
      </c>
      <c r="U194" t="s">
        <v>95</v>
      </c>
      <c r="V194">
        <v>18198</v>
      </c>
      <c r="W194" t="s">
        <v>1161</v>
      </c>
      <c r="X194">
        <v>298</v>
      </c>
      <c r="Y194" t="s">
        <v>98</v>
      </c>
      <c r="Z194">
        <v>-48.4</v>
      </c>
      <c r="AA194" t="s">
        <v>95</v>
      </c>
      <c r="AB194">
        <f t="shared" ref="AB194:AB257" si="30">(1000/H194)*Z194</f>
        <v>-281.12628483134336</v>
      </c>
      <c r="AC194" t="s">
        <v>93</v>
      </c>
      <c r="AD194">
        <v>1.3</v>
      </c>
      <c r="AE194" t="s">
        <v>95</v>
      </c>
      <c r="AF194" t="s">
        <v>93</v>
      </c>
      <c r="AP194">
        <v>0.25</v>
      </c>
      <c r="AR194">
        <v>0.75</v>
      </c>
      <c r="CR194">
        <f t="shared" ref="CR194:CR257" si="31">VALUE(M194)</f>
        <v>-271.54845670382218</v>
      </c>
      <c r="CS194">
        <f t="shared" ref="CS194:CS257" si="32">VALUE(T194)</f>
        <v>-273.46305791515124</v>
      </c>
      <c r="CT194">
        <f t="shared" ref="CT194:CT257" si="33">VALUE(AB194)</f>
        <v>-281.12628483134336</v>
      </c>
      <c r="CU194" s="7">
        <f t="shared" ref="CU194:CU257" si="34">SUM(CR194:CT194)/(COUNTIF(CR194:CT194,"&lt;&gt;0")-COUNTBLANK(CR194:CT194)-(COUNTA(CR194:CT194)-COUNT(CR194:CT194)))</f>
        <v>-275.37926648343893</v>
      </c>
      <c r="CV194" s="9">
        <f t="shared" si="27"/>
        <v>172.16462000000001</v>
      </c>
      <c r="CW194" t="str">
        <f t="shared" ref="CW194:CW257" si="35">G194</f>
        <v>ZrAl3</v>
      </c>
    </row>
    <row r="195" spans="1:101" ht="15.75" thickBot="1" x14ac:dyDescent="0.3">
      <c r="A195" t="s">
        <v>484</v>
      </c>
      <c r="B195" t="s">
        <v>1550</v>
      </c>
      <c r="C195" t="s">
        <v>3138</v>
      </c>
      <c r="D195" t="s">
        <v>3139</v>
      </c>
      <c r="F195" t="s">
        <v>3140</v>
      </c>
      <c r="G195" t="s">
        <v>1551</v>
      </c>
      <c r="H195">
        <v>240.88550000000001</v>
      </c>
      <c r="I195">
        <v>593</v>
      </c>
      <c r="J195">
        <v>0</v>
      </c>
      <c r="K195" t="s">
        <v>95</v>
      </c>
      <c r="L195">
        <v>-66.933620989999994</v>
      </c>
      <c r="M195">
        <f t="shared" si="28"/>
        <v>-277.8648818214462</v>
      </c>
      <c r="N195" t="s">
        <v>95</v>
      </c>
      <c r="O195" t="s">
        <v>1552</v>
      </c>
      <c r="P195" t="s">
        <v>93</v>
      </c>
      <c r="Q195">
        <v>0</v>
      </c>
      <c r="R195" t="s">
        <v>95</v>
      </c>
      <c r="S195">
        <v>-66.669692019999999</v>
      </c>
      <c r="T195">
        <f t="shared" si="29"/>
        <v>-276.76922031421566</v>
      </c>
      <c r="U195" t="s">
        <v>95</v>
      </c>
      <c r="V195">
        <v>669944</v>
      </c>
      <c r="W195" t="s">
        <v>164</v>
      </c>
      <c r="X195">
        <v>298</v>
      </c>
      <c r="Y195" t="s">
        <v>165</v>
      </c>
      <c r="Z195">
        <v>-64.5</v>
      </c>
      <c r="AA195" t="s">
        <v>95</v>
      </c>
      <c r="AB195">
        <f t="shared" si="30"/>
        <v>-267.76206953095971</v>
      </c>
      <c r="AC195" t="s">
        <v>93</v>
      </c>
      <c r="AD195">
        <v>2.5</v>
      </c>
      <c r="AE195" t="s">
        <v>95</v>
      </c>
      <c r="AF195" t="s">
        <v>93</v>
      </c>
      <c r="AZ195">
        <v>0.66</v>
      </c>
      <c r="BX195">
        <v>0.33</v>
      </c>
      <c r="CR195">
        <f t="shared" si="31"/>
        <v>-277.8648818214462</v>
      </c>
      <c r="CS195">
        <f t="shared" si="32"/>
        <v>-276.76922031421566</v>
      </c>
      <c r="CT195">
        <f t="shared" si="33"/>
        <v>-267.76206953095971</v>
      </c>
      <c r="CU195" s="7">
        <f t="shared" si="34"/>
        <v>-274.13205722220715</v>
      </c>
      <c r="CV195" s="9">
        <f t="shared" ref="CV195:CV258" si="36">H195</f>
        <v>240.88550000000001</v>
      </c>
      <c r="CW195" t="str">
        <f t="shared" si="35"/>
        <v>SiPd2</v>
      </c>
    </row>
    <row r="196" spans="1:101" ht="15.75" thickBot="1" x14ac:dyDescent="0.3">
      <c r="A196" t="s">
        <v>484</v>
      </c>
      <c r="B196" t="s">
        <v>93</v>
      </c>
      <c r="C196" t="s">
        <v>3138</v>
      </c>
      <c r="D196" t="s">
        <v>3139</v>
      </c>
      <c r="F196" t="s">
        <v>3140</v>
      </c>
      <c r="G196" t="s">
        <v>1286</v>
      </c>
      <c r="H196">
        <v>203.76549999999901</v>
      </c>
      <c r="I196">
        <v>503</v>
      </c>
      <c r="J196">
        <v>0</v>
      </c>
      <c r="K196" t="s">
        <v>95</v>
      </c>
      <c r="L196">
        <v>-54.41952062</v>
      </c>
      <c r="M196">
        <f t="shared" si="28"/>
        <v>-267.06935482208843</v>
      </c>
      <c r="N196" t="s">
        <v>95</v>
      </c>
      <c r="O196" t="s">
        <v>1287</v>
      </c>
      <c r="P196" t="s">
        <v>93</v>
      </c>
      <c r="T196">
        <f t="shared" si="29"/>
        <v>0</v>
      </c>
      <c r="V196" t="s">
        <v>93</v>
      </c>
      <c r="W196" t="s">
        <v>1288</v>
      </c>
      <c r="X196">
        <v>298</v>
      </c>
      <c r="Y196" t="s">
        <v>103</v>
      </c>
      <c r="Z196">
        <v>-57.2</v>
      </c>
      <c r="AA196" t="s">
        <v>95</v>
      </c>
      <c r="AB196">
        <f t="shared" si="30"/>
        <v>-280.71484132495578</v>
      </c>
      <c r="AC196" t="s">
        <v>93</v>
      </c>
      <c r="AD196">
        <v>1.7</v>
      </c>
      <c r="AE196" t="s">
        <v>95</v>
      </c>
      <c r="AF196" t="s">
        <v>93</v>
      </c>
      <c r="AJ196" t="s">
        <v>93</v>
      </c>
      <c r="AK196" t="s">
        <v>93</v>
      </c>
      <c r="AL196">
        <v>0.14000000000000001</v>
      </c>
      <c r="BQ196">
        <v>0.86</v>
      </c>
      <c r="CR196">
        <f t="shared" si="31"/>
        <v>-267.06935482208843</v>
      </c>
      <c r="CS196">
        <f t="shared" si="32"/>
        <v>0</v>
      </c>
      <c r="CT196">
        <f t="shared" si="33"/>
        <v>-280.71484132495578</v>
      </c>
      <c r="CU196" s="7">
        <f t="shared" si="34"/>
        <v>-273.89209807352211</v>
      </c>
      <c r="CV196" s="9">
        <f t="shared" si="36"/>
        <v>203.76549999999901</v>
      </c>
      <c r="CW196" t="str">
        <f t="shared" si="35"/>
        <v>LaB6</v>
      </c>
    </row>
    <row r="197" spans="1:101" ht="15.75" thickBot="1" x14ac:dyDescent="0.3">
      <c r="A197" t="s">
        <v>91</v>
      </c>
      <c r="B197" t="s">
        <v>2884</v>
      </c>
      <c r="C197" t="s">
        <v>3144</v>
      </c>
      <c r="E197" t="s">
        <v>3145</v>
      </c>
      <c r="F197" t="s">
        <v>93</v>
      </c>
      <c r="G197" t="s">
        <v>2885</v>
      </c>
      <c r="H197">
        <v>316.31</v>
      </c>
      <c r="I197">
        <v>1180</v>
      </c>
      <c r="M197">
        <f t="shared" si="28"/>
        <v>0</v>
      </c>
      <c r="O197" t="s">
        <v>93</v>
      </c>
      <c r="P197" t="s">
        <v>93</v>
      </c>
      <c r="T197">
        <f t="shared" si="29"/>
        <v>0</v>
      </c>
      <c r="V197" t="s">
        <v>93</v>
      </c>
      <c r="W197" t="s">
        <v>102</v>
      </c>
      <c r="X197">
        <v>298</v>
      </c>
      <c r="Y197" t="s">
        <v>103</v>
      </c>
      <c r="Z197">
        <v>-86.6</v>
      </c>
      <c r="AA197" t="s">
        <v>95</v>
      </c>
      <c r="AB197">
        <f t="shared" si="30"/>
        <v>-273.7820492554772</v>
      </c>
      <c r="AC197" t="s">
        <v>93</v>
      </c>
      <c r="AD197">
        <v>1.6</v>
      </c>
      <c r="AE197" t="s">
        <v>95</v>
      </c>
      <c r="AF197" t="s">
        <v>93</v>
      </c>
      <c r="AH197" t="s">
        <v>93</v>
      </c>
      <c r="AI197" t="s">
        <v>93</v>
      </c>
      <c r="AJ197" t="s">
        <v>93</v>
      </c>
      <c r="AK197" t="s">
        <v>93</v>
      </c>
      <c r="AP197">
        <v>0.33300000000000002</v>
      </c>
      <c r="AZ197">
        <v>0.33300000000000002</v>
      </c>
      <c r="CF197">
        <v>0.33300000000000002</v>
      </c>
      <c r="CR197">
        <f t="shared" si="31"/>
        <v>0</v>
      </c>
      <c r="CS197">
        <f t="shared" si="32"/>
        <v>0</v>
      </c>
      <c r="CT197">
        <f t="shared" si="33"/>
        <v>-273.7820492554772</v>
      </c>
      <c r="CU197" s="7">
        <f t="shared" si="34"/>
        <v>-273.7820492554772</v>
      </c>
      <c r="CV197" s="9">
        <f t="shared" si="36"/>
        <v>316.31</v>
      </c>
      <c r="CW197" t="str">
        <f t="shared" si="35"/>
        <v>PdSnZr</v>
      </c>
    </row>
    <row r="198" spans="1:101" ht="15.75" thickBot="1" x14ac:dyDescent="0.3">
      <c r="A198" t="s">
        <v>91</v>
      </c>
      <c r="B198" t="s">
        <v>1550</v>
      </c>
      <c r="C198" t="s">
        <v>3144</v>
      </c>
      <c r="E198" t="s">
        <v>3145</v>
      </c>
      <c r="F198" t="s">
        <v>93</v>
      </c>
      <c r="G198" t="s">
        <v>1551</v>
      </c>
      <c r="H198">
        <v>240.88550000000001</v>
      </c>
      <c r="I198">
        <v>594</v>
      </c>
      <c r="J198">
        <v>0</v>
      </c>
      <c r="K198" t="s">
        <v>95</v>
      </c>
      <c r="L198">
        <v>-66.933620989999994</v>
      </c>
      <c r="M198">
        <f t="shared" si="28"/>
        <v>-277.8648818214462</v>
      </c>
      <c r="N198" t="s">
        <v>95</v>
      </c>
      <c r="O198" t="s">
        <v>1552</v>
      </c>
      <c r="P198" t="s">
        <v>93</v>
      </c>
      <c r="Q198">
        <v>0</v>
      </c>
      <c r="R198" t="s">
        <v>95</v>
      </c>
      <c r="S198">
        <v>-66.669692019999999</v>
      </c>
      <c r="T198">
        <f t="shared" si="29"/>
        <v>-276.76922031421566</v>
      </c>
      <c r="U198" t="s">
        <v>95</v>
      </c>
      <c r="V198">
        <v>669944</v>
      </c>
      <c r="W198" t="s">
        <v>164</v>
      </c>
      <c r="X198">
        <v>298</v>
      </c>
      <c r="Y198" t="s">
        <v>165</v>
      </c>
      <c r="Z198">
        <v>-64.2</v>
      </c>
      <c r="AA198" t="s">
        <v>95</v>
      </c>
      <c r="AB198">
        <f t="shared" si="30"/>
        <v>-266.51666455639713</v>
      </c>
      <c r="AC198" t="s">
        <v>93</v>
      </c>
      <c r="AD198">
        <v>2.4</v>
      </c>
      <c r="AE198" t="s">
        <v>95</v>
      </c>
      <c r="AF198" t="s">
        <v>93</v>
      </c>
      <c r="AZ198">
        <v>0.66</v>
      </c>
      <c r="BX198">
        <v>0.33</v>
      </c>
      <c r="CR198">
        <f t="shared" si="31"/>
        <v>-277.8648818214462</v>
      </c>
      <c r="CS198">
        <f t="shared" si="32"/>
        <v>-276.76922031421566</v>
      </c>
      <c r="CT198">
        <f t="shared" si="33"/>
        <v>-266.51666455639713</v>
      </c>
      <c r="CU198" s="7">
        <f t="shared" si="34"/>
        <v>-273.71692223068629</v>
      </c>
      <c r="CV198" s="9">
        <f t="shared" si="36"/>
        <v>240.88550000000001</v>
      </c>
      <c r="CW198" t="str">
        <f t="shared" si="35"/>
        <v>SiPd2</v>
      </c>
    </row>
    <row r="199" spans="1:101" ht="15.75" thickBot="1" x14ac:dyDescent="0.3">
      <c r="A199" t="s">
        <v>91</v>
      </c>
      <c r="B199" t="s">
        <v>1253</v>
      </c>
      <c r="C199" t="s">
        <v>3144</v>
      </c>
      <c r="E199" t="s">
        <v>3145</v>
      </c>
      <c r="F199" t="s">
        <v>93</v>
      </c>
      <c r="G199" t="s">
        <v>1254</v>
      </c>
      <c r="H199">
        <v>190.55420000000001</v>
      </c>
      <c r="I199">
        <v>490</v>
      </c>
      <c r="J199">
        <v>0</v>
      </c>
      <c r="K199" t="s">
        <v>95</v>
      </c>
      <c r="L199">
        <v>-62.987796850000002</v>
      </c>
      <c r="M199">
        <f t="shared" si="28"/>
        <v>-330.5505564820927</v>
      </c>
      <c r="N199" t="s">
        <v>95</v>
      </c>
      <c r="O199" t="s">
        <v>1255</v>
      </c>
      <c r="P199" t="s">
        <v>93</v>
      </c>
      <c r="Q199">
        <v>0</v>
      </c>
      <c r="R199" t="s">
        <v>95</v>
      </c>
      <c r="S199">
        <v>-62.833408599999999</v>
      </c>
      <c r="T199">
        <f t="shared" si="29"/>
        <v>-329.74034998966169</v>
      </c>
      <c r="U199" t="s">
        <v>95</v>
      </c>
      <c r="V199">
        <v>8473</v>
      </c>
      <c r="W199" t="s">
        <v>510</v>
      </c>
      <c r="X199">
        <v>298</v>
      </c>
      <c r="Y199" t="s">
        <v>170</v>
      </c>
      <c r="Z199">
        <v>-30.6</v>
      </c>
      <c r="AA199" t="s">
        <v>95</v>
      </c>
      <c r="AB199">
        <f t="shared" si="30"/>
        <v>-160.58423272748644</v>
      </c>
      <c r="AC199" t="s">
        <v>93</v>
      </c>
      <c r="AD199">
        <v>3</v>
      </c>
      <c r="AE199" t="s">
        <v>95</v>
      </c>
      <c r="AF199" t="s">
        <v>93</v>
      </c>
      <c r="BO199">
        <v>0.33</v>
      </c>
      <c r="BQ199">
        <v>0.66</v>
      </c>
      <c r="CR199">
        <f t="shared" si="31"/>
        <v>-330.5505564820927</v>
      </c>
      <c r="CS199">
        <f t="shared" si="32"/>
        <v>-329.74034998966169</v>
      </c>
      <c r="CT199">
        <f t="shared" si="33"/>
        <v>-160.58423272748644</v>
      </c>
      <c r="CU199" s="7">
        <f t="shared" si="34"/>
        <v>-273.62504639974696</v>
      </c>
      <c r="CV199" s="9">
        <f t="shared" si="36"/>
        <v>190.55420000000001</v>
      </c>
      <c r="CW199" t="str">
        <f t="shared" si="35"/>
        <v>TmB2</v>
      </c>
    </row>
    <row r="200" spans="1:101" ht="15.75" thickBot="1" x14ac:dyDescent="0.3">
      <c r="A200" t="s">
        <v>484</v>
      </c>
      <c r="B200" t="s">
        <v>720</v>
      </c>
      <c r="C200" t="s">
        <v>3138</v>
      </c>
      <c r="D200" t="s">
        <v>3139</v>
      </c>
      <c r="F200" t="s">
        <v>3140</v>
      </c>
      <c r="G200" t="s">
        <v>721</v>
      </c>
      <c r="H200">
        <v>283.44</v>
      </c>
      <c r="I200">
        <v>288</v>
      </c>
      <c r="J200">
        <v>11.365776909999999</v>
      </c>
      <c r="K200" t="s">
        <v>95</v>
      </c>
      <c r="L200">
        <v>-70.478671050000003</v>
      </c>
      <c r="M200">
        <f t="shared" si="28"/>
        <v>-248.6546396062659</v>
      </c>
      <c r="N200" t="s">
        <v>95</v>
      </c>
      <c r="O200" t="s">
        <v>722</v>
      </c>
      <c r="P200" t="s">
        <v>93</v>
      </c>
      <c r="Q200">
        <v>8.7328059600000003</v>
      </c>
      <c r="R200" t="s">
        <v>95</v>
      </c>
      <c r="S200">
        <v>-73.987040100000002</v>
      </c>
      <c r="T200">
        <f t="shared" si="29"/>
        <v>-261.03245872142253</v>
      </c>
      <c r="U200" t="s">
        <v>95</v>
      </c>
      <c r="V200">
        <v>17541</v>
      </c>
      <c r="W200" t="s">
        <v>102</v>
      </c>
      <c r="X200">
        <v>298</v>
      </c>
      <c r="Y200" t="s">
        <v>103</v>
      </c>
      <c r="Z200">
        <v>-85.7</v>
      </c>
      <c r="AA200" t="s">
        <v>95</v>
      </c>
      <c r="AB200">
        <f t="shared" si="30"/>
        <v>-302.3567598080723</v>
      </c>
      <c r="AC200" t="s">
        <v>93</v>
      </c>
      <c r="AD200">
        <v>3.9</v>
      </c>
      <c r="AE200" t="s">
        <v>95</v>
      </c>
      <c r="AF200" t="s">
        <v>93</v>
      </c>
      <c r="AP200">
        <v>0.5</v>
      </c>
      <c r="BB200">
        <v>0.5</v>
      </c>
      <c r="CR200">
        <f t="shared" si="31"/>
        <v>-248.6546396062659</v>
      </c>
      <c r="CS200">
        <f t="shared" si="32"/>
        <v>-261.03245872142253</v>
      </c>
      <c r="CT200">
        <f t="shared" si="33"/>
        <v>-302.3567598080723</v>
      </c>
      <c r="CU200" s="7">
        <f t="shared" si="34"/>
        <v>-270.68128604525356</v>
      </c>
      <c r="CV200" s="9">
        <f t="shared" si="36"/>
        <v>283.44</v>
      </c>
      <c r="CW200" t="str">
        <f t="shared" si="35"/>
        <v>ZrIr</v>
      </c>
    </row>
    <row r="201" spans="1:101" ht="15.75" thickBot="1" x14ac:dyDescent="0.3">
      <c r="A201" t="s">
        <v>91</v>
      </c>
      <c r="B201" t="s">
        <v>1203</v>
      </c>
      <c r="C201" t="s">
        <v>3144</v>
      </c>
      <c r="E201" t="s">
        <v>3145</v>
      </c>
      <c r="F201" t="s">
        <v>93</v>
      </c>
      <c r="G201" t="s">
        <v>1204</v>
      </c>
      <c r="H201">
        <v>106.75</v>
      </c>
      <c r="I201">
        <v>472</v>
      </c>
      <c r="M201">
        <f t="shared" si="28"/>
        <v>0</v>
      </c>
      <c r="O201" t="s">
        <v>93</v>
      </c>
      <c r="P201" t="s">
        <v>93</v>
      </c>
      <c r="T201">
        <f t="shared" si="29"/>
        <v>0</v>
      </c>
      <c r="V201" t="s">
        <v>93</v>
      </c>
      <c r="W201" t="s">
        <v>93</v>
      </c>
      <c r="X201">
        <v>298</v>
      </c>
      <c r="Y201" t="s">
        <v>93</v>
      </c>
      <c r="Z201">
        <v>-28.7</v>
      </c>
      <c r="AA201" t="s">
        <v>95</v>
      </c>
      <c r="AB201">
        <f t="shared" si="30"/>
        <v>-268.85245901639342</v>
      </c>
      <c r="AC201" t="s">
        <v>93</v>
      </c>
      <c r="AD201">
        <v>1</v>
      </c>
      <c r="AE201" t="s">
        <v>95</v>
      </c>
      <c r="AF201" t="s">
        <v>93</v>
      </c>
      <c r="AH201" t="s">
        <v>93</v>
      </c>
      <c r="AI201" t="s">
        <v>93</v>
      </c>
      <c r="AJ201" t="s">
        <v>93</v>
      </c>
      <c r="AK201" t="s">
        <v>93</v>
      </c>
      <c r="BQ201">
        <v>0.5</v>
      </c>
      <c r="BS201">
        <v>0.5</v>
      </c>
      <c r="CR201">
        <f t="shared" si="31"/>
        <v>0</v>
      </c>
      <c r="CS201">
        <f t="shared" si="32"/>
        <v>0</v>
      </c>
      <c r="CT201">
        <f t="shared" si="33"/>
        <v>-268.85245901639342</v>
      </c>
      <c r="CU201" s="7">
        <f t="shared" si="34"/>
        <v>-268.85245901639342</v>
      </c>
      <c r="CV201" s="9">
        <f t="shared" si="36"/>
        <v>106.75</v>
      </c>
      <c r="CW201" t="str">
        <f t="shared" si="35"/>
        <v>BMo</v>
      </c>
    </row>
    <row r="202" spans="1:101" ht="15.75" thickBot="1" x14ac:dyDescent="0.3">
      <c r="A202" t="s">
        <v>91</v>
      </c>
      <c r="B202" t="s">
        <v>1759</v>
      </c>
      <c r="C202" t="s">
        <v>3144</v>
      </c>
      <c r="E202" t="s">
        <v>3145</v>
      </c>
      <c r="F202" t="s">
        <v>93</v>
      </c>
      <c r="G202" t="s">
        <v>1760</v>
      </c>
      <c r="H202">
        <v>147.60589999999999</v>
      </c>
      <c r="I202">
        <v>672</v>
      </c>
      <c r="J202">
        <v>0</v>
      </c>
      <c r="K202" t="s">
        <v>95</v>
      </c>
      <c r="L202">
        <v>-42.067735720000002</v>
      </c>
      <c r="M202">
        <f t="shared" si="28"/>
        <v>-285.00036732949025</v>
      </c>
      <c r="N202" t="s">
        <v>95</v>
      </c>
      <c r="O202" t="s">
        <v>1761</v>
      </c>
      <c r="P202" t="s">
        <v>93</v>
      </c>
      <c r="Q202">
        <v>0</v>
      </c>
      <c r="R202" t="s">
        <v>95</v>
      </c>
      <c r="S202">
        <v>-42.980743500000003</v>
      </c>
      <c r="T202">
        <f t="shared" si="29"/>
        <v>-291.18580964582043</v>
      </c>
      <c r="U202" t="s">
        <v>95</v>
      </c>
      <c r="V202">
        <v>17852</v>
      </c>
      <c r="W202" t="s">
        <v>358</v>
      </c>
      <c r="X202">
        <v>298</v>
      </c>
      <c r="Y202" t="s">
        <v>359</v>
      </c>
      <c r="Z202">
        <v>-32.9</v>
      </c>
      <c r="AA202" t="s">
        <v>95</v>
      </c>
      <c r="AB202">
        <f t="shared" si="30"/>
        <v>-222.89081940491539</v>
      </c>
      <c r="AC202" t="s">
        <v>93</v>
      </c>
      <c r="AD202">
        <v>1.7</v>
      </c>
      <c r="AE202" t="s">
        <v>95</v>
      </c>
      <c r="AF202" t="s">
        <v>93</v>
      </c>
      <c r="AG202">
        <v>0.5</v>
      </c>
      <c r="AS202">
        <v>0.5</v>
      </c>
      <c r="CR202">
        <f t="shared" si="31"/>
        <v>-285.00036732949025</v>
      </c>
      <c r="CS202">
        <f t="shared" si="32"/>
        <v>-291.18580964582043</v>
      </c>
      <c r="CT202">
        <f t="shared" si="33"/>
        <v>-222.89081940491539</v>
      </c>
      <c r="CU202" s="7">
        <f t="shared" si="34"/>
        <v>-266.35899879340872</v>
      </c>
      <c r="CV202" s="9">
        <f t="shared" si="36"/>
        <v>147.60589999999999</v>
      </c>
      <c r="CW202" t="str">
        <f t="shared" si="35"/>
        <v>YNi</v>
      </c>
    </row>
    <row r="203" spans="1:101" ht="15.75" thickBot="1" x14ac:dyDescent="0.3">
      <c r="A203" t="s">
        <v>91</v>
      </c>
      <c r="B203" t="s">
        <v>213</v>
      </c>
      <c r="C203" t="s">
        <v>3144</v>
      </c>
      <c r="E203" t="s">
        <v>3145</v>
      </c>
      <c r="F203" t="s">
        <v>93</v>
      </c>
      <c r="G203" t="s">
        <v>214</v>
      </c>
      <c r="H203">
        <v>168.51007999999999</v>
      </c>
      <c r="I203">
        <v>46</v>
      </c>
      <c r="M203">
        <f t="shared" si="28"/>
        <v>0</v>
      </c>
      <c r="O203" t="s">
        <v>93</v>
      </c>
      <c r="P203" t="s">
        <v>93</v>
      </c>
      <c r="T203">
        <f t="shared" si="29"/>
        <v>0</v>
      </c>
      <c r="V203" t="s">
        <v>93</v>
      </c>
      <c r="W203" t="s">
        <v>102</v>
      </c>
      <c r="X203">
        <v>298</v>
      </c>
      <c r="Y203" t="s">
        <v>103</v>
      </c>
      <c r="Z203">
        <v>-44.5</v>
      </c>
      <c r="AA203" t="s">
        <v>95</v>
      </c>
      <c r="AB203">
        <f t="shared" si="30"/>
        <v>-264.07915775720954</v>
      </c>
      <c r="AC203" t="s">
        <v>93</v>
      </c>
      <c r="AD203">
        <v>0.9</v>
      </c>
      <c r="AE203" t="s">
        <v>95</v>
      </c>
      <c r="AF203" t="s">
        <v>93</v>
      </c>
      <c r="AH203" t="s">
        <v>93</v>
      </c>
      <c r="AI203" t="s">
        <v>93</v>
      </c>
      <c r="AJ203" t="s">
        <v>93</v>
      </c>
      <c r="AK203" t="s">
        <v>93</v>
      </c>
      <c r="AR203">
        <v>0.5</v>
      </c>
      <c r="AS203">
        <v>0.25</v>
      </c>
      <c r="AT203">
        <v>0.25</v>
      </c>
      <c r="CR203">
        <f t="shared" si="31"/>
        <v>0</v>
      </c>
      <c r="CS203">
        <f t="shared" si="32"/>
        <v>0</v>
      </c>
      <c r="CT203">
        <f t="shared" si="33"/>
        <v>-264.07915775720954</v>
      </c>
      <c r="CU203" s="7">
        <f t="shared" si="34"/>
        <v>-264.07915775720954</v>
      </c>
      <c r="CV203" s="9">
        <f t="shared" si="36"/>
        <v>168.51007999999999</v>
      </c>
      <c r="CW203" t="str">
        <f t="shared" si="35"/>
        <v>Al2FeNi</v>
      </c>
    </row>
    <row r="204" spans="1:101" ht="15.75" thickBot="1" x14ac:dyDescent="0.3">
      <c r="A204" t="s">
        <v>91</v>
      </c>
      <c r="B204" t="s">
        <v>795</v>
      </c>
      <c r="C204" t="s">
        <v>3144</v>
      </c>
      <c r="E204" t="s">
        <v>3145</v>
      </c>
      <c r="F204" t="s">
        <v>93</v>
      </c>
      <c r="G204" t="s">
        <v>796</v>
      </c>
      <c r="H204">
        <v>247.1455</v>
      </c>
      <c r="I204">
        <v>319</v>
      </c>
      <c r="J204">
        <v>0</v>
      </c>
      <c r="K204" t="s">
        <v>95</v>
      </c>
      <c r="L204">
        <v>-66.176328810000001</v>
      </c>
      <c r="M204">
        <f t="shared" si="28"/>
        <v>-267.76262893720502</v>
      </c>
      <c r="N204" t="s">
        <v>95</v>
      </c>
      <c r="O204" t="s">
        <v>797</v>
      </c>
      <c r="P204" t="s">
        <v>93</v>
      </c>
      <c r="Q204">
        <v>0</v>
      </c>
      <c r="R204" t="s">
        <v>95</v>
      </c>
      <c r="S204">
        <v>-65.149844380000005</v>
      </c>
      <c r="T204">
        <f t="shared" si="29"/>
        <v>-263.60926814366439</v>
      </c>
      <c r="U204" t="s">
        <v>95</v>
      </c>
      <c r="V204">
        <v>30810</v>
      </c>
      <c r="W204" t="s">
        <v>430</v>
      </c>
      <c r="X204">
        <v>298</v>
      </c>
      <c r="Y204" t="s">
        <v>147</v>
      </c>
      <c r="Z204">
        <v>-64.2</v>
      </c>
      <c r="AA204" t="s">
        <v>95</v>
      </c>
      <c r="AB204">
        <f t="shared" si="30"/>
        <v>-259.7660082825704</v>
      </c>
      <c r="AC204" t="s">
        <v>93</v>
      </c>
      <c r="AD204">
        <v>2</v>
      </c>
      <c r="AE204" t="s">
        <v>95</v>
      </c>
      <c r="AF204" t="s">
        <v>93</v>
      </c>
      <c r="AO204">
        <v>0.5</v>
      </c>
      <c r="BF204">
        <v>0.5</v>
      </c>
      <c r="CR204">
        <f t="shared" si="31"/>
        <v>-267.76262893720502</v>
      </c>
      <c r="CS204">
        <f t="shared" si="32"/>
        <v>-263.60926814366439</v>
      </c>
      <c r="CT204">
        <f t="shared" si="33"/>
        <v>-259.7660082825704</v>
      </c>
      <c r="CU204" s="7">
        <f t="shared" si="34"/>
        <v>-263.7126351211466</v>
      </c>
      <c r="CV204" s="9">
        <f t="shared" si="36"/>
        <v>247.1455</v>
      </c>
      <c r="CW204" t="str">
        <f t="shared" si="35"/>
        <v>NdRh</v>
      </c>
    </row>
    <row r="205" spans="1:101" ht="15.75" thickBot="1" x14ac:dyDescent="0.3">
      <c r="A205" t="s">
        <v>91</v>
      </c>
      <c r="B205" t="s">
        <v>1479</v>
      </c>
      <c r="C205" t="s">
        <v>3144</v>
      </c>
      <c r="E205" t="s">
        <v>3145</v>
      </c>
      <c r="F205" t="s">
        <v>93</v>
      </c>
      <c r="G205" t="s">
        <v>1480</v>
      </c>
      <c r="H205">
        <v>221.10139999999899</v>
      </c>
      <c r="I205">
        <v>568</v>
      </c>
      <c r="M205">
        <f t="shared" si="28"/>
        <v>0</v>
      </c>
      <c r="O205" t="s">
        <v>93</v>
      </c>
      <c r="P205" t="s">
        <v>93</v>
      </c>
      <c r="T205">
        <f t="shared" si="29"/>
        <v>0</v>
      </c>
      <c r="V205" t="s">
        <v>93</v>
      </c>
      <c r="W205" t="s">
        <v>364</v>
      </c>
      <c r="X205">
        <v>298</v>
      </c>
      <c r="Y205" t="s">
        <v>365</v>
      </c>
      <c r="Z205">
        <v>-58.1</v>
      </c>
      <c r="AA205" t="s">
        <v>95</v>
      </c>
      <c r="AB205">
        <f t="shared" si="30"/>
        <v>-262.77536008365513</v>
      </c>
      <c r="AC205" t="s">
        <v>93</v>
      </c>
      <c r="AD205">
        <v>2.4</v>
      </c>
      <c r="AE205" t="s">
        <v>95</v>
      </c>
      <c r="AF205" t="s">
        <v>93</v>
      </c>
      <c r="AH205" t="s">
        <v>93</v>
      </c>
      <c r="AI205" t="s">
        <v>93</v>
      </c>
      <c r="AJ205" t="s">
        <v>93</v>
      </c>
      <c r="AK205" t="s">
        <v>93</v>
      </c>
      <c r="BJ205">
        <v>0.33</v>
      </c>
      <c r="BX205">
        <v>0.66</v>
      </c>
      <c r="CR205">
        <f t="shared" si="31"/>
        <v>0</v>
      </c>
      <c r="CS205">
        <f t="shared" si="32"/>
        <v>0</v>
      </c>
      <c r="CT205">
        <f t="shared" si="33"/>
        <v>-262.77536008365513</v>
      </c>
      <c r="CU205" s="7">
        <f t="shared" si="34"/>
        <v>-262.77536008365513</v>
      </c>
      <c r="CV205" s="9">
        <f t="shared" si="36"/>
        <v>221.10139999999899</v>
      </c>
      <c r="CW205" t="str">
        <f t="shared" si="35"/>
        <v>HoSi2</v>
      </c>
    </row>
    <row r="206" spans="1:101" ht="15.75" thickBot="1" x14ac:dyDescent="0.3">
      <c r="A206" t="s">
        <v>91</v>
      </c>
      <c r="B206" t="s">
        <v>982</v>
      </c>
      <c r="C206" t="s">
        <v>3144</v>
      </c>
      <c r="E206" t="s">
        <v>3145</v>
      </c>
      <c r="F206" t="s">
        <v>93</v>
      </c>
      <c r="G206" t="s">
        <v>983</v>
      </c>
      <c r="H206">
        <v>261.83089999999999</v>
      </c>
      <c r="I206">
        <v>393</v>
      </c>
      <c r="J206">
        <v>0</v>
      </c>
      <c r="K206" t="s">
        <v>95</v>
      </c>
      <c r="L206">
        <v>-83.35602643</v>
      </c>
      <c r="M206">
        <f t="shared" si="28"/>
        <v>-318.35824736499785</v>
      </c>
      <c r="N206" t="s">
        <v>95</v>
      </c>
      <c r="O206" t="s">
        <v>984</v>
      </c>
      <c r="P206" t="s">
        <v>93</v>
      </c>
      <c r="Q206">
        <v>3.9384330000000002E-2</v>
      </c>
      <c r="R206" t="s">
        <v>95</v>
      </c>
      <c r="S206">
        <v>-49.348275729999997</v>
      </c>
      <c r="T206">
        <f t="shared" si="29"/>
        <v>-188.47384220120696</v>
      </c>
      <c r="U206" t="s">
        <v>95</v>
      </c>
      <c r="V206">
        <v>18067</v>
      </c>
      <c r="W206" t="s">
        <v>102</v>
      </c>
      <c r="X206">
        <v>298</v>
      </c>
      <c r="Y206" t="s">
        <v>103</v>
      </c>
      <c r="Z206">
        <v>-72.3</v>
      </c>
      <c r="AA206" t="s">
        <v>95</v>
      </c>
      <c r="AB206">
        <f t="shared" si="30"/>
        <v>-276.13241981752344</v>
      </c>
      <c r="AC206" t="s">
        <v>93</v>
      </c>
      <c r="AD206">
        <v>1.1000000000000001</v>
      </c>
      <c r="AE206" t="s">
        <v>95</v>
      </c>
      <c r="AF206" t="s">
        <v>93</v>
      </c>
      <c r="BF206">
        <v>0.5</v>
      </c>
      <c r="BK206">
        <v>0.5</v>
      </c>
      <c r="CR206">
        <f t="shared" si="31"/>
        <v>-318.35824736499785</v>
      </c>
      <c r="CS206">
        <f t="shared" si="32"/>
        <v>-188.47384220120696</v>
      </c>
      <c r="CT206">
        <f t="shared" si="33"/>
        <v>-276.13241981752344</v>
      </c>
      <c r="CU206" s="7">
        <f t="shared" si="34"/>
        <v>-260.98816979457609</v>
      </c>
      <c r="CV206" s="9">
        <f t="shared" si="36"/>
        <v>261.83089999999999</v>
      </c>
      <c r="CW206" t="str">
        <f t="shared" si="35"/>
        <v>TbRh</v>
      </c>
    </row>
    <row r="207" spans="1:101" ht="15.75" thickBot="1" x14ac:dyDescent="0.3">
      <c r="A207" t="s">
        <v>91</v>
      </c>
      <c r="B207" t="s">
        <v>1223</v>
      </c>
      <c r="C207" t="s">
        <v>3144</v>
      </c>
      <c r="E207" t="s">
        <v>3145</v>
      </c>
      <c r="F207" t="s">
        <v>93</v>
      </c>
      <c r="G207" t="s">
        <v>1224</v>
      </c>
      <c r="H207">
        <v>188.88</v>
      </c>
      <c r="I207">
        <v>480</v>
      </c>
      <c r="J207">
        <v>0</v>
      </c>
      <c r="K207" t="s">
        <v>95</v>
      </c>
      <c r="L207">
        <v>-60.147380099999999</v>
      </c>
      <c r="M207">
        <f t="shared" si="28"/>
        <v>-318.442291931385</v>
      </c>
      <c r="N207" t="s">
        <v>95</v>
      </c>
      <c r="O207" t="s">
        <v>1225</v>
      </c>
      <c r="P207" t="s">
        <v>93</v>
      </c>
      <c r="Q207">
        <v>0</v>
      </c>
      <c r="R207" t="s">
        <v>95</v>
      </c>
      <c r="S207">
        <v>-60.054888230000003</v>
      </c>
      <c r="T207">
        <f t="shared" si="29"/>
        <v>-317.95260604616692</v>
      </c>
      <c r="U207" t="s">
        <v>95</v>
      </c>
      <c r="V207">
        <v>647372</v>
      </c>
      <c r="W207" t="s">
        <v>510</v>
      </c>
      <c r="X207">
        <v>298</v>
      </c>
      <c r="Y207" t="s">
        <v>170</v>
      </c>
      <c r="Z207">
        <v>-27.3</v>
      </c>
      <c r="AA207" t="s">
        <v>95</v>
      </c>
      <c r="AB207">
        <f t="shared" si="30"/>
        <v>-144.53621346886914</v>
      </c>
      <c r="AC207" t="s">
        <v>93</v>
      </c>
      <c r="AD207">
        <v>2.2000000000000002</v>
      </c>
      <c r="AE207" t="s">
        <v>95</v>
      </c>
      <c r="AF207" t="s">
        <v>93</v>
      </c>
      <c r="BH207">
        <v>0.33</v>
      </c>
      <c r="BQ207">
        <v>0.66</v>
      </c>
      <c r="CR207">
        <f t="shared" si="31"/>
        <v>-318.442291931385</v>
      </c>
      <c r="CS207">
        <f t="shared" si="32"/>
        <v>-317.95260604616692</v>
      </c>
      <c r="CT207">
        <f t="shared" si="33"/>
        <v>-144.53621346886914</v>
      </c>
      <c r="CU207" s="7">
        <f t="shared" si="34"/>
        <v>-260.31037048214034</v>
      </c>
      <c r="CV207" s="9">
        <f t="shared" si="36"/>
        <v>188.88</v>
      </c>
      <c r="CW207" t="str">
        <f t="shared" si="35"/>
        <v>ErB2</v>
      </c>
    </row>
    <row r="208" spans="1:101" ht="15.75" thickBot="1" x14ac:dyDescent="0.3">
      <c r="A208" t="s">
        <v>91</v>
      </c>
      <c r="B208" t="s">
        <v>713</v>
      </c>
      <c r="C208" t="s">
        <v>3144</v>
      </c>
      <c r="E208" t="s">
        <v>3145</v>
      </c>
      <c r="F208" t="s">
        <v>93</v>
      </c>
      <c r="G208" t="s">
        <v>715</v>
      </c>
      <c r="H208">
        <v>281.1259</v>
      </c>
      <c r="I208">
        <v>286</v>
      </c>
      <c r="J208">
        <v>0</v>
      </c>
      <c r="K208" t="s">
        <v>95</v>
      </c>
      <c r="L208">
        <v>-77.640265909999997</v>
      </c>
      <c r="M208">
        <f t="shared" si="28"/>
        <v>-276.17613997856478</v>
      </c>
      <c r="N208" t="s">
        <v>95</v>
      </c>
      <c r="O208" t="s">
        <v>716</v>
      </c>
      <c r="P208" t="s">
        <v>93</v>
      </c>
      <c r="Q208">
        <v>2.3355230000000001E-2</v>
      </c>
      <c r="R208" t="s">
        <v>95</v>
      </c>
      <c r="S208">
        <v>-75.729522459999998</v>
      </c>
      <c r="T208">
        <f t="shared" si="29"/>
        <v>-269.37938645994552</v>
      </c>
      <c r="U208" t="s">
        <v>95</v>
      </c>
      <c r="V208">
        <v>17536</v>
      </c>
      <c r="W208" t="s">
        <v>102</v>
      </c>
      <c r="X208">
        <v>298</v>
      </c>
      <c r="Y208" t="s">
        <v>103</v>
      </c>
      <c r="Z208">
        <v>-65.900000000000006</v>
      </c>
      <c r="AA208" t="s">
        <v>95</v>
      </c>
      <c r="AB208">
        <f t="shared" si="30"/>
        <v>-234.41454522688949</v>
      </c>
      <c r="AC208" t="s">
        <v>93</v>
      </c>
      <c r="AD208">
        <v>3.8</v>
      </c>
      <c r="AE208" t="s">
        <v>95</v>
      </c>
      <c r="AF208" t="s">
        <v>93</v>
      </c>
      <c r="AG208">
        <v>0.5</v>
      </c>
      <c r="BB208">
        <v>0.5</v>
      </c>
      <c r="CR208">
        <f t="shared" si="31"/>
        <v>-276.17613997856478</v>
      </c>
      <c r="CS208">
        <f t="shared" si="32"/>
        <v>-269.37938645994552</v>
      </c>
      <c r="CT208">
        <f t="shared" si="33"/>
        <v>-234.41454522688949</v>
      </c>
      <c r="CU208" s="7">
        <f t="shared" si="34"/>
        <v>-259.99002388846657</v>
      </c>
      <c r="CV208" s="9">
        <f t="shared" si="36"/>
        <v>281.1259</v>
      </c>
      <c r="CW208" t="str">
        <f t="shared" si="35"/>
        <v>YIr</v>
      </c>
    </row>
    <row r="209" spans="1:101" ht="15.75" thickBot="1" x14ac:dyDescent="0.3">
      <c r="A209" t="s">
        <v>484</v>
      </c>
      <c r="B209" t="s">
        <v>1589</v>
      </c>
      <c r="C209" t="s">
        <v>3138</v>
      </c>
      <c r="D209" t="s">
        <v>3139</v>
      </c>
      <c r="F209" t="s">
        <v>3140</v>
      </c>
      <c r="G209" t="s">
        <v>1590</v>
      </c>
      <c r="H209">
        <v>309.036</v>
      </c>
      <c r="I209">
        <v>611</v>
      </c>
      <c r="J209">
        <v>0</v>
      </c>
      <c r="K209" t="s">
        <v>95</v>
      </c>
      <c r="L209">
        <v>-74.133103019999993</v>
      </c>
      <c r="M209">
        <f t="shared" si="28"/>
        <v>-239.88500698947692</v>
      </c>
      <c r="N209" t="s">
        <v>95</v>
      </c>
      <c r="O209" t="s">
        <v>1591</v>
      </c>
      <c r="P209" t="s">
        <v>93</v>
      </c>
      <c r="Q209">
        <v>0</v>
      </c>
      <c r="R209" t="s">
        <v>95</v>
      </c>
      <c r="S209">
        <v>-74.229449099999997</v>
      </c>
      <c r="T209">
        <f t="shared" si="29"/>
        <v>-240.19677027919076</v>
      </c>
      <c r="U209" t="s">
        <v>95</v>
      </c>
      <c r="V209">
        <v>4475</v>
      </c>
      <c r="W209" t="s">
        <v>339</v>
      </c>
      <c r="X209">
        <v>298</v>
      </c>
      <c r="Y209" t="s">
        <v>1403</v>
      </c>
      <c r="Z209">
        <v>-89.9</v>
      </c>
      <c r="AA209" t="s">
        <v>95</v>
      </c>
      <c r="AB209">
        <f t="shared" si="30"/>
        <v>-290.90461952652765</v>
      </c>
      <c r="AC209" t="s">
        <v>93</v>
      </c>
      <c r="AD209">
        <v>4.3</v>
      </c>
      <c r="AE209" t="s">
        <v>95</v>
      </c>
      <c r="AF209" t="s">
        <v>93</v>
      </c>
      <c r="BX209">
        <v>0.375</v>
      </c>
      <c r="CR209">
        <f t="shared" si="31"/>
        <v>-239.88500698947692</v>
      </c>
      <c r="CS209">
        <f t="shared" si="32"/>
        <v>-240.19677027919076</v>
      </c>
      <c r="CT209">
        <f t="shared" si="33"/>
        <v>-290.90461952652765</v>
      </c>
      <c r="CU209" s="7">
        <f t="shared" si="34"/>
        <v>-256.99546559839843</v>
      </c>
      <c r="CV209" s="9">
        <f t="shared" si="36"/>
        <v>309.036</v>
      </c>
      <c r="CW209" t="str">
        <f t="shared" si="35"/>
        <v>Sc5Si3</v>
      </c>
    </row>
    <row r="210" spans="1:101" ht="15.75" thickBot="1" x14ac:dyDescent="0.3">
      <c r="A210" t="s">
        <v>91</v>
      </c>
      <c r="B210" t="s">
        <v>1226</v>
      </c>
      <c r="C210" t="s">
        <v>3144</v>
      </c>
      <c r="E210" t="s">
        <v>3145</v>
      </c>
      <c r="F210" t="s">
        <v>93</v>
      </c>
      <c r="G210" t="s">
        <v>1227</v>
      </c>
      <c r="H210">
        <v>186.5504</v>
      </c>
      <c r="I210">
        <v>481</v>
      </c>
      <c r="J210">
        <v>0</v>
      </c>
      <c r="K210" t="s">
        <v>95</v>
      </c>
      <c r="L210">
        <v>-57.392438220000003</v>
      </c>
      <c r="M210">
        <f t="shared" si="28"/>
        <v>-307.65111315762391</v>
      </c>
      <c r="N210" t="s">
        <v>95</v>
      </c>
      <c r="O210" t="s">
        <v>1228</v>
      </c>
      <c r="P210" t="s">
        <v>93</v>
      </c>
      <c r="Q210">
        <v>0</v>
      </c>
      <c r="R210" t="s">
        <v>95</v>
      </c>
      <c r="S210">
        <v>-57.22089604</v>
      </c>
      <c r="T210">
        <f t="shared" si="29"/>
        <v>-306.73156444585487</v>
      </c>
      <c r="U210" t="s">
        <v>95</v>
      </c>
      <c r="V210">
        <v>8366</v>
      </c>
      <c r="W210" t="s">
        <v>510</v>
      </c>
      <c r="X210">
        <v>298</v>
      </c>
      <c r="Y210" t="s">
        <v>170</v>
      </c>
      <c r="Z210">
        <v>-27.9</v>
      </c>
      <c r="AA210" t="s">
        <v>95</v>
      </c>
      <c r="AB210">
        <f t="shared" si="30"/>
        <v>-149.55743863320581</v>
      </c>
      <c r="AC210" t="s">
        <v>93</v>
      </c>
      <c r="AD210">
        <v>1.5</v>
      </c>
      <c r="AE210" t="s">
        <v>95</v>
      </c>
      <c r="AF210" t="s">
        <v>93</v>
      </c>
      <c r="BJ210">
        <v>0.33</v>
      </c>
      <c r="BQ210">
        <v>0.66</v>
      </c>
      <c r="CR210">
        <f t="shared" si="31"/>
        <v>-307.65111315762391</v>
      </c>
      <c r="CS210">
        <f t="shared" si="32"/>
        <v>-306.73156444585487</v>
      </c>
      <c r="CT210">
        <f t="shared" si="33"/>
        <v>-149.55743863320581</v>
      </c>
      <c r="CU210" s="7">
        <f t="shared" si="34"/>
        <v>-254.64670541222821</v>
      </c>
      <c r="CV210" s="9">
        <f t="shared" si="36"/>
        <v>186.5504</v>
      </c>
      <c r="CW210" t="str">
        <f t="shared" si="35"/>
        <v>HoB2</v>
      </c>
    </row>
    <row r="211" spans="1:101" ht="15.75" thickBot="1" x14ac:dyDescent="0.3">
      <c r="A211" t="s">
        <v>91</v>
      </c>
      <c r="B211" t="s">
        <v>2878</v>
      </c>
      <c r="C211" t="s">
        <v>3144</v>
      </c>
      <c r="E211" t="s">
        <v>3145</v>
      </c>
      <c r="F211" t="s">
        <v>93</v>
      </c>
      <c r="G211" t="s">
        <v>2879</v>
      </c>
      <c r="H211">
        <v>268.61</v>
      </c>
      <c r="I211">
        <v>1178</v>
      </c>
      <c r="J211">
        <v>0</v>
      </c>
      <c r="K211" t="s">
        <v>95</v>
      </c>
      <c r="L211">
        <v>-65.994512389999997</v>
      </c>
      <c r="M211">
        <f t="shared" si="28"/>
        <v>-245.68896314359105</v>
      </c>
      <c r="N211" t="s">
        <v>95</v>
      </c>
      <c r="O211" t="s">
        <v>2880</v>
      </c>
      <c r="P211" t="s">
        <v>93</v>
      </c>
      <c r="Q211">
        <v>0</v>
      </c>
      <c r="R211" t="s">
        <v>95</v>
      </c>
      <c r="S211">
        <v>-69.377297530000007</v>
      </c>
      <c r="T211">
        <f t="shared" si="29"/>
        <v>-258.28263106362385</v>
      </c>
      <c r="U211" t="s">
        <v>95</v>
      </c>
      <c r="V211">
        <v>676556</v>
      </c>
      <c r="W211" t="s">
        <v>1370</v>
      </c>
      <c r="X211">
        <v>298</v>
      </c>
      <c r="Y211" t="s">
        <v>1983</v>
      </c>
      <c r="Z211">
        <v>-69.599999999999994</v>
      </c>
      <c r="AA211" t="s">
        <v>95</v>
      </c>
      <c r="AB211">
        <f t="shared" si="30"/>
        <v>-259.11172331633219</v>
      </c>
      <c r="AC211" t="s">
        <v>93</v>
      </c>
      <c r="AD211">
        <v>2.8</v>
      </c>
      <c r="AE211" t="s">
        <v>95</v>
      </c>
      <c r="AF211" t="s">
        <v>93</v>
      </c>
      <c r="AP211">
        <v>0.33300000000000002</v>
      </c>
      <c r="AS211">
        <v>0.33300000000000002</v>
      </c>
      <c r="CF211">
        <v>0.33300000000000002</v>
      </c>
      <c r="CR211">
        <f t="shared" si="31"/>
        <v>-245.68896314359105</v>
      </c>
      <c r="CS211">
        <f t="shared" si="32"/>
        <v>-258.28263106362385</v>
      </c>
      <c r="CT211">
        <f t="shared" si="33"/>
        <v>-259.11172331633219</v>
      </c>
      <c r="CU211" s="7">
        <f t="shared" si="34"/>
        <v>-254.36110584118236</v>
      </c>
      <c r="CV211" s="9">
        <f t="shared" si="36"/>
        <v>268.61</v>
      </c>
      <c r="CW211" t="str">
        <f t="shared" si="35"/>
        <v>ZrNiSn</v>
      </c>
    </row>
    <row r="212" spans="1:101" ht="15.75" thickBot="1" x14ac:dyDescent="0.3">
      <c r="A212" t="s">
        <v>91</v>
      </c>
      <c r="B212" t="s">
        <v>1825</v>
      </c>
      <c r="C212" t="s">
        <v>3144</v>
      </c>
      <c r="E212" t="s">
        <v>3145</v>
      </c>
      <c r="F212" t="s">
        <v>93</v>
      </c>
      <c r="G212" t="s">
        <v>1826</v>
      </c>
      <c r="H212">
        <v>365.90069999999997</v>
      </c>
      <c r="I212">
        <v>697</v>
      </c>
      <c r="M212">
        <f t="shared" si="28"/>
        <v>0</v>
      </c>
      <c r="O212" t="s">
        <v>93</v>
      </c>
      <c r="P212" t="s">
        <v>1821</v>
      </c>
      <c r="T212">
        <f t="shared" si="29"/>
        <v>0</v>
      </c>
      <c r="V212" t="s">
        <v>93</v>
      </c>
      <c r="W212" t="s">
        <v>93</v>
      </c>
      <c r="X212">
        <v>298</v>
      </c>
      <c r="Y212" t="s">
        <v>93</v>
      </c>
      <c r="Z212">
        <v>-92.8</v>
      </c>
      <c r="AA212" t="s">
        <v>95</v>
      </c>
      <c r="AB212">
        <f t="shared" si="30"/>
        <v>-253.62072278079822</v>
      </c>
      <c r="AC212" t="s">
        <v>93</v>
      </c>
      <c r="AD212">
        <v>1.9</v>
      </c>
      <c r="AE212" t="s">
        <v>95</v>
      </c>
      <c r="AF212" t="s">
        <v>93</v>
      </c>
      <c r="AH212" t="s">
        <v>93</v>
      </c>
      <c r="AI212" t="s">
        <v>93</v>
      </c>
      <c r="AJ212" t="s">
        <v>93</v>
      </c>
      <c r="AK212" t="s">
        <v>93</v>
      </c>
      <c r="BC212">
        <v>0.5</v>
      </c>
      <c r="BO212">
        <v>0.5</v>
      </c>
      <c r="CR212">
        <f t="shared" si="31"/>
        <v>0</v>
      </c>
      <c r="CS212">
        <f t="shared" si="32"/>
        <v>0</v>
      </c>
      <c r="CT212">
        <f t="shared" si="33"/>
        <v>-253.62072278079822</v>
      </c>
      <c r="CU212" s="7">
        <f t="shared" si="34"/>
        <v>-253.62072278079822</v>
      </c>
      <c r="CV212" s="9">
        <f t="shared" si="36"/>
        <v>365.90069999999997</v>
      </c>
      <c r="CW212" t="str">
        <f t="shared" si="35"/>
        <v>TmAu</v>
      </c>
    </row>
    <row r="213" spans="1:101" ht="15.75" thickBot="1" x14ac:dyDescent="0.3">
      <c r="A213" t="s">
        <v>91</v>
      </c>
      <c r="B213" t="s">
        <v>2273</v>
      </c>
      <c r="C213" t="s">
        <v>3144</v>
      </c>
      <c r="E213" t="s">
        <v>3145</v>
      </c>
      <c r="F213" t="s">
        <v>93</v>
      </c>
      <c r="G213" t="s">
        <v>1137</v>
      </c>
      <c r="H213">
        <v>192.86857999999901</v>
      </c>
      <c r="I213">
        <v>908</v>
      </c>
      <c r="J213">
        <v>0</v>
      </c>
      <c r="K213" t="s">
        <v>95</v>
      </c>
      <c r="L213">
        <v>-48.035117739999997</v>
      </c>
      <c r="M213">
        <f t="shared" si="28"/>
        <v>-249.05621091833748</v>
      </c>
      <c r="N213" t="s">
        <v>95</v>
      </c>
      <c r="O213" t="s">
        <v>1138</v>
      </c>
      <c r="P213" t="s">
        <v>93</v>
      </c>
      <c r="Q213">
        <v>0</v>
      </c>
      <c r="R213" t="s">
        <v>95</v>
      </c>
      <c r="S213">
        <v>-47.962748849999997</v>
      </c>
      <c r="T213">
        <f t="shared" si="29"/>
        <v>-248.68098707420486</v>
      </c>
      <c r="U213" t="s">
        <v>95</v>
      </c>
      <c r="V213">
        <v>10483</v>
      </c>
      <c r="W213" t="s">
        <v>159</v>
      </c>
      <c r="X213">
        <v>300</v>
      </c>
      <c r="Y213" t="s">
        <v>160</v>
      </c>
      <c r="Z213">
        <v>-50.5</v>
      </c>
      <c r="AA213" t="s">
        <v>95</v>
      </c>
      <c r="AB213">
        <f t="shared" si="30"/>
        <v>-261.83632398807657</v>
      </c>
      <c r="AF213" t="s">
        <v>93</v>
      </c>
      <c r="AL213">
        <v>0.33</v>
      </c>
      <c r="AR213">
        <v>0.66</v>
      </c>
      <c r="CC213">
        <v>2</v>
      </c>
      <c r="CD213" t="s">
        <v>95</v>
      </c>
      <c r="CE213" t="s">
        <v>93</v>
      </c>
      <c r="CR213">
        <f t="shared" si="31"/>
        <v>-249.05621091833748</v>
      </c>
      <c r="CS213">
        <f t="shared" si="32"/>
        <v>-248.68098707420486</v>
      </c>
      <c r="CT213">
        <f t="shared" si="33"/>
        <v>-261.83632398807657</v>
      </c>
      <c r="CU213" s="7">
        <f t="shared" si="34"/>
        <v>-253.19117399353965</v>
      </c>
      <c r="CV213" s="9">
        <f t="shared" si="36"/>
        <v>192.86857999999901</v>
      </c>
      <c r="CW213" t="str">
        <f t="shared" si="35"/>
        <v>LaAl2</v>
      </c>
    </row>
    <row r="214" spans="1:101" ht="15.75" thickBot="1" x14ac:dyDescent="0.3">
      <c r="A214" t="s">
        <v>91</v>
      </c>
      <c r="B214" t="s">
        <v>2191</v>
      </c>
      <c r="C214" t="s">
        <v>3144</v>
      </c>
      <c r="E214" t="s">
        <v>3145</v>
      </c>
      <c r="F214" t="s">
        <v>93</v>
      </c>
      <c r="G214" t="s">
        <v>2192</v>
      </c>
      <c r="H214">
        <v>178.99</v>
      </c>
      <c r="I214">
        <v>872</v>
      </c>
      <c r="J214">
        <v>0</v>
      </c>
      <c r="K214" t="s">
        <v>95</v>
      </c>
      <c r="L214">
        <v>-44.621244079999997</v>
      </c>
      <c r="M214">
        <f t="shared" si="28"/>
        <v>-249.29462025811495</v>
      </c>
      <c r="N214" t="s">
        <v>95</v>
      </c>
      <c r="O214" t="s">
        <v>2193</v>
      </c>
      <c r="P214" t="s">
        <v>93</v>
      </c>
      <c r="Q214">
        <v>0</v>
      </c>
      <c r="R214" t="s">
        <v>95</v>
      </c>
      <c r="S214">
        <v>-44.413019249999998</v>
      </c>
      <c r="T214">
        <f t="shared" si="29"/>
        <v>-248.13128806078549</v>
      </c>
      <c r="U214" t="s">
        <v>95</v>
      </c>
      <c r="V214">
        <v>13801</v>
      </c>
      <c r="W214" t="s">
        <v>358</v>
      </c>
      <c r="X214">
        <v>298</v>
      </c>
      <c r="Y214" t="s">
        <v>359</v>
      </c>
      <c r="Z214">
        <v>-46.5</v>
      </c>
      <c r="AA214" t="s">
        <v>95</v>
      </c>
      <c r="AB214">
        <f t="shared" si="30"/>
        <v>-259.79104977931723</v>
      </c>
      <c r="AC214" t="s">
        <v>93</v>
      </c>
      <c r="AD214">
        <v>0.8</v>
      </c>
      <c r="AE214" t="s">
        <v>95</v>
      </c>
      <c r="AF214" t="s">
        <v>93</v>
      </c>
      <c r="AZ214">
        <v>0.5</v>
      </c>
      <c r="CA214">
        <v>0.5</v>
      </c>
      <c r="CR214">
        <f t="shared" si="31"/>
        <v>-249.29462025811495</v>
      </c>
      <c r="CS214">
        <f t="shared" si="32"/>
        <v>-248.13128806078549</v>
      </c>
      <c r="CT214">
        <f t="shared" si="33"/>
        <v>-259.79104977931723</v>
      </c>
      <c r="CU214" s="7">
        <f t="shared" si="34"/>
        <v>-252.40565269940589</v>
      </c>
      <c r="CV214" s="9">
        <f t="shared" si="36"/>
        <v>178.99</v>
      </c>
      <c r="CW214" t="str">
        <f t="shared" si="35"/>
        <v>GePd</v>
      </c>
    </row>
    <row r="215" spans="1:101" ht="15.75" thickBot="1" x14ac:dyDescent="0.3">
      <c r="A215" t="s">
        <v>91</v>
      </c>
      <c r="B215" t="s">
        <v>1136</v>
      </c>
      <c r="C215" t="s">
        <v>3144</v>
      </c>
      <c r="E215" t="s">
        <v>3145</v>
      </c>
      <c r="F215" t="s">
        <v>93</v>
      </c>
      <c r="G215" t="s">
        <v>1137</v>
      </c>
      <c r="H215">
        <v>192.86857999999901</v>
      </c>
      <c r="I215">
        <v>449</v>
      </c>
      <c r="J215">
        <v>0</v>
      </c>
      <c r="K215" t="s">
        <v>95</v>
      </c>
      <c r="L215">
        <v>-48.035117739999997</v>
      </c>
      <c r="M215">
        <f t="shared" si="28"/>
        <v>-249.05621091833748</v>
      </c>
      <c r="N215" t="s">
        <v>95</v>
      </c>
      <c r="O215" t="s">
        <v>1138</v>
      </c>
      <c r="P215" t="s">
        <v>93</v>
      </c>
      <c r="Q215">
        <v>0</v>
      </c>
      <c r="R215" t="s">
        <v>95</v>
      </c>
      <c r="S215">
        <v>-47.962748849999997</v>
      </c>
      <c r="T215">
        <f t="shared" si="29"/>
        <v>-248.68098707420486</v>
      </c>
      <c r="U215" t="s">
        <v>95</v>
      </c>
      <c r="V215">
        <v>10483</v>
      </c>
      <c r="W215" t="s">
        <v>159</v>
      </c>
      <c r="X215">
        <v>298</v>
      </c>
      <c r="Y215" t="s">
        <v>160</v>
      </c>
      <c r="Z215">
        <v>-49.9</v>
      </c>
      <c r="AA215" t="s">
        <v>95</v>
      </c>
      <c r="AB215">
        <f t="shared" si="30"/>
        <v>-258.72539736643603</v>
      </c>
      <c r="AC215" t="s">
        <v>93</v>
      </c>
      <c r="AD215">
        <v>2.1</v>
      </c>
      <c r="AE215" t="s">
        <v>95</v>
      </c>
      <c r="AF215" t="s">
        <v>93</v>
      </c>
      <c r="AL215">
        <v>0.33</v>
      </c>
      <c r="AR215">
        <v>0.66</v>
      </c>
      <c r="CR215">
        <f t="shared" si="31"/>
        <v>-249.05621091833748</v>
      </c>
      <c r="CS215">
        <f t="shared" si="32"/>
        <v>-248.68098707420486</v>
      </c>
      <c r="CT215">
        <f t="shared" si="33"/>
        <v>-258.72539736643603</v>
      </c>
      <c r="CU215" s="7">
        <f t="shared" si="34"/>
        <v>-252.1541984529928</v>
      </c>
      <c r="CV215" s="9">
        <f t="shared" si="36"/>
        <v>192.86857999999901</v>
      </c>
      <c r="CW215" t="str">
        <f t="shared" si="35"/>
        <v>LaAl2</v>
      </c>
    </row>
    <row r="216" spans="1:101" ht="15.75" thickBot="1" x14ac:dyDescent="0.3">
      <c r="A216" t="s">
        <v>91</v>
      </c>
      <c r="B216" t="s">
        <v>2270</v>
      </c>
      <c r="C216" t="s">
        <v>3144</v>
      </c>
      <c r="E216" t="s">
        <v>3145</v>
      </c>
      <c r="F216" t="s">
        <v>93</v>
      </c>
      <c r="G216" t="s">
        <v>2271</v>
      </c>
      <c r="H216">
        <v>165.88703999999899</v>
      </c>
      <c r="I216">
        <v>907</v>
      </c>
      <c r="J216">
        <v>0</v>
      </c>
      <c r="K216" t="s">
        <v>95</v>
      </c>
      <c r="L216">
        <v>-39.834267660000002</v>
      </c>
      <c r="M216">
        <f t="shared" si="28"/>
        <v>-240.12887118849216</v>
      </c>
      <c r="N216" t="s">
        <v>95</v>
      </c>
      <c r="O216" t="s">
        <v>2272</v>
      </c>
      <c r="P216" t="s">
        <v>93</v>
      </c>
      <c r="Q216">
        <v>0</v>
      </c>
      <c r="R216" t="s">
        <v>95</v>
      </c>
      <c r="S216">
        <v>-39.561968190000002</v>
      </c>
      <c r="T216">
        <f t="shared" si="29"/>
        <v>-238.48739594123955</v>
      </c>
      <c r="U216" t="s">
        <v>95</v>
      </c>
      <c r="V216">
        <v>647422</v>
      </c>
      <c r="W216" t="s">
        <v>151</v>
      </c>
      <c r="X216">
        <v>300</v>
      </c>
      <c r="Y216" t="s">
        <v>147</v>
      </c>
      <c r="Z216">
        <v>-46</v>
      </c>
      <c r="AA216" t="s">
        <v>95</v>
      </c>
      <c r="AB216">
        <f t="shared" si="30"/>
        <v>-277.29712942011793</v>
      </c>
      <c r="AF216" t="s">
        <v>93</v>
      </c>
      <c r="AL216">
        <v>0.5</v>
      </c>
      <c r="AR216">
        <v>0.5</v>
      </c>
      <c r="CC216">
        <v>2</v>
      </c>
      <c r="CD216" t="s">
        <v>95</v>
      </c>
      <c r="CE216" t="s">
        <v>93</v>
      </c>
      <c r="CR216">
        <f t="shared" si="31"/>
        <v>-240.12887118849216</v>
      </c>
      <c r="CS216">
        <f t="shared" si="32"/>
        <v>-238.48739594123955</v>
      </c>
      <c r="CT216">
        <f t="shared" si="33"/>
        <v>-277.29712942011793</v>
      </c>
      <c r="CU216" s="7">
        <f t="shared" si="34"/>
        <v>-251.9711321832832</v>
      </c>
      <c r="CV216" s="9">
        <f t="shared" si="36"/>
        <v>165.88703999999899</v>
      </c>
      <c r="CW216" t="str">
        <f t="shared" si="35"/>
        <v>AlLa</v>
      </c>
    </row>
    <row r="217" spans="1:101" ht="15.75" thickBot="1" x14ac:dyDescent="0.3">
      <c r="A217" t="s">
        <v>91</v>
      </c>
      <c r="B217" t="s">
        <v>93</v>
      </c>
      <c r="C217" t="s">
        <v>3144</v>
      </c>
      <c r="E217" t="s">
        <v>3145</v>
      </c>
      <c r="F217" t="s">
        <v>93</v>
      </c>
      <c r="G217" t="s">
        <v>1951</v>
      </c>
      <c r="H217">
        <v>221.22</v>
      </c>
      <c r="I217">
        <v>754</v>
      </c>
      <c r="J217">
        <v>2.9285410000000001E-2</v>
      </c>
      <c r="K217" t="s">
        <v>95</v>
      </c>
      <c r="L217">
        <v>-49.124907239999999</v>
      </c>
      <c r="M217">
        <f t="shared" si="28"/>
        <v>-222.06358936804989</v>
      </c>
      <c r="N217" t="s">
        <v>95</v>
      </c>
      <c r="O217" t="s">
        <v>1952</v>
      </c>
      <c r="P217" t="s">
        <v>93</v>
      </c>
      <c r="Q217">
        <v>0.14556351000000001</v>
      </c>
      <c r="R217" t="s">
        <v>95</v>
      </c>
      <c r="S217">
        <v>-48.95106775</v>
      </c>
      <c r="T217">
        <f t="shared" si="29"/>
        <v>-221.27776760690713</v>
      </c>
      <c r="U217" t="s">
        <v>95</v>
      </c>
      <c r="V217">
        <v>55542</v>
      </c>
      <c r="W217" t="s">
        <v>102</v>
      </c>
      <c r="X217">
        <v>300</v>
      </c>
      <c r="Y217" t="s">
        <v>103</v>
      </c>
      <c r="Z217">
        <v>-69</v>
      </c>
      <c r="AA217" t="s">
        <v>95</v>
      </c>
      <c r="AB217">
        <f t="shared" si="30"/>
        <v>-311.90669921345267</v>
      </c>
      <c r="AF217" t="s">
        <v>93</v>
      </c>
      <c r="AZ217">
        <v>0.51</v>
      </c>
      <c r="BZ217">
        <v>0.49</v>
      </c>
      <c r="CC217">
        <v>1</v>
      </c>
      <c r="CD217" t="s">
        <v>95</v>
      </c>
      <c r="CE217" t="s">
        <v>93</v>
      </c>
      <c r="CR217">
        <f t="shared" si="31"/>
        <v>-222.06358936804989</v>
      </c>
      <c r="CS217">
        <f t="shared" si="32"/>
        <v>-221.27776760690713</v>
      </c>
      <c r="CT217">
        <f t="shared" si="33"/>
        <v>-311.90669921345267</v>
      </c>
      <c r="CU217" s="7">
        <f t="shared" si="34"/>
        <v>-251.74935206280324</v>
      </c>
      <c r="CV217" s="9">
        <f t="shared" si="36"/>
        <v>221.22</v>
      </c>
      <c r="CW217" t="str">
        <f t="shared" si="35"/>
        <v>InPd</v>
      </c>
    </row>
    <row r="218" spans="1:101" ht="15.75" thickBot="1" x14ac:dyDescent="0.3">
      <c r="A218" t="s">
        <v>91</v>
      </c>
      <c r="B218" t="s">
        <v>2792</v>
      </c>
      <c r="C218" t="s">
        <v>3144</v>
      </c>
      <c r="E218" t="s">
        <v>3145</v>
      </c>
      <c r="F218" t="s">
        <v>93</v>
      </c>
      <c r="G218" t="s">
        <v>2793</v>
      </c>
      <c r="H218">
        <v>287.73054000000002</v>
      </c>
      <c r="I218">
        <v>1141</v>
      </c>
      <c r="M218">
        <f t="shared" si="28"/>
        <v>0</v>
      </c>
      <c r="O218" t="s">
        <v>93</v>
      </c>
      <c r="P218" t="s">
        <v>93</v>
      </c>
      <c r="T218">
        <f t="shared" si="29"/>
        <v>0</v>
      </c>
      <c r="V218" t="s">
        <v>93</v>
      </c>
      <c r="W218" t="s">
        <v>102</v>
      </c>
      <c r="X218">
        <v>298</v>
      </c>
      <c r="Y218" t="s">
        <v>103</v>
      </c>
      <c r="Z218">
        <v>-72.400000000000006</v>
      </c>
      <c r="AA218" t="s">
        <v>95</v>
      </c>
      <c r="AB218">
        <f t="shared" si="30"/>
        <v>-251.62431488850643</v>
      </c>
      <c r="AC218" t="s">
        <v>93</v>
      </c>
      <c r="AD218">
        <v>2.7</v>
      </c>
      <c r="AE218" t="s">
        <v>95</v>
      </c>
      <c r="AF218" t="s">
        <v>93</v>
      </c>
      <c r="AH218" t="s">
        <v>93</v>
      </c>
      <c r="AI218" t="s">
        <v>93</v>
      </c>
      <c r="AJ218" t="s">
        <v>93</v>
      </c>
      <c r="AK218" t="s">
        <v>93</v>
      </c>
      <c r="AR218">
        <v>0.25</v>
      </c>
      <c r="BF218">
        <v>0.5</v>
      </c>
      <c r="BR218">
        <v>0.25</v>
      </c>
      <c r="CR218">
        <f t="shared" si="31"/>
        <v>0</v>
      </c>
      <c r="CS218">
        <f t="shared" si="32"/>
        <v>0</v>
      </c>
      <c r="CT218">
        <f t="shared" si="33"/>
        <v>-251.62431488850643</v>
      </c>
      <c r="CU218" s="7">
        <f t="shared" si="34"/>
        <v>-251.62431488850643</v>
      </c>
      <c r="CV218" s="9">
        <f t="shared" si="36"/>
        <v>287.73054000000002</v>
      </c>
      <c r="CW218" t="str">
        <f t="shared" si="35"/>
        <v>Rh2MnAl</v>
      </c>
    </row>
    <row r="219" spans="1:101" ht="15.75" thickBot="1" x14ac:dyDescent="0.3">
      <c r="A219" t="s">
        <v>91</v>
      </c>
      <c r="B219" t="s">
        <v>1592</v>
      </c>
      <c r="C219" t="s">
        <v>3144</v>
      </c>
      <c r="E219" t="s">
        <v>3145</v>
      </c>
      <c r="F219" t="s">
        <v>93</v>
      </c>
      <c r="G219" t="s">
        <v>1593</v>
      </c>
      <c r="H219">
        <v>180.91</v>
      </c>
      <c r="I219">
        <v>612</v>
      </c>
      <c r="J219">
        <v>0</v>
      </c>
      <c r="K219" t="s">
        <v>95</v>
      </c>
      <c r="L219">
        <v>-44.839073149999997</v>
      </c>
      <c r="M219">
        <f t="shared" si="28"/>
        <v>-247.85292769885578</v>
      </c>
      <c r="N219" t="s">
        <v>95</v>
      </c>
      <c r="O219" t="s">
        <v>1594</v>
      </c>
      <c r="P219" t="s">
        <v>93</v>
      </c>
      <c r="Q219">
        <v>0</v>
      </c>
      <c r="R219" t="s">
        <v>95</v>
      </c>
      <c r="S219">
        <v>-45.324532570000002</v>
      </c>
      <c r="T219">
        <f t="shared" si="29"/>
        <v>-250.53635824443094</v>
      </c>
      <c r="U219" t="s">
        <v>95</v>
      </c>
      <c r="V219">
        <v>4182</v>
      </c>
      <c r="W219" t="s">
        <v>391</v>
      </c>
      <c r="X219">
        <v>298</v>
      </c>
      <c r="Y219" t="s">
        <v>392</v>
      </c>
      <c r="Z219">
        <v>-46.4</v>
      </c>
      <c r="AA219" t="s">
        <v>95</v>
      </c>
      <c r="AB219">
        <f t="shared" si="30"/>
        <v>-256.48112321043612</v>
      </c>
      <c r="AC219" t="s">
        <v>93</v>
      </c>
      <c r="AD219">
        <v>1.5</v>
      </c>
      <c r="AE219" t="s">
        <v>95</v>
      </c>
      <c r="AF219" t="s">
        <v>93</v>
      </c>
      <c r="BD219">
        <v>0.75</v>
      </c>
      <c r="BX219">
        <v>0.25</v>
      </c>
      <c r="CR219">
        <f t="shared" si="31"/>
        <v>-247.85292769885578</v>
      </c>
      <c r="CS219">
        <f t="shared" si="32"/>
        <v>-250.53635824443094</v>
      </c>
      <c r="CT219">
        <f t="shared" si="33"/>
        <v>-256.48112321043612</v>
      </c>
      <c r="CU219" s="7">
        <f t="shared" si="34"/>
        <v>-251.62346971790762</v>
      </c>
      <c r="CV219" s="9">
        <f t="shared" si="36"/>
        <v>180.91</v>
      </c>
      <c r="CW219" t="str">
        <f t="shared" si="35"/>
        <v>V3Si</v>
      </c>
    </row>
    <row r="220" spans="1:101" ht="15.75" thickBot="1" x14ac:dyDescent="0.3">
      <c r="A220" t="s">
        <v>91</v>
      </c>
      <c r="B220" t="s">
        <v>1220</v>
      </c>
      <c r="C220" t="s">
        <v>3144</v>
      </c>
      <c r="E220" t="s">
        <v>3145</v>
      </c>
      <c r="F220" t="s">
        <v>93</v>
      </c>
      <c r="G220" t="s">
        <v>1221</v>
      </c>
      <c r="H220">
        <v>184.12</v>
      </c>
      <c r="I220">
        <v>479</v>
      </c>
      <c r="J220">
        <v>0</v>
      </c>
      <c r="K220" t="s">
        <v>95</v>
      </c>
      <c r="L220">
        <v>-54.547492640000002</v>
      </c>
      <c r="M220">
        <f t="shared" si="28"/>
        <v>-296.26055094503585</v>
      </c>
      <c r="N220" t="s">
        <v>95</v>
      </c>
      <c r="O220" t="s">
        <v>1222</v>
      </c>
      <c r="P220" t="s">
        <v>93</v>
      </c>
      <c r="Q220">
        <v>0</v>
      </c>
      <c r="R220" t="s">
        <v>95</v>
      </c>
      <c r="S220">
        <v>-54.21220477</v>
      </c>
      <c r="T220">
        <f t="shared" si="29"/>
        <v>-294.43952188789922</v>
      </c>
      <c r="U220" t="s">
        <v>95</v>
      </c>
      <c r="V220">
        <v>8332</v>
      </c>
      <c r="W220" t="s">
        <v>510</v>
      </c>
      <c r="X220">
        <v>298</v>
      </c>
      <c r="Y220" t="s">
        <v>170</v>
      </c>
      <c r="Z220">
        <v>-30.2</v>
      </c>
      <c r="AA220" t="s">
        <v>95</v>
      </c>
      <c r="AB220">
        <f t="shared" si="30"/>
        <v>-164.0234629589398</v>
      </c>
      <c r="AC220" t="s">
        <v>93</v>
      </c>
      <c r="AD220">
        <v>1.3</v>
      </c>
      <c r="AE220" t="s">
        <v>95</v>
      </c>
      <c r="AF220" t="s">
        <v>93</v>
      </c>
      <c r="BG220">
        <v>0.33</v>
      </c>
      <c r="BQ220">
        <v>0.66</v>
      </c>
      <c r="CR220">
        <f t="shared" si="31"/>
        <v>-296.26055094503585</v>
      </c>
      <c r="CS220">
        <f t="shared" si="32"/>
        <v>-294.43952188789922</v>
      </c>
      <c r="CT220">
        <f t="shared" si="33"/>
        <v>-164.0234629589398</v>
      </c>
      <c r="CU220" s="7">
        <f t="shared" si="34"/>
        <v>-251.57451193062499</v>
      </c>
      <c r="CV220" s="9">
        <f t="shared" si="36"/>
        <v>184.12</v>
      </c>
      <c r="CW220" t="str">
        <f t="shared" si="35"/>
        <v>DyB2</v>
      </c>
    </row>
    <row r="221" spans="1:101" ht="15.75" thickBot="1" x14ac:dyDescent="0.3">
      <c r="A221" t="s">
        <v>91</v>
      </c>
      <c r="B221" t="s">
        <v>336</v>
      </c>
      <c r="C221" t="s">
        <v>3144</v>
      </c>
      <c r="E221" t="s">
        <v>3145</v>
      </c>
      <c r="F221" t="s">
        <v>93</v>
      </c>
      <c r="G221" t="s">
        <v>337</v>
      </c>
      <c r="H221">
        <v>160.56308000000001</v>
      </c>
      <c r="I221">
        <v>137</v>
      </c>
      <c r="M221">
        <f t="shared" si="28"/>
        <v>0</v>
      </c>
      <c r="O221" t="s">
        <v>93</v>
      </c>
      <c r="P221" t="s">
        <v>93</v>
      </c>
      <c r="Q221">
        <v>22.157315390000001</v>
      </c>
      <c r="R221" t="s">
        <v>95</v>
      </c>
      <c r="S221">
        <v>-32.516634549999999</v>
      </c>
      <c r="T221">
        <f t="shared" si="29"/>
        <v>-202.51626058742767</v>
      </c>
      <c r="U221" t="s">
        <v>95</v>
      </c>
      <c r="V221">
        <v>509949</v>
      </c>
      <c r="W221" t="s">
        <v>332</v>
      </c>
      <c r="X221">
        <v>298</v>
      </c>
      <c r="Y221" t="s">
        <v>185</v>
      </c>
      <c r="Z221">
        <v>-48.24</v>
      </c>
      <c r="AA221" t="s">
        <v>95</v>
      </c>
      <c r="AB221">
        <f t="shared" si="30"/>
        <v>-300.44266714365466</v>
      </c>
      <c r="AC221" t="s">
        <v>93</v>
      </c>
      <c r="AD221">
        <v>5.34</v>
      </c>
      <c r="AE221" t="s">
        <v>95</v>
      </c>
      <c r="AF221" t="s">
        <v>93</v>
      </c>
      <c r="AH221" t="s">
        <v>93</v>
      </c>
      <c r="AI221" t="s">
        <v>93</v>
      </c>
      <c r="AR221">
        <v>0.5</v>
      </c>
      <c r="AS221">
        <v>0.25</v>
      </c>
      <c r="BA221">
        <v>0.25</v>
      </c>
      <c r="CR221">
        <f t="shared" si="31"/>
        <v>0</v>
      </c>
      <c r="CS221">
        <f t="shared" si="32"/>
        <v>-202.51626058742767</v>
      </c>
      <c r="CT221">
        <f t="shared" si="33"/>
        <v>-300.44266714365466</v>
      </c>
      <c r="CU221" s="7">
        <f t="shared" si="34"/>
        <v>-251.47946386554116</v>
      </c>
      <c r="CV221" s="9">
        <f t="shared" si="36"/>
        <v>160.56308000000001</v>
      </c>
      <c r="CW221" t="str">
        <f t="shared" si="35"/>
        <v>TiAl2Ni</v>
      </c>
    </row>
    <row r="222" spans="1:101" ht="15.75" thickBot="1" x14ac:dyDescent="0.3">
      <c r="A222" t="s">
        <v>91</v>
      </c>
      <c r="B222" t="s">
        <v>2898</v>
      </c>
      <c r="C222" t="s">
        <v>3144</v>
      </c>
      <c r="E222" t="s">
        <v>3145</v>
      </c>
      <c r="F222" t="s">
        <v>93</v>
      </c>
      <c r="G222" t="s">
        <v>2899</v>
      </c>
      <c r="H222">
        <v>405</v>
      </c>
      <c r="I222">
        <v>1185</v>
      </c>
      <c r="J222">
        <v>0</v>
      </c>
      <c r="K222" t="s">
        <v>95</v>
      </c>
      <c r="L222">
        <v>-98.660372649999999</v>
      </c>
      <c r="M222">
        <f t="shared" si="28"/>
        <v>-243.60585839506172</v>
      </c>
      <c r="N222" t="s">
        <v>95</v>
      </c>
      <c r="O222" t="s">
        <v>2900</v>
      </c>
      <c r="P222" t="s">
        <v>93</v>
      </c>
      <c r="Q222">
        <v>0</v>
      </c>
      <c r="R222" t="s">
        <v>95</v>
      </c>
      <c r="S222">
        <v>-101.719694</v>
      </c>
      <c r="T222">
        <f t="shared" si="29"/>
        <v>-251.15973827160494</v>
      </c>
      <c r="U222" t="s">
        <v>95</v>
      </c>
      <c r="V222">
        <v>566429</v>
      </c>
      <c r="W222" t="s">
        <v>1370</v>
      </c>
      <c r="X222">
        <v>298</v>
      </c>
      <c r="Y222" t="s">
        <v>1983</v>
      </c>
      <c r="Z222">
        <v>-104.9</v>
      </c>
      <c r="AA222" t="s">
        <v>95</v>
      </c>
      <c r="AB222">
        <f t="shared" si="30"/>
        <v>-259.01234567901236</v>
      </c>
      <c r="AC222" t="s">
        <v>93</v>
      </c>
      <c r="AD222">
        <v>3.8</v>
      </c>
      <c r="AE222" t="s">
        <v>95</v>
      </c>
      <c r="AF222" t="s">
        <v>93</v>
      </c>
      <c r="AP222">
        <v>0.33300000000000002</v>
      </c>
      <c r="AY222">
        <v>0.33300000000000002</v>
      </c>
      <c r="CF222">
        <v>0.33300000000000002</v>
      </c>
      <c r="CR222">
        <f t="shared" si="31"/>
        <v>-243.60585839506172</v>
      </c>
      <c r="CS222">
        <f t="shared" si="32"/>
        <v>-251.15973827160494</v>
      </c>
      <c r="CT222">
        <f t="shared" si="33"/>
        <v>-259.01234567901236</v>
      </c>
      <c r="CU222" s="7">
        <f t="shared" si="34"/>
        <v>-251.25931411522632</v>
      </c>
      <c r="CV222" s="9">
        <f t="shared" si="36"/>
        <v>405</v>
      </c>
      <c r="CW222" t="str">
        <f t="shared" si="35"/>
        <v>ZrSnPt</v>
      </c>
    </row>
    <row r="223" spans="1:101" ht="15.75" thickBot="1" x14ac:dyDescent="0.3">
      <c r="A223" t="s">
        <v>91</v>
      </c>
      <c r="B223" t="s">
        <v>2289</v>
      </c>
      <c r="C223" t="s">
        <v>3144</v>
      </c>
      <c r="E223" t="s">
        <v>3145</v>
      </c>
      <c r="F223" t="s">
        <v>93</v>
      </c>
      <c r="G223" t="s">
        <v>2290</v>
      </c>
      <c r="H223">
        <v>204.36308</v>
      </c>
      <c r="I223">
        <v>915</v>
      </c>
      <c r="J223">
        <v>0</v>
      </c>
      <c r="K223" t="s">
        <v>95</v>
      </c>
      <c r="L223">
        <v>-49.168151180000002</v>
      </c>
      <c r="M223">
        <f t="shared" si="28"/>
        <v>-240.59214208358966</v>
      </c>
      <c r="N223" t="s">
        <v>95</v>
      </c>
      <c r="O223" t="s">
        <v>2291</v>
      </c>
      <c r="P223" t="s">
        <v>93</v>
      </c>
      <c r="Q223">
        <v>0</v>
      </c>
      <c r="R223" t="s">
        <v>95</v>
      </c>
      <c r="S223">
        <v>-49.59328876</v>
      </c>
      <c r="T223">
        <f t="shared" si="29"/>
        <v>-242.67244729331736</v>
      </c>
      <c r="U223" t="s">
        <v>95</v>
      </c>
      <c r="V223">
        <v>10582</v>
      </c>
      <c r="W223" t="s">
        <v>159</v>
      </c>
      <c r="X223">
        <v>300</v>
      </c>
      <c r="Y223" t="s">
        <v>160</v>
      </c>
      <c r="Z223">
        <v>-55</v>
      </c>
      <c r="AA223" t="s">
        <v>95</v>
      </c>
      <c r="AB223">
        <f t="shared" si="30"/>
        <v>-269.12884656073885</v>
      </c>
      <c r="AF223" t="s">
        <v>93</v>
      </c>
      <c r="AR223">
        <v>0.66</v>
      </c>
      <c r="BN223">
        <v>0.33</v>
      </c>
      <c r="CC223">
        <v>2</v>
      </c>
      <c r="CD223" t="s">
        <v>95</v>
      </c>
      <c r="CE223" t="s">
        <v>93</v>
      </c>
      <c r="CR223">
        <f t="shared" si="31"/>
        <v>-240.59214208358966</v>
      </c>
      <c r="CS223">
        <f t="shared" si="32"/>
        <v>-242.67244729331736</v>
      </c>
      <c r="CT223">
        <f t="shared" si="33"/>
        <v>-269.12884656073885</v>
      </c>
      <c r="CU223" s="7">
        <f t="shared" si="34"/>
        <v>-250.79781197921525</v>
      </c>
      <c r="CV223" s="9">
        <f t="shared" si="36"/>
        <v>204.36308</v>
      </c>
      <c r="CW223" t="str">
        <f t="shared" si="35"/>
        <v>SmAl2</v>
      </c>
    </row>
    <row r="224" spans="1:101" ht="15.75" thickBot="1" x14ac:dyDescent="0.3">
      <c r="A224" t="s">
        <v>91</v>
      </c>
      <c r="B224" t="s">
        <v>707</v>
      </c>
      <c r="C224" t="s">
        <v>3144</v>
      </c>
      <c r="E224" t="s">
        <v>3145</v>
      </c>
      <c r="F224" t="s">
        <v>93</v>
      </c>
      <c r="G224" t="s">
        <v>708</v>
      </c>
      <c r="H224">
        <v>367.18700000000001</v>
      </c>
      <c r="I224">
        <v>284</v>
      </c>
      <c r="J224">
        <v>0</v>
      </c>
      <c r="K224" t="s">
        <v>95</v>
      </c>
      <c r="L224">
        <v>-95.907006190000004</v>
      </c>
      <c r="M224">
        <f t="shared" si="28"/>
        <v>-261.19390444106136</v>
      </c>
      <c r="N224" t="s">
        <v>95</v>
      </c>
      <c r="O224" t="s">
        <v>709</v>
      </c>
      <c r="P224" t="s">
        <v>93</v>
      </c>
      <c r="Q224">
        <v>0.13556473999999999</v>
      </c>
      <c r="R224" t="s">
        <v>95</v>
      </c>
      <c r="S224">
        <v>-93.812011990000002</v>
      </c>
      <c r="T224">
        <f t="shared" si="29"/>
        <v>-255.4883805526884</v>
      </c>
      <c r="U224" t="s">
        <v>95</v>
      </c>
      <c r="V224">
        <v>17492</v>
      </c>
      <c r="W224" t="s">
        <v>102</v>
      </c>
      <c r="X224">
        <v>298</v>
      </c>
      <c r="Y224" t="s">
        <v>103</v>
      </c>
      <c r="Z224">
        <v>-85.5</v>
      </c>
      <c r="AA224" t="s">
        <v>95</v>
      </c>
      <c r="AB224">
        <f t="shared" si="30"/>
        <v>-232.85138090400804</v>
      </c>
      <c r="AC224" t="s">
        <v>93</v>
      </c>
      <c r="AD224">
        <v>4.8</v>
      </c>
      <c r="AE224" t="s">
        <v>95</v>
      </c>
      <c r="AF224" t="s">
        <v>93</v>
      </c>
      <c r="BB224">
        <v>0.5</v>
      </c>
      <c r="BL224">
        <v>0.5</v>
      </c>
      <c r="CR224">
        <f t="shared" si="31"/>
        <v>-261.19390444106136</v>
      </c>
      <c r="CS224">
        <f t="shared" si="32"/>
        <v>-255.4883805526884</v>
      </c>
      <c r="CT224">
        <f t="shared" si="33"/>
        <v>-232.85138090400804</v>
      </c>
      <c r="CU224" s="7">
        <f t="shared" si="34"/>
        <v>-249.84455529925262</v>
      </c>
      <c r="CV224" s="9">
        <f t="shared" si="36"/>
        <v>367.18700000000001</v>
      </c>
      <c r="CW224" t="str">
        <f t="shared" si="35"/>
        <v>LuIr</v>
      </c>
    </row>
    <row r="225" spans="1:101" ht="15.75" thickBot="1" x14ac:dyDescent="0.3">
      <c r="A225" t="s">
        <v>484</v>
      </c>
      <c r="B225" t="s">
        <v>653</v>
      </c>
      <c r="C225" t="s">
        <v>3138</v>
      </c>
      <c r="D225" t="s">
        <v>3139</v>
      </c>
      <c r="F225" t="s">
        <v>3140</v>
      </c>
      <c r="G225" t="s">
        <v>654</v>
      </c>
      <c r="H225">
        <v>370.71</v>
      </c>
      <c r="I225">
        <v>265</v>
      </c>
      <c r="J225">
        <v>1.45490502</v>
      </c>
      <c r="K225" t="s">
        <v>95</v>
      </c>
      <c r="L225">
        <v>-88.460636899999997</v>
      </c>
      <c r="M225">
        <f t="shared" si="28"/>
        <v>-238.62490059615334</v>
      </c>
      <c r="N225" t="s">
        <v>95</v>
      </c>
      <c r="O225" t="s">
        <v>655</v>
      </c>
      <c r="P225" t="s">
        <v>93</v>
      </c>
      <c r="T225">
        <f t="shared" si="29"/>
        <v>0</v>
      </c>
      <c r="V225" t="s">
        <v>93</v>
      </c>
      <c r="W225" t="s">
        <v>93</v>
      </c>
      <c r="X225">
        <v>298</v>
      </c>
      <c r="Y225" t="s">
        <v>656</v>
      </c>
      <c r="Z225">
        <v>-96.7</v>
      </c>
      <c r="AA225" t="s">
        <v>95</v>
      </c>
      <c r="AB225">
        <f t="shared" si="30"/>
        <v>-260.85079981656827</v>
      </c>
      <c r="AC225" t="s">
        <v>93</v>
      </c>
      <c r="AD225">
        <v>4.8</v>
      </c>
      <c r="AE225" t="s">
        <v>95</v>
      </c>
      <c r="AF225" t="s">
        <v>93</v>
      </c>
      <c r="AJ225" t="s">
        <v>93</v>
      </c>
      <c r="AK225" t="s">
        <v>93</v>
      </c>
      <c r="AQ225">
        <v>0.5</v>
      </c>
      <c r="BB225">
        <v>0.5</v>
      </c>
      <c r="CR225">
        <f t="shared" si="31"/>
        <v>-238.62490059615334</v>
      </c>
      <c r="CS225">
        <f t="shared" si="32"/>
        <v>0</v>
      </c>
      <c r="CT225">
        <f t="shared" si="33"/>
        <v>-260.85079981656827</v>
      </c>
      <c r="CU225" s="7">
        <f t="shared" si="34"/>
        <v>-249.7378502063608</v>
      </c>
      <c r="CV225" s="9">
        <f t="shared" si="36"/>
        <v>370.71</v>
      </c>
      <c r="CW225" t="str">
        <f t="shared" si="35"/>
        <v>HfIr</v>
      </c>
    </row>
    <row r="226" spans="1:101" ht="15.75" thickBot="1" x14ac:dyDescent="0.3">
      <c r="A226" t="s">
        <v>91</v>
      </c>
      <c r="B226" t="s">
        <v>1395</v>
      </c>
      <c r="C226" t="s">
        <v>3144</v>
      </c>
      <c r="E226" t="s">
        <v>3145</v>
      </c>
      <c r="F226" t="s">
        <v>93</v>
      </c>
      <c r="G226" t="s">
        <v>1396</v>
      </c>
      <c r="H226">
        <v>218.67099999999999</v>
      </c>
      <c r="I226">
        <v>539</v>
      </c>
      <c r="M226">
        <f t="shared" si="28"/>
        <v>0</v>
      </c>
      <c r="O226" t="s">
        <v>93</v>
      </c>
      <c r="P226" t="s">
        <v>93</v>
      </c>
      <c r="T226">
        <f t="shared" si="29"/>
        <v>0</v>
      </c>
      <c r="V226" t="s">
        <v>93</v>
      </c>
      <c r="W226" t="s">
        <v>364</v>
      </c>
      <c r="X226">
        <v>298</v>
      </c>
      <c r="Y226" t="s">
        <v>365</v>
      </c>
      <c r="Z226">
        <v>-54.6</v>
      </c>
      <c r="AA226" t="s">
        <v>95</v>
      </c>
      <c r="AB226">
        <f t="shared" si="30"/>
        <v>-249.69017382277488</v>
      </c>
      <c r="AC226" t="s">
        <v>93</v>
      </c>
      <c r="AD226">
        <v>2.1</v>
      </c>
      <c r="AE226" t="s">
        <v>95</v>
      </c>
      <c r="AF226" t="s">
        <v>93</v>
      </c>
      <c r="AH226" t="s">
        <v>93</v>
      </c>
      <c r="AI226" t="s">
        <v>93</v>
      </c>
      <c r="AJ226" t="s">
        <v>93</v>
      </c>
      <c r="AK226" t="s">
        <v>93</v>
      </c>
      <c r="BG226">
        <v>0.33</v>
      </c>
      <c r="BX226">
        <v>0.66</v>
      </c>
      <c r="CR226">
        <f t="shared" si="31"/>
        <v>0</v>
      </c>
      <c r="CS226">
        <f t="shared" si="32"/>
        <v>0</v>
      </c>
      <c r="CT226">
        <f t="shared" si="33"/>
        <v>-249.69017382277488</v>
      </c>
      <c r="CU226" s="7">
        <f t="shared" si="34"/>
        <v>-249.69017382277488</v>
      </c>
      <c r="CV226" s="9">
        <f t="shared" si="36"/>
        <v>218.67099999999999</v>
      </c>
      <c r="CW226" t="str">
        <f t="shared" si="35"/>
        <v>DySi2</v>
      </c>
    </row>
    <row r="227" spans="1:101" ht="15.75" thickBot="1" x14ac:dyDescent="0.3">
      <c r="A227" t="s">
        <v>91</v>
      </c>
      <c r="B227" t="s">
        <v>2806</v>
      </c>
      <c r="C227" t="s">
        <v>3144</v>
      </c>
      <c r="E227" t="s">
        <v>3145</v>
      </c>
      <c r="F227" t="s">
        <v>93</v>
      </c>
      <c r="G227" t="s">
        <v>2807</v>
      </c>
      <c r="H227">
        <v>323.43099999999998</v>
      </c>
      <c r="I227">
        <v>1147</v>
      </c>
      <c r="M227">
        <f t="shared" si="28"/>
        <v>0</v>
      </c>
      <c r="O227" t="s">
        <v>93</v>
      </c>
      <c r="P227" t="s">
        <v>93</v>
      </c>
      <c r="T227">
        <f t="shared" si="29"/>
        <v>0</v>
      </c>
      <c r="V227" t="s">
        <v>93</v>
      </c>
      <c r="W227" t="s">
        <v>102</v>
      </c>
      <c r="X227">
        <v>298</v>
      </c>
      <c r="Y227" t="s">
        <v>103</v>
      </c>
      <c r="Z227">
        <v>-79</v>
      </c>
      <c r="AA227" t="s">
        <v>95</v>
      </c>
      <c r="AB227">
        <f t="shared" si="30"/>
        <v>-244.2561164514224</v>
      </c>
      <c r="AC227" t="s">
        <v>93</v>
      </c>
      <c r="AD227">
        <v>1.8</v>
      </c>
      <c r="AE227" t="s">
        <v>95</v>
      </c>
      <c r="AF227" t="s">
        <v>93</v>
      </c>
      <c r="AH227" t="s">
        <v>93</v>
      </c>
      <c r="AI227" t="s">
        <v>93</v>
      </c>
      <c r="AJ227" t="s">
        <v>93</v>
      </c>
      <c r="AK227" t="s">
        <v>93</v>
      </c>
      <c r="BA227">
        <v>0.25</v>
      </c>
      <c r="BF227">
        <v>0.5</v>
      </c>
      <c r="BY227">
        <v>0.25</v>
      </c>
      <c r="CR227">
        <f t="shared" si="31"/>
        <v>0</v>
      </c>
      <c r="CS227">
        <f t="shared" si="32"/>
        <v>0</v>
      </c>
      <c r="CT227">
        <f t="shared" si="33"/>
        <v>-244.2561164514224</v>
      </c>
      <c r="CU227" s="7">
        <f t="shared" si="34"/>
        <v>-244.2561164514224</v>
      </c>
      <c r="CV227" s="9">
        <f t="shared" si="36"/>
        <v>323.43099999999998</v>
      </c>
      <c r="CW227" t="str">
        <f t="shared" si="35"/>
        <v>Rh2TiGa</v>
      </c>
    </row>
    <row r="228" spans="1:101" ht="15.75" thickBot="1" x14ac:dyDescent="0.3">
      <c r="A228" t="s">
        <v>91</v>
      </c>
      <c r="B228" t="s">
        <v>647</v>
      </c>
      <c r="C228" t="s">
        <v>3144</v>
      </c>
      <c r="E228" t="s">
        <v>3145</v>
      </c>
      <c r="F228" t="s">
        <v>93</v>
      </c>
      <c r="G228" t="s">
        <v>648</v>
      </c>
      <c r="H228">
        <v>284.89</v>
      </c>
      <c r="I228">
        <v>262</v>
      </c>
      <c r="M228">
        <f t="shared" si="28"/>
        <v>0</v>
      </c>
      <c r="O228" t="s">
        <v>93</v>
      </c>
      <c r="P228" t="s">
        <v>93</v>
      </c>
      <c r="T228">
        <f t="shared" si="29"/>
        <v>0</v>
      </c>
      <c r="V228" t="s">
        <v>93</v>
      </c>
      <c r="W228" t="s">
        <v>93</v>
      </c>
      <c r="X228">
        <v>298</v>
      </c>
      <c r="Y228" t="s">
        <v>93</v>
      </c>
      <c r="Z228">
        <v>-69.5</v>
      </c>
      <c r="AA228" t="s">
        <v>95</v>
      </c>
      <c r="AB228">
        <f t="shared" si="30"/>
        <v>-243.95380673242303</v>
      </c>
      <c r="AC228" t="s">
        <v>93</v>
      </c>
      <c r="AD228">
        <v>1.7</v>
      </c>
      <c r="AE228" t="s">
        <v>95</v>
      </c>
      <c r="AF228" t="s">
        <v>93</v>
      </c>
      <c r="AH228" t="s">
        <v>93</v>
      </c>
      <c r="AI228" t="s">
        <v>93</v>
      </c>
      <c r="AJ228" t="s">
        <v>93</v>
      </c>
      <c r="AK228" t="s">
        <v>93</v>
      </c>
      <c r="AQ228">
        <v>0.5</v>
      </c>
      <c r="AZ228">
        <v>0.5</v>
      </c>
      <c r="CR228">
        <f t="shared" si="31"/>
        <v>0</v>
      </c>
      <c r="CS228">
        <f t="shared" si="32"/>
        <v>0</v>
      </c>
      <c r="CT228">
        <f t="shared" si="33"/>
        <v>-243.95380673242303</v>
      </c>
      <c r="CU228" s="7">
        <f t="shared" si="34"/>
        <v>-243.95380673242303</v>
      </c>
      <c r="CV228" s="9">
        <f t="shared" si="36"/>
        <v>284.89</v>
      </c>
      <c r="CW228" t="str">
        <f t="shared" si="35"/>
        <v>HfPd</v>
      </c>
    </row>
    <row r="229" spans="1:101" ht="15.75" thickBot="1" x14ac:dyDescent="0.3">
      <c r="A229" t="s">
        <v>91</v>
      </c>
      <c r="B229" t="s">
        <v>1425</v>
      </c>
      <c r="C229" t="s">
        <v>3144</v>
      </c>
      <c r="E229" t="s">
        <v>3145</v>
      </c>
      <c r="F229" t="s">
        <v>93</v>
      </c>
      <c r="G229" t="s">
        <v>1426</v>
      </c>
      <c r="H229">
        <v>165.51999999999899</v>
      </c>
      <c r="I229">
        <v>549</v>
      </c>
      <c r="J229">
        <v>0</v>
      </c>
      <c r="K229" t="s">
        <v>95</v>
      </c>
      <c r="L229">
        <v>-38.501285510000002</v>
      </c>
      <c r="M229">
        <f t="shared" si="28"/>
        <v>-232.60805648864329</v>
      </c>
      <c r="N229" t="s">
        <v>95</v>
      </c>
      <c r="O229" t="s">
        <v>1427</v>
      </c>
      <c r="P229" t="s">
        <v>93</v>
      </c>
      <c r="Q229">
        <v>0</v>
      </c>
      <c r="R229" t="s">
        <v>95</v>
      </c>
      <c r="S229">
        <v>-42.932011869999997</v>
      </c>
      <c r="T229">
        <f t="shared" si="29"/>
        <v>-259.37658210488314</v>
      </c>
      <c r="U229" t="s">
        <v>95</v>
      </c>
      <c r="V229">
        <v>22484</v>
      </c>
      <c r="W229" t="s">
        <v>172</v>
      </c>
      <c r="X229">
        <v>298</v>
      </c>
      <c r="Y229" t="s">
        <v>179</v>
      </c>
      <c r="Z229">
        <v>-39</v>
      </c>
      <c r="AA229" t="s">
        <v>95</v>
      </c>
      <c r="AB229">
        <f t="shared" si="30"/>
        <v>-235.62107298211839</v>
      </c>
      <c r="AC229" t="s">
        <v>93</v>
      </c>
      <c r="AD229">
        <v>1.4</v>
      </c>
      <c r="AE229" t="s">
        <v>95</v>
      </c>
      <c r="AF229" t="s">
        <v>93</v>
      </c>
      <c r="BA229">
        <v>0.66</v>
      </c>
      <c r="BY229">
        <v>0.33</v>
      </c>
      <c r="CR229">
        <f t="shared" si="31"/>
        <v>-232.60805648864329</v>
      </c>
      <c r="CS229">
        <f t="shared" si="32"/>
        <v>-259.37658210488314</v>
      </c>
      <c r="CT229">
        <f t="shared" si="33"/>
        <v>-235.62107298211839</v>
      </c>
      <c r="CU229" s="7">
        <f t="shared" si="34"/>
        <v>-242.53523719188161</v>
      </c>
      <c r="CV229" s="9">
        <f t="shared" si="36"/>
        <v>165.51999999999899</v>
      </c>
      <c r="CW229" t="str">
        <f t="shared" si="35"/>
        <v>Ti2Ga</v>
      </c>
    </row>
    <row r="230" spans="1:101" ht="15.75" thickBot="1" x14ac:dyDescent="0.3">
      <c r="A230" t="s">
        <v>91</v>
      </c>
      <c r="B230" t="s">
        <v>2704</v>
      </c>
      <c r="C230" t="s">
        <v>3144</v>
      </c>
      <c r="E230" t="s">
        <v>3145</v>
      </c>
      <c r="F230" t="s">
        <v>93</v>
      </c>
      <c r="G230" t="s">
        <v>2705</v>
      </c>
      <c r="H230">
        <v>331.00153999999998</v>
      </c>
      <c r="I230">
        <v>1105</v>
      </c>
      <c r="J230">
        <v>0</v>
      </c>
      <c r="K230" t="s">
        <v>95</v>
      </c>
      <c r="L230">
        <v>-77.77693927</v>
      </c>
      <c r="M230">
        <f t="shared" si="28"/>
        <v>-234.97455410630417</v>
      </c>
      <c r="N230" t="s">
        <v>95</v>
      </c>
      <c r="O230" t="s">
        <v>2706</v>
      </c>
      <c r="P230" t="s">
        <v>93</v>
      </c>
      <c r="Q230">
        <v>8.2888879999999998E-2</v>
      </c>
      <c r="R230" t="s">
        <v>95</v>
      </c>
      <c r="S230">
        <v>-77.482420590000004</v>
      </c>
      <c r="T230">
        <f t="shared" si="29"/>
        <v>-234.08477371434589</v>
      </c>
      <c r="U230" t="s">
        <v>95</v>
      </c>
      <c r="V230">
        <v>10557</v>
      </c>
      <c r="W230" t="s">
        <v>184</v>
      </c>
      <c r="X230">
        <v>298</v>
      </c>
      <c r="Y230" t="s">
        <v>185</v>
      </c>
      <c r="Z230">
        <v>-85.3</v>
      </c>
      <c r="AA230" t="s">
        <v>95</v>
      </c>
      <c r="AB230">
        <f t="shared" si="30"/>
        <v>-257.70272851298517</v>
      </c>
      <c r="AC230" t="s">
        <v>93</v>
      </c>
      <c r="AD230">
        <v>3</v>
      </c>
      <c r="AE230" t="s">
        <v>95</v>
      </c>
      <c r="AF230" t="s">
        <v>93</v>
      </c>
      <c r="AP230">
        <v>0.25</v>
      </c>
      <c r="AR230">
        <v>0.25</v>
      </c>
      <c r="AZ230">
        <v>0.5</v>
      </c>
      <c r="CR230">
        <f t="shared" si="31"/>
        <v>-234.97455410630417</v>
      </c>
      <c r="CS230">
        <f t="shared" si="32"/>
        <v>-234.08477371434589</v>
      </c>
      <c r="CT230">
        <f t="shared" si="33"/>
        <v>-257.70272851298517</v>
      </c>
      <c r="CU230" s="7">
        <f t="shared" si="34"/>
        <v>-242.2540187778784</v>
      </c>
      <c r="CV230" s="9">
        <f t="shared" si="36"/>
        <v>331.00153999999998</v>
      </c>
      <c r="CW230" t="str">
        <f t="shared" si="35"/>
        <v>ZrAlPd2</v>
      </c>
    </row>
    <row r="231" spans="1:101" ht="15.75" thickBot="1" x14ac:dyDescent="0.3">
      <c r="A231" t="s">
        <v>91</v>
      </c>
      <c r="B231" t="s">
        <v>1995</v>
      </c>
      <c r="C231" t="s">
        <v>3144</v>
      </c>
      <c r="E231" t="s">
        <v>3145</v>
      </c>
      <c r="G231" t="s">
        <v>1996</v>
      </c>
      <c r="H231">
        <v>304.02</v>
      </c>
      <c r="I231">
        <v>779</v>
      </c>
      <c r="J231">
        <v>0.56258436000000001</v>
      </c>
      <c r="K231" t="s">
        <v>95</v>
      </c>
      <c r="L231">
        <v>-73.424069889999998</v>
      </c>
      <c r="M231">
        <f t="shared" si="28"/>
        <v>-241.51065683178737</v>
      </c>
      <c r="N231" t="s">
        <v>95</v>
      </c>
      <c r="O231" t="s">
        <v>1997</v>
      </c>
      <c r="P231" t="s">
        <v>93</v>
      </c>
      <c r="Q231">
        <v>0.35551349999999998</v>
      </c>
      <c r="R231" t="s">
        <v>95</v>
      </c>
      <c r="S231">
        <v>-73.12033031</v>
      </c>
      <c r="T231">
        <f t="shared" si="29"/>
        <v>-240.51157920531543</v>
      </c>
      <c r="U231" t="s">
        <v>95</v>
      </c>
      <c r="V231">
        <v>30951</v>
      </c>
      <c r="W231" t="s">
        <v>97</v>
      </c>
      <c r="X231">
        <v>1573</v>
      </c>
      <c r="Y231" t="s">
        <v>98</v>
      </c>
      <c r="AB231">
        <f t="shared" si="30"/>
        <v>0</v>
      </c>
      <c r="AC231" t="s">
        <v>93</v>
      </c>
      <c r="AD231">
        <v>6</v>
      </c>
      <c r="AE231" t="s">
        <v>95</v>
      </c>
      <c r="AF231" t="s">
        <v>93</v>
      </c>
      <c r="AP231">
        <v>0.33</v>
      </c>
      <c r="AZ231">
        <v>0.67</v>
      </c>
      <c r="CG231">
        <v>-84</v>
      </c>
      <c r="CH231" t="s">
        <v>95</v>
      </c>
      <c r="CI231" t="s">
        <v>93</v>
      </c>
      <c r="CR231">
        <f t="shared" si="31"/>
        <v>-241.51065683178737</v>
      </c>
      <c r="CS231">
        <f t="shared" si="32"/>
        <v>-240.51157920531543</v>
      </c>
      <c r="CT231">
        <f t="shared" si="33"/>
        <v>0</v>
      </c>
      <c r="CU231" s="7">
        <f t="shared" si="34"/>
        <v>-241.0111180185514</v>
      </c>
      <c r="CV231" s="9">
        <f t="shared" si="36"/>
        <v>304.02</v>
      </c>
      <c r="CW231" t="str">
        <f t="shared" si="35"/>
        <v>ZrPd2</v>
      </c>
    </row>
    <row r="232" spans="1:101" ht="15.75" thickBot="1" x14ac:dyDescent="0.3">
      <c r="A232" t="s">
        <v>484</v>
      </c>
      <c r="B232" t="s">
        <v>2302</v>
      </c>
      <c r="C232" t="s">
        <v>3138</v>
      </c>
      <c r="D232" t="s">
        <v>3139</v>
      </c>
      <c r="F232" t="s">
        <v>3140</v>
      </c>
      <c r="G232" t="s">
        <v>2303</v>
      </c>
      <c r="H232">
        <v>211.21307999999999</v>
      </c>
      <c r="I232">
        <v>921</v>
      </c>
      <c r="J232">
        <v>0</v>
      </c>
      <c r="K232" t="s">
        <v>95</v>
      </c>
      <c r="L232">
        <v>-50.391341160000003</v>
      </c>
      <c r="M232">
        <f t="shared" si="28"/>
        <v>-238.58058961121162</v>
      </c>
      <c r="N232" t="s">
        <v>95</v>
      </c>
      <c r="O232" t="s">
        <v>2304</v>
      </c>
      <c r="P232" t="s">
        <v>93</v>
      </c>
      <c r="Q232">
        <v>0</v>
      </c>
      <c r="R232" t="s">
        <v>95</v>
      </c>
      <c r="S232">
        <v>-50.434486390000004</v>
      </c>
      <c r="T232">
        <f t="shared" si="29"/>
        <v>-238.78486308707781</v>
      </c>
      <c r="U232" t="s">
        <v>95</v>
      </c>
      <c r="V232">
        <v>10468</v>
      </c>
      <c r="W232" t="s">
        <v>159</v>
      </c>
      <c r="X232">
        <v>298</v>
      </c>
      <c r="Y232" t="s">
        <v>160</v>
      </c>
      <c r="Z232">
        <v>-51.4</v>
      </c>
      <c r="AA232" t="s">
        <v>95</v>
      </c>
      <c r="AB232">
        <f t="shared" si="30"/>
        <v>-243.35614063295702</v>
      </c>
      <c r="AC232" t="s">
        <v>93</v>
      </c>
      <c r="AD232">
        <v>3</v>
      </c>
      <c r="AE232" t="s">
        <v>95</v>
      </c>
      <c r="AF232" t="s">
        <v>93</v>
      </c>
      <c r="AR232">
        <v>0.66700000000000004</v>
      </c>
      <c r="BI232">
        <v>0.33300000000000002</v>
      </c>
      <c r="CR232">
        <f t="shared" si="31"/>
        <v>-238.58058961121162</v>
      </c>
      <c r="CS232">
        <f t="shared" si="32"/>
        <v>-238.78486308707781</v>
      </c>
      <c r="CT232">
        <f t="shared" si="33"/>
        <v>-243.35614063295702</v>
      </c>
      <c r="CU232" s="7">
        <f t="shared" si="34"/>
        <v>-240.2405311104155</v>
      </c>
      <c r="CV232" s="9">
        <f t="shared" si="36"/>
        <v>211.21307999999999</v>
      </c>
      <c r="CW232" t="str">
        <f t="shared" si="35"/>
        <v>GdAl2</v>
      </c>
    </row>
    <row r="233" spans="1:101" ht="15.75" thickBot="1" x14ac:dyDescent="0.3">
      <c r="A233" t="s">
        <v>91</v>
      </c>
      <c r="B233" t="s">
        <v>1822</v>
      </c>
      <c r="C233" t="s">
        <v>3144</v>
      </c>
      <c r="E233" t="s">
        <v>3145</v>
      </c>
      <c r="F233" t="s">
        <v>93</v>
      </c>
      <c r="G233" t="s">
        <v>1823</v>
      </c>
      <c r="H233">
        <v>364.22649999999999</v>
      </c>
      <c r="I233">
        <v>696</v>
      </c>
      <c r="J233">
        <v>1.59455148</v>
      </c>
      <c r="K233" t="s">
        <v>95</v>
      </c>
      <c r="L233">
        <v>-84.845611070000004</v>
      </c>
      <c r="M233">
        <f t="shared" si="28"/>
        <v>-232.94738595352069</v>
      </c>
      <c r="N233" t="s">
        <v>95</v>
      </c>
      <c r="O233" t="s">
        <v>1824</v>
      </c>
      <c r="P233" t="s">
        <v>93</v>
      </c>
      <c r="Q233">
        <v>1.2976496099999999</v>
      </c>
      <c r="R233" t="s">
        <v>95</v>
      </c>
      <c r="S233">
        <v>-85.395545920000004</v>
      </c>
      <c r="T233">
        <f t="shared" si="29"/>
        <v>-234.4572564599226</v>
      </c>
      <c r="U233" t="s">
        <v>95</v>
      </c>
      <c r="V233">
        <v>10720</v>
      </c>
      <c r="W233" t="s">
        <v>1723</v>
      </c>
      <c r="X233">
        <v>298</v>
      </c>
      <c r="Y233" t="s">
        <v>103</v>
      </c>
      <c r="Z233">
        <v>-90.2</v>
      </c>
      <c r="AA233" t="s">
        <v>95</v>
      </c>
      <c r="AB233">
        <f t="shared" si="30"/>
        <v>-247.64809809280763</v>
      </c>
      <c r="AC233" t="s">
        <v>93</v>
      </c>
      <c r="AD233">
        <v>2</v>
      </c>
      <c r="AE233" t="s">
        <v>95</v>
      </c>
      <c r="AF233" t="s">
        <v>93</v>
      </c>
      <c r="BC233">
        <v>0.5</v>
      </c>
      <c r="BH233">
        <v>0.5</v>
      </c>
      <c r="CR233">
        <f t="shared" si="31"/>
        <v>-232.94738595352069</v>
      </c>
      <c r="CS233">
        <f t="shared" si="32"/>
        <v>-234.4572564599226</v>
      </c>
      <c r="CT233">
        <f t="shared" si="33"/>
        <v>-247.64809809280763</v>
      </c>
      <c r="CU233" s="7">
        <f t="shared" si="34"/>
        <v>-238.35091350208367</v>
      </c>
      <c r="CV233" s="9">
        <f t="shared" si="36"/>
        <v>364.22649999999999</v>
      </c>
      <c r="CW233" t="str">
        <f t="shared" si="35"/>
        <v>ErAu</v>
      </c>
    </row>
    <row r="234" spans="1:101" ht="15.75" thickBot="1" x14ac:dyDescent="0.3">
      <c r="A234" t="s">
        <v>484</v>
      </c>
      <c r="B234" t="s">
        <v>93</v>
      </c>
      <c r="C234" t="s">
        <v>3138</v>
      </c>
      <c r="D234" t="s">
        <v>3139</v>
      </c>
      <c r="F234" t="s">
        <v>3140</v>
      </c>
      <c r="G234" t="s">
        <v>2298</v>
      </c>
      <c r="H234">
        <v>194.08308</v>
      </c>
      <c r="I234">
        <v>919</v>
      </c>
      <c r="J234">
        <v>0</v>
      </c>
      <c r="K234" t="s">
        <v>95</v>
      </c>
      <c r="L234">
        <v>-44.077387510000001</v>
      </c>
      <c r="M234">
        <f t="shared" si="28"/>
        <v>-227.10577094098053</v>
      </c>
      <c r="N234" t="s">
        <v>95</v>
      </c>
      <c r="O234" t="s">
        <v>2299</v>
      </c>
      <c r="P234" t="s">
        <v>93</v>
      </c>
      <c r="Q234">
        <v>0</v>
      </c>
      <c r="R234" t="s">
        <v>95</v>
      </c>
      <c r="S234">
        <v>-45.720897950000001</v>
      </c>
      <c r="T234">
        <f t="shared" si="29"/>
        <v>-235.57384780785631</v>
      </c>
      <c r="U234" t="s">
        <v>95</v>
      </c>
      <c r="V234">
        <v>10402</v>
      </c>
      <c r="W234" t="s">
        <v>159</v>
      </c>
      <c r="X234">
        <v>298</v>
      </c>
      <c r="Y234" t="s">
        <v>160</v>
      </c>
      <c r="Z234">
        <v>-48.9</v>
      </c>
      <c r="AA234" t="s">
        <v>95</v>
      </c>
      <c r="AB234">
        <f t="shared" si="30"/>
        <v>-251.9539570373677</v>
      </c>
      <c r="AC234" t="s">
        <v>93</v>
      </c>
      <c r="AD234">
        <v>4</v>
      </c>
      <c r="AE234" t="s">
        <v>95</v>
      </c>
      <c r="AF234" t="s">
        <v>93</v>
      </c>
      <c r="AM234">
        <v>0.33200000000000002</v>
      </c>
      <c r="AR234">
        <v>0.66800000000000004</v>
      </c>
      <c r="CR234">
        <f t="shared" si="31"/>
        <v>-227.10577094098053</v>
      </c>
      <c r="CS234">
        <f t="shared" si="32"/>
        <v>-235.57384780785631</v>
      </c>
      <c r="CT234">
        <f t="shared" si="33"/>
        <v>-251.9539570373677</v>
      </c>
      <c r="CU234" s="7">
        <f t="shared" si="34"/>
        <v>-238.21119192873485</v>
      </c>
      <c r="CV234" s="9">
        <f t="shared" si="36"/>
        <v>194.08308</v>
      </c>
      <c r="CW234" t="str">
        <f t="shared" si="35"/>
        <v>CeAl2</v>
      </c>
    </row>
    <row r="235" spans="1:101" ht="15.75" thickBot="1" x14ac:dyDescent="0.3">
      <c r="A235" t="s">
        <v>484</v>
      </c>
      <c r="B235" t="s">
        <v>1289</v>
      </c>
      <c r="C235" t="s">
        <v>3138</v>
      </c>
      <c r="D235" t="s">
        <v>3139</v>
      </c>
      <c r="F235" t="s">
        <v>3140</v>
      </c>
      <c r="G235" t="s">
        <v>1290</v>
      </c>
      <c r="H235">
        <v>205.76769999999999</v>
      </c>
      <c r="I235">
        <v>504</v>
      </c>
      <c r="J235">
        <v>0</v>
      </c>
      <c r="K235" t="s">
        <v>95</v>
      </c>
      <c r="L235">
        <v>-46.70908206</v>
      </c>
      <c r="M235">
        <f t="shared" si="28"/>
        <v>-226.99909684561766</v>
      </c>
      <c r="N235" t="s">
        <v>95</v>
      </c>
      <c r="O235" t="s">
        <v>1291</v>
      </c>
      <c r="P235" t="s">
        <v>93</v>
      </c>
      <c r="T235">
        <f t="shared" si="29"/>
        <v>0</v>
      </c>
      <c r="V235" t="s">
        <v>93</v>
      </c>
      <c r="W235" t="s">
        <v>1288</v>
      </c>
      <c r="X235">
        <v>298</v>
      </c>
      <c r="Y235" t="s">
        <v>103</v>
      </c>
      <c r="Z235">
        <v>-51.3</v>
      </c>
      <c r="AA235" t="s">
        <v>95</v>
      </c>
      <c r="AB235">
        <f t="shared" si="30"/>
        <v>-249.31026589693133</v>
      </c>
      <c r="AC235" t="s">
        <v>93</v>
      </c>
      <c r="AD235">
        <v>5.7</v>
      </c>
      <c r="AE235" t="s">
        <v>95</v>
      </c>
      <c r="AF235" t="s">
        <v>93</v>
      </c>
      <c r="AJ235" t="s">
        <v>93</v>
      </c>
      <c r="AK235" t="s">
        <v>93</v>
      </c>
      <c r="AN235">
        <v>0.14000000000000001</v>
      </c>
      <c r="BQ235">
        <v>0.86</v>
      </c>
      <c r="CR235">
        <f t="shared" si="31"/>
        <v>-226.99909684561766</v>
      </c>
      <c r="CS235">
        <f t="shared" si="32"/>
        <v>0</v>
      </c>
      <c r="CT235">
        <f t="shared" si="33"/>
        <v>-249.31026589693133</v>
      </c>
      <c r="CU235" s="7">
        <f t="shared" si="34"/>
        <v>-238.15468137127448</v>
      </c>
      <c r="CV235" s="9">
        <f t="shared" si="36"/>
        <v>205.76769999999999</v>
      </c>
      <c r="CW235" t="str">
        <f t="shared" si="35"/>
        <v>PrB6</v>
      </c>
    </row>
    <row r="236" spans="1:101" ht="15.75" thickBot="1" x14ac:dyDescent="0.3">
      <c r="A236" t="s">
        <v>91</v>
      </c>
      <c r="B236" t="s">
        <v>1989</v>
      </c>
      <c r="C236" t="s">
        <v>3144</v>
      </c>
      <c r="E236" t="s">
        <v>3145</v>
      </c>
      <c r="G236" t="s">
        <v>1990</v>
      </c>
      <c r="H236">
        <v>260.7</v>
      </c>
      <c r="I236">
        <v>775</v>
      </c>
      <c r="M236">
        <f t="shared" si="28"/>
        <v>0</v>
      </c>
      <c r="O236" t="s">
        <v>93</v>
      </c>
      <c r="P236" t="s">
        <v>93</v>
      </c>
      <c r="Q236">
        <v>0</v>
      </c>
      <c r="R236" t="s">
        <v>95</v>
      </c>
      <c r="S236">
        <v>-62.020942650000002</v>
      </c>
      <c r="T236">
        <f t="shared" si="29"/>
        <v>-237.90158285385502</v>
      </c>
      <c r="U236" t="s">
        <v>95</v>
      </c>
      <c r="V236">
        <v>21292</v>
      </c>
      <c r="W236" t="s">
        <v>970</v>
      </c>
      <c r="X236">
        <v>1423</v>
      </c>
      <c r="Y236" t="s">
        <v>971</v>
      </c>
      <c r="AB236">
        <f t="shared" si="30"/>
        <v>0</v>
      </c>
      <c r="AC236" t="s">
        <v>93</v>
      </c>
      <c r="AD236">
        <v>1.3</v>
      </c>
      <c r="AE236" t="s">
        <v>95</v>
      </c>
      <c r="AF236" t="s">
        <v>93</v>
      </c>
      <c r="AH236" t="s">
        <v>93</v>
      </c>
      <c r="AI236" t="s">
        <v>93</v>
      </c>
      <c r="AZ236">
        <v>0.67</v>
      </c>
      <c r="BA236">
        <v>0.33</v>
      </c>
      <c r="CG236">
        <v>-58.1</v>
      </c>
      <c r="CH236" t="s">
        <v>95</v>
      </c>
      <c r="CI236" t="s">
        <v>93</v>
      </c>
      <c r="CR236">
        <f t="shared" si="31"/>
        <v>0</v>
      </c>
      <c r="CS236">
        <f t="shared" si="32"/>
        <v>-237.90158285385502</v>
      </c>
      <c r="CT236">
        <f t="shared" si="33"/>
        <v>0</v>
      </c>
      <c r="CU236" s="7">
        <f t="shared" si="34"/>
        <v>-237.90158285385502</v>
      </c>
      <c r="CV236" s="9">
        <f t="shared" si="36"/>
        <v>260.7</v>
      </c>
      <c r="CW236" t="str">
        <f t="shared" si="35"/>
        <v>TiPd2</v>
      </c>
    </row>
    <row r="237" spans="1:101" ht="15.75" thickBot="1" x14ac:dyDescent="0.3">
      <c r="A237" t="s">
        <v>91</v>
      </c>
      <c r="B237" t="s">
        <v>2285</v>
      </c>
      <c r="C237" t="s">
        <v>3144</v>
      </c>
      <c r="E237" t="s">
        <v>3145</v>
      </c>
      <c r="F237" t="s">
        <v>93</v>
      </c>
      <c r="G237" t="s">
        <v>2286</v>
      </c>
      <c r="H237">
        <v>177.38154</v>
      </c>
      <c r="I237">
        <v>914</v>
      </c>
      <c r="J237">
        <v>0</v>
      </c>
      <c r="K237" t="s">
        <v>95</v>
      </c>
      <c r="L237">
        <v>-38.555853059999997</v>
      </c>
      <c r="M237">
        <f t="shared" si="28"/>
        <v>-217.36113611371283</v>
      </c>
      <c r="N237" t="s">
        <v>95</v>
      </c>
      <c r="O237" t="s">
        <v>2287</v>
      </c>
      <c r="P237" t="s">
        <v>93</v>
      </c>
      <c r="Q237">
        <v>0</v>
      </c>
      <c r="R237" t="s">
        <v>95</v>
      </c>
      <c r="S237">
        <v>-38.990405099999997</v>
      </c>
      <c r="T237">
        <f t="shared" si="29"/>
        <v>-219.81095157929059</v>
      </c>
      <c r="U237" t="s">
        <v>95</v>
      </c>
      <c r="V237">
        <v>658970</v>
      </c>
      <c r="W237" t="s">
        <v>728</v>
      </c>
      <c r="X237">
        <v>300</v>
      </c>
      <c r="Y237" t="s">
        <v>2288</v>
      </c>
      <c r="Z237">
        <v>-49</v>
      </c>
      <c r="AA237" t="s">
        <v>95</v>
      </c>
      <c r="AB237">
        <f t="shared" si="30"/>
        <v>-276.24069562142711</v>
      </c>
      <c r="AF237" t="s">
        <v>93</v>
      </c>
      <c r="AR237">
        <v>0.5</v>
      </c>
      <c r="BN237">
        <v>0.5</v>
      </c>
      <c r="CC237">
        <v>2</v>
      </c>
      <c r="CD237" t="s">
        <v>95</v>
      </c>
      <c r="CE237" t="s">
        <v>93</v>
      </c>
      <c r="CR237">
        <f t="shared" si="31"/>
        <v>-217.36113611371283</v>
      </c>
      <c r="CS237">
        <f t="shared" si="32"/>
        <v>-219.81095157929059</v>
      </c>
      <c r="CT237">
        <f t="shared" si="33"/>
        <v>-276.24069562142711</v>
      </c>
      <c r="CU237" s="7">
        <f t="shared" si="34"/>
        <v>-237.80426110481017</v>
      </c>
      <c r="CV237" s="9">
        <f t="shared" si="36"/>
        <v>177.38154</v>
      </c>
      <c r="CW237" t="str">
        <f t="shared" si="35"/>
        <v>SmAl</v>
      </c>
    </row>
    <row r="238" spans="1:101" ht="15.75" thickBot="1" x14ac:dyDescent="0.3">
      <c r="A238" t="s">
        <v>91</v>
      </c>
      <c r="B238" t="s">
        <v>2895</v>
      </c>
      <c r="C238" t="s">
        <v>3144</v>
      </c>
      <c r="E238" t="s">
        <v>3145</v>
      </c>
      <c r="F238" t="s">
        <v>93</v>
      </c>
      <c r="G238" t="s">
        <v>2896</v>
      </c>
      <c r="H238">
        <v>361.68</v>
      </c>
      <c r="I238">
        <v>1184</v>
      </c>
      <c r="J238">
        <v>0</v>
      </c>
      <c r="K238" t="s">
        <v>95</v>
      </c>
      <c r="L238">
        <v>-80.110149590000006</v>
      </c>
      <c r="M238">
        <f t="shared" si="28"/>
        <v>-221.4945520625968</v>
      </c>
      <c r="N238" t="s">
        <v>95</v>
      </c>
      <c r="O238" t="s">
        <v>2897</v>
      </c>
      <c r="P238" t="s">
        <v>93</v>
      </c>
      <c r="Q238">
        <v>2.0265479999999999E-2</v>
      </c>
      <c r="R238" t="s">
        <v>95</v>
      </c>
      <c r="S238">
        <v>-84.027999940000001</v>
      </c>
      <c r="T238">
        <f t="shared" si="29"/>
        <v>-232.32691865737669</v>
      </c>
      <c r="U238" t="s">
        <v>95</v>
      </c>
      <c r="V238">
        <v>18005</v>
      </c>
      <c r="W238" t="s">
        <v>1370</v>
      </c>
      <c r="X238">
        <v>298</v>
      </c>
      <c r="Y238" t="s">
        <v>1983</v>
      </c>
      <c r="Z238">
        <v>-93.6</v>
      </c>
      <c r="AA238" t="s">
        <v>95</v>
      </c>
      <c r="AB238">
        <f t="shared" si="30"/>
        <v>-258.79230258792302</v>
      </c>
      <c r="AC238" t="s">
        <v>93</v>
      </c>
      <c r="AD238">
        <v>3.3</v>
      </c>
      <c r="AE238" t="s">
        <v>95</v>
      </c>
      <c r="AF238" t="s">
        <v>93</v>
      </c>
      <c r="AY238">
        <v>0.33300000000000002</v>
      </c>
      <c r="BA238">
        <v>0.33300000000000002</v>
      </c>
      <c r="CF238">
        <v>0.33300000000000002</v>
      </c>
      <c r="CR238">
        <f t="shared" si="31"/>
        <v>-221.4945520625968</v>
      </c>
      <c r="CS238">
        <f t="shared" si="32"/>
        <v>-232.32691865737669</v>
      </c>
      <c r="CT238">
        <f t="shared" si="33"/>
        <v>-258.79230258792302</v>
      </c>
      <c r="CU238" s="7">
        <f t="shared" si="34"/>
        <v>-237.53792443596549</v>
      </c>
      <c r="CV238" s="9">
        <f t="shared" si="36"/>
        <v>361.68</v>
      </c>
      <c r="CW238" t="str">
        <f t="shared" si="35"/>
        <v>TiSnPt</v>
      </c>
    </row>
    <row r="239" spans="1:101" ht="15.75" thickBot="1" x14ac:dyDescent="0.3">
      <c r="A239" t="s">
        <v>91</v>
      </c>
      <c r="B239" t="s">
        <v>599</v>
      </c>
      <c r="C239" t="s">
        <v>3144</v>
      </c>
      <c r="E239" t="s">
        <v>3145</v>
      </c>
      <c r="F239" t="s">
        <v>93</v>
      </c>
      <c r="G239" t="s">
        <v>600</v>
      </c>
      <c r="H239">
        <v>359.48</v>
      </c>
      <c r="I239">
        <v>243</v>
      </c>
      <c r="J239">
        <v>0</v>
      </c>
      <c r="K239" t="s">
        <v>95</v>
      </c>
      <c r="L239">
        <v>-87.387837110000007</v>
      </c>
      <c r="M239">
        <f t="shared" si="28"/>
        <v>-243.0951293813286</v>
      </c>
      <c r="N239" t="s">
        <v>95</v>
      </c>
      <c r="O239" t="s">
        <v>601</v>
      </c>
      <c r="P239" t="s">
        <v>93</v>
      </c>
      <c r="Q239">
        <v>2.1408159999999999E-2</v>
      </c>
      <c r="R239" t="s">
        <v>95</v>
      </c>
      <c r="S239">
        <v>-85.604993789999995</v>
      </c>
      <c r="T239">
        <f t="shared" si="29"/>
        <v>-238.13562309446976</v>
      </c>
      <c r="U239" t="s">
        <v>95</v>
      </c>
      <c r="V239">
        <v>30000</v>
      </c>
      <c r="W239" t="s">
        <v>102</v>
      </c>
      <c r="X239">
        <v>298</v>
      </c>
      <c r="Y239" t="s">
        <v>103</v>
      </c>
      <c r="Z239">
        <v>-82.9</v>
      </c>
      <c r="AA239" t="s">
        <v>95</v>
      </c>
      <c r="AB239">
        <f t="shared" si="30"/>
        <v>-230.61088238566819</v>
      </c>
      <c r="AC239" t="s">
        <v>93</v>
      </c>
      <c r="AD239">
        <v>2.1</v>
      </c>
      <c r="AE239" t="s">
        <v>95</v>
      </c>
      <c r="AF239" t="s">
        <v>93</v>
      </c>
      <c r="BB239">
        <v>0.5</v>
      </c>
      <c r="BH239">
        <v>0.5</v>
      </c>
      <c r="CR239">
        <f t="shared" si="31"/>
        <v>-243.0951293813286</v>
      </c>
      <c r="CS239">
        <f t="shared" si="32"/>
        <v>-238.13562309446976</v>
      </c>
      <c r="CT239">
        <f t="shared" si="33"/>
        <v>-230.61088238566819</v>
      </c>
      <c r="CU239" s="7">
        <f t="shared" si="34"/>
        <v>-237.28054495382219</v>
      </c>
      <c r="CV239" s="9">
        <f t="shared" si="36"/>
        <v>359.48</v>
      </c>
      <c r="CW239" t="str">
        <f t="shared" si="35"/>
        <v>ErIr</v>
      </c>
    </row>
    <row r="240" spans="1:101" ht="15.75" thickBot="1" x14ac:dyDescent="0.3">
      <c r="A240" t="s">
        <v>91</v>
      </c>
      <c r="B240" t="s">
        <v>1165</v>
      </c>
      <c r="C240" t="s">
        <v>3144</v>
      </c>
      <c r="E240" t="s">
        <v>3145</v>
      </c>
      <c r="G240" t="s">
        <v>1166</v>
      </c>
      <c r="H240">
        <v>173.85102000000001</v>
      </c>
      <c r="I240">
        <v>820</v>
      </c>
      <c r="J240">
        <v>0</v>
      </c>
      <c r="K240" t="s">
        <v>95</v>
      </c>
      <c r="L240">
        <v>-40.848582780000001</v>
      </c>
      <c r="M240">
        <f t="shared" si="28"/>
        <v>-234.96314706695424</v>
      </c>
      <c r="N240" t="s">
        <v>95</v>
      </c>
      <c r="O240" t="s">
        <v>1167</v>
      </c>
      <c r="P240" t="s">
        <v>93</v>
      </c>
      <c r="Q240">
        <v>0</v>
      </c>
      <c r="R240" t="s">
        <v>95</v>
      </c>
      <c r="S240">
        <v>-41.54490706</v>
      </c>
      <c r="T240">
        <f t="shared" si="29"/>
        <v>-238.96844010463673</v>
      </c>
      <c r="U240" t="s">
        <v>95</v>
      </c>
      <c r="V240">
        <v>18710</v>
      </c>
      <c r="W240" t="s">
        <v>870</v>
      </c>
      <c r="X240">
        <v>1533</v>
      </c>
      <c r="Y240" t="s">
        <v>98</v>
      </c>
      <c r="AB240">
        <f t="shared" si="30"/>
        <v>0</v>
      </c>
      <c r="AC240" t="s">
        <v>93</v>
      </c>
      <c r="AD240">
        <v>1.3</v>
      </c>
      <c r="AE240" t="s">
        <v>95</v>
      </c>
      <c r="AF240" t="s">
        <v>93</v>
      </c>
      <c r="AR240">
        <v>0.75</v>
      </c>
      <c r="AU240">
        <v>0.25</v>
      </c>
      <c r="CG240">
        <v>-49.4</v>
      </c>
      <c r="CH240" t="s">
        <v>95</v>
      </c>
      <c r="CI240" t="s">
        <v>93</v>
      </c>
      <c r="CR240">
        <f t="shared" si="31"/>
        <v>-234.96314706695424</v>
      </c>
      <c r="CS240">
        <f t="shared" si="32"/>
        <v>-238.96844010463673</v>
      </c>
      <c r="CT240">
        <f t="shared" si="33"/>
        <v>0</v>
      </c>
      <c r="CU240" s="7">
        <f t="shared" si="34"/>
        <v>-236.9657935857955</v>
      </c>
      <c r="CV240" s="9">
        <f t="shared" si="36"/>
        <v>173.85102000000001</v>
      </c>
      <c r="CW240" t="str">
        <f t="shared" si="35"/>
        <v>NbAl3</v>
      </c>
    </row>
    <row r="241" spans="1:101" ht="15.75" thickBot="1" x14ac:dyDescent="0.3">
      <c r="A241" t="s">
        <v>91</v>
      </c>
      <c r="B241" t="s">
        <v>93</v>
      </c>
      <c r="C241" t="s">
        <v>3144</v>
      </c>
      <c r="E241" t="s">
        <v>3145</v>
      </c>
      <c r="F241" t="s">
        <v>93</v>
      </c>
      <c r="G241" t="s">
        <v>299</v>
      </c>
      <c r="H241">
        <v>334.73462000000001</v>
      </c>
      <c r="I241">
        <v>108</v>
      </c>
      <c r="M241">
        <f t="shared" si="28"/>
        <v>0</v>
      </c>
      <c r="O241" t="s">
        <v>93</v>
      </c>
      <c r="P241" t="s">
        <v>93</v>
      </c>
      <c r="T241">
        <f t="shared" si="29"/>
        <v>0</v>
      </c>
      <c r="V241" t="s">
        <v>93</v>
      </c>
      <c r="W241" t="s">
        <v>297</v>
      </c>
      <c r="X241">
        <v>298</v>
      </c>
      <c r="Y241" t="s">
        <v>298</v>
      </c>
      <c r="Z241">
        <v>-79.03</v>
      </c>
      <c r="AA241" t="s">
        <v>95</v>
      </c>
      <c r="AB241">
        <f t="shared" si="30"/>
        <v>-236.0974792508764</v>
      </c>
      <c r="AC241" t="s">
        <v>93</v>
      </c>
      <c r="AD241">
        <v>1.64</v>
      </c>
      <c r="AE241" t="s">
        <v>95</v>
      </c>
      <c r="AF241" t="s">
        <v>93</v>
      </c>
      <c r="AH241" t="s">
        <v>93</v>
      </c>
      <c r="AI241" t="s">
        <v>93</v>
      </c>
      <c r="AJ241" t="s">
        <v>93</v>
      </c>
      <c r="AK241" t="s">
        <v>93</v>
      </c>
      <c r="AR241">
        <v>0.6</v>
      </c>
      <c r="AS241">
        <v>0.2</v>
      </c>
      <c r="AY241">
        <v>0.2</v>
      </c>
      <c r="CR241">
        <f t="shared" si="31"/>
        <v>0</v>
      </c>
      <c r="CS241">
        <f t="shared" si="32"/>
        <v>0</v>
      </c>
      <c r="CT241">
        <f t="shared" si="33"/>
        <v>-236.0974792508764</v>
      </c>
      <c r="CU241" s="7">
        <f t="shared" si="34"/>
        <v>-236.0974792508764</v>
      </c>
      <c r="CV241" s="9">
        <f t="shared" si="36"/>
        <v>334.73462000000001</v>
      </c>
      <c r="CW241" t="str">
        <f t="shared" si="35"/>
        <v>Al3NiPt</v>
      </c>
    </row>
    <row r="242" spans="1:101" ht="15.75" thickBot="1" x14ac:dyDescent="0.3">
      <c r="A242" t="s">
        <v>91</v>
      </c>
      <c r="B242" t="s">
        <v>2875</v>
      </c>
      <c r="C242" t="s">
        <v>3144</v>
      </c>
      <c r="E242" t="s">
        <v>3145</v>
      </c>
      <c r="F242" t="s">
        <v>93</v>
      </c>
      <c r="G242" t="s">
        <v>2876</v>
      </c>
      <c r="H242">
        <v>225.29</v>
      </c>
      <c r="I242">
        <v>1177</v>
      </c>
      <c r="J242">
        <v>0</v>
      </c>
      <c r="K242" t="s">
        <v>95</v>
      </c>
      <c r="L242">
        <v>-50.946032250000002</v>
      </c>
      <c r="M242">
        <f t="shared" si="28"/>
        <v>-226.13534666429933</v>
      </c>
      <c r="N242" t="s">
        <v>95</v>
      </c>
      <c r="O242" t="s">
        <v>2877</v>
      </c>
      <c r="P242" t="s">
        <v>93</v>
      </c>
      <c r="Q242">
        <v>0</v>
      </c>
      <c r="R242" t="s">
        <v>95</v>
      </c>
      <c r="S242">
        <v>-56.01759757</v>
      </c>
      <c r="T242">
        <f t="shared" si="29"/>
        <v>-248.64662244218562</v>
      </c>
      <c r="U242" t="s">
        <v>95</v>
      </c>
      <c r="V242">
        <v>115027</v>
      </c>
      <c r="W242" t="s">
        <v>1370</v>
      </c>
      <c r="X242">
        <v>298</v>
      </c>
      <c r="Y242" t="s">
        <v>1983</v>
      </c>
      <c r="Z242">
        <v>-52.6</v>
      </c>
      <c r="AA242" t="s">
        <v>95</v>
      </c>
      <c r="AB242">
        <f t="shared" si="30"/>
        <v>-233.47685205734831</v>
      </c>
      <c r="AC242" t="s">
        <v>93</v>
      </c>
      <c r="AD242">
        <v>2.4</v>
      </c>
      <c r="AE242" t="s">
        <v>95</v>
      </c>
      <c r="AF242" t="s">
        <v>93</v>
      </c>
      <c r="AS242">
        <v>0.33300000000000002</v>
      </c>
      <c r="BA242">
        <v>0.33300000000000002</v>
      </c>
      <c r="CF242">
        <v>0.33300000000000002</v>
      </c>
      <c r="CR242">
        <f t="shared" si="31"/>
        <v>-226.13534666429933</v>
      </c>
      <c r="CS242">
        <f t="shared" si="32"/>
        <v>-248.64662244218562</v>
      </c>
      <c r="CT242">
        <f t="shared" si="33"/>
        <v>-233.47685205734831</v>
      </c>
      <c r="CU242" s="7">
        <f t="shared" si="34"/>
        <v>-236.08627372127776</v>
      </c>
      <c r="CV242" s="9">
        <f t="shared" si="36"/>
        <v>225.29</v>
      </c>
      <c r="CW242" t="str">
        <f t="shared" si="35"/>
        <v>TiNiSn</v>
      </c>
    </row>
    <row r="243" spans="1:101" ht="15.75" thickBot="1" x14ac:dyDescent="0.3">
      <c r="A243" t="s">
        <v>91</v>
      </c>
      <c r="B243" t="s">
        <v>1165</v>
      </c>
      <c r="C243" t="s">
        <v>3144</v>
      </c>
      <c r="E243" t="s">
        <v>3145</v>
      </c>
      <c r="F243" t="s">
        <v>93</v>
      </c>
      <c r="G243" t="s">
        <v>1166</v>
      </c>
      <c r="H243">
        <v>173.85102000000001</v>
      </c>
      <c r="I243">
        <v>458</v>
      </c>
      <c r="J243">
        <v>0</v>
      </c>
      <c r="K243" t="s">
        <v>95</v>
      </c>
      <c r="L243">
        <v>-40.848582780000001</v>
      </c>
      <c r="M243">
        <f t="shared" si="28"/>
        <v>-234.96314706695424</v>
      </c>
      <c r="N243" t="s">
        <v>95</v>
      </c>
      <c r="O243" t="s">
        <v>1167</v>
      </c>
      <c r="P243" t="s">
        <v>93</v>
      </c>
      <c r="Q243">
        <v>0</v>
      </c>
      <c r="R243" t="s">
        <v>95</v>
      </c>
      <c r="S243">
        <v>-41.54490706</v>
      </c>
      <c r="T243">
        <f t="shared" si="29"/>
        <v>-238.96844010463673</v>
      </c>
      <c r="U243" t="s">
        <v>95</v>
      </c>
      <c r="V243">
        <v>18710</v>
      </c>
      <c r="W243" t="s">
        <v>870</v>
      </c>
      <c r="X243">
        <v>298</v>
      </c>
      <c r="Y243" t="s">
        <v>98</v>
      </c>
      <c r="Z243">
        <v>-40.5</v>
      </c>
      <c r="AA243" t="s">
        <v>95</v>
      </c>
      <c r="AB243">
        <f t="shared" si="30"/>
        <v>-232.9580810052193</v>
      </c>
      <c r="AC243" t="s">
        <v>93</v>
      </c>
      <c r="AD243">
        <v>0.6</v>
      </c>
      <c r="AE243" t="s">
        <v>95</v>
      </c>
      <c r="AF243" t="s">
        <v>93</v>
      </c>
      <c r="AR243">
        <v>0.75</v>
      </c>
      <c r="AU243">
        <v>0.25</v>
      </c>
      <c r="CR243">
        <f t="shared" si="31"/>
        <v>-234.96314706695424</v>
      </c>
      <c r="CS243">
        <f t="shared" si="32"/>
        <v>-238.96844010463673</v>
      </c>
      <c r="CT243">
        <f t="shared" si="33"/>
        <v>-232.9580810052193</v>
      </c>
      <c r="CU243" s="7">
        <f t="shared" si="34"/>
        <v>-235.62988939227012</v>
      </c>
      <c r="CV243" s="9">
        <f t="shared" si="36"/>
        <v>173.85102000000001</v>
      </c>
      <c r="CW243" t="str">
        <f t="shared" si="35"/>
        <v>NbAl3</v>
      </c>
    </row>
    <row r="244" spans="1:101" ht="15.75" thickBot="1" x14ac:dyDescent="0.3">
      <c r="A244" t="s">
        <v>91</v>
      </c>
      <c r="B244" t="s">
        <v>997</v>
      </c>
      <c r="C244" t="s">
        <v>3144</v>
      </c>
      <c r="E244" t="s">
        <v>3145</v>
      </c>
      <c r="F244" t="s">
        <v>93</v>
      </c>
      <c r="G244" t="s">
        <v>998</v>
      </c>
      <c r="H244">
        <v>294.71690000000001</v>
      </c>
      <c r="I244">
        <v>398</v>
      </c>
      <c r="J244">
        <v>0</v>
      </c>
      <c r="K244" t="s">
        <v>95</v>
      </c>
      <c r="L244">
        <v>-71.487130100000002</v>
      </c>
      <c r="M244">
        <f t="shared" si="28"/>
        <v>-242.56203190247996</v>
      </c>
      <c r="N244" t="s">
        <v>95</v>
      </c>
      <c r="O244" t="s">
        <v>999</v>
      </c>
      <c r="P244" t="s">
        <v>93</v>
      </c>
      <c r="Q244">
        <v>0</v>
      </c>
      <c r="R244" t="s">
        <v>95</v>
      </c>
      <c r="S244">
        <v>-71.27770683</v>
      </c>
      <c r="T244">
        <f t="shared" si="29"/>
        <v>-241.85144058586391</v>
      </c>
      <c r="U244" t="s">
        <v>95</v>
      </c>
      <c r="V244">
        <v>18084</v>
      </c>
      <c r="W244" t="s">
        <v>159</v>
      </c>
      <c r="X244">
        <v>298</v>
      </c>
      <c r="Y244" t="s">
        <v>160</v>
      </c>
      <c r="Z244">
        <v>-65.400000000000006</v>
      </c>
      <c r="AA244" t="s">
        <v>95</v>
      </c>
      <c r="AB244">
        <f t="shared" si="30"/>
        <v>-221.90787158795442</v>
      </c>
      <c r="AC244" t="s">
        <v>93</v>
      </c>
      <c r="AD244">
        <v>1.3</v>
      </c>
      <c r="AE244" t="s">
        <v>95</v>
      </c>
      <c r="AF244" t="s">
        <v>93</v>
      </c>
      <c r="AG244">
        <v>0.33</v>
      </c>
      <c r="BF244">
        <v>0.66</v>
      </c>
      <c r="CR244">
        <f t="shared" si="31"/>
        <v>-242.56203190247996</v>
      </c>
      <c r="CS244">
        <f t="shared" si="32"/>
        <v>-241.85144058586391</v>
      </c>
      <c r="CT244">
        <f t="shared" si="33"/>
        <v>-221.90787158795442</v>
      </c>
      <c r="CU244" s="7">
        <f t="shared" si="34"/>
        <v>-235.44044802543274</v>
      </c>
      <c r="CV244" s="9">
        <f t="shared" si="36"/>
        <v>294.71690000000001</v>
      </c>
      <c r="CW244" t="str">
        <f t="shared" si="35"/>
        <v>YRh2</v>
      </c>
    </row>
    <row r="245" spans="1:101" ht="15.75" thickBot="1" x14ac:dyDescent="0.3">
      <c r="A245" t="s">
        <v>91</v>
      </c>
      <c r="B245" t="s">
        <v>2350</v>
      </c>
      <c r="C245" t="s">
        <v>3144</v>
      </c>
      <c r="E245" t="s">
        <v>3145</v>
      </c>
      <c r="F245" t="s">
        <v>93</v>
      </c>
      <c r="G245" t="s">
        <v>2351</v>
      </c>
      <c r="H245">
        <v>235.60154</v>
      </c>
      <c r="I245">
        <v>955</v>
      </c>
      <c r="J245">
        <v>0</v>
      </c>
      <c r="K245" t="s">
        <v>95</v>
      </c>
      <c r="L245">
        <v>-57.560313860000001</v>
      </c>
      <c r="M245">
        <f t="shared" si="28"/>
        <v>-244.31212911426641</v>
      </c>
      <c r="N245" t="s">
        <v>95</v>
      </c>
      <c r="O245" t="s">
        <v>2352</v>
      </c>
      <c r="P245" t="s">
        <v>121</v>
      </c>
      <c r="Q245">
        <v>0</v>
      </c>
      <c r="R245" t="s">
        <v>95</v>
      </c>
      <c r="S245">
        <v>-58.505511550000001</v>
      </c>
      <c r="T245">
        <f t="shared" si="29"/>
        <v>-248.3239776361394</v>
      </c>
      <c r="U245" t="s">
        <v>95</v>
      </c>
      <c r="V245">
        <v>10534</v>
      </c>
      <c r="W245" t="s">
        <v>184</v>
      </c>
      <c r="X245">
        <v>298</v>
      </c>
      <c r="Y245" t="s">
        <v>185</v>
      </c>
      <c r="Z245">
        <v>-50.2</v>
      </c>
      <c r="AA245" t="s">
        <v>95</v>
      </c>
      <c r="AB245">
        <f t="shared" si="30"/>
        <v>-213.07161235024188</v>
      </c>
      <c r="AC245" t="s">
        <v>93</v>
      </c>
      <c r="AD245">
        <v>2.5</v>
      </c>
      <c r="AE245" t="s">
        <v>95</v>
      </c>
      <c r="AF245" t="s">
        <v>93</v>
      </c>
      <c r="AP245">
        <v>0.25</v>
      </c>
      <c r="AR245">
        <v>0.25</v>
      </c>
      <c r="AS245">
        <v>0.5</v>
      </c>
      <c r="CR245">
        <f t="shared" si="31"/>
        <v>-244.31212911426641</v>
      </c>
      <c r="CS245">
        <f t="shared" si="32"/>
        <v>-248.3239776361394</v>
      </c>
      <c r="CT245">
        <f t="shared" si="33"/>
        <v>-213.07161235024188</v>
      </c>
      <c r="CU245" s="7">
        <f t="shared" si="34"/>
        <v>-235.23590636688255</v>
      </c>
      <c r="CV245" s="9">
        <f t="shared" si="36"/>
        <v>235.60154</v>
      </c>
      <c r="CW245" t="str">
        <f t="shared" si="35"/>
        <v>ZrAlNi2</v>
      </c>
    </row>
    <row r="246" spans="1:101" ht="15.75" thickBot="1" x14ac:dyDescent="0.3">
      <c r="A246" t="s">
        <v>91</v>
      </c>
      <c r="B246" t="s">
        <v>1404</v>
      </c>
      <c r="C246" t="s">
        <v>3144</v>
      </c>
      <c r="E246" t="s">
        <v>3145</v>
      </c>
      <c r="F246" t="s">
        <v>93</v>
      </c>
      <c r="G246" t="s">
        <v>1405</v>
      </c>
      <c r="H246">
        <v>223.43099999999899</v>
      </c>
      <c r="I246">
        <v>542</v>
      </c>
      <c r="J246">
        <v>5.2465676500000002</v>
      </c>
      <c r="K246" t="s">
        <v>95</v>
      </c>
      <c r="L246">
        <v>-47.637100250000003</v>
      </c>
      <c r="M246">
        <f t="shared" si="28"/>
        <v>-213.20721050346737</v>
      </c>
      <c r="N246" t="s">
        <v>95</v>
      </c>
      <c r="O246" t="s">
        <v>1406</v>
      </c>
      <c r="P246" t="s">
        <v>93</v>
      </c>
      <c r="Q246">
        <v>9.1393210099999997</v>
      </c>
      <c r="R246" t="s">
        <v>95</v>
      </c>
      <c r="S246">
        <v>-47.396180889999997</v>
      </c>
      <c r="T246">
        <f t="shared" si="29"/>
        <v>-212.12893864325096</v>
      </c>
      <c r="U246" t="s">
        <v>95</v>
      </c>
      <c r="V246">
        <v>665784</v>
      </c>
      <c r="W246" t="s">
        <v>510</v>
      </c>
      <c r="X246">
        <v>298</v>
      </c>
      <c r="Y246" t="s">
        <v>170</v>
      </c>
      <c r="Z246">
        <v>-62.6</v>
      </c>
      <c r="AA246" t="s">
        <v>95</v>
      </c>
      <c r="AB246">
        <f t="shared" si="30"/>
        <v>-280.17598274187679</v>
      </c>
      <c r="AC246" t="s">
        <v>93</v>
      </c>
      <c r="AD246">
        <v>1.8</v>
      </c>
      <c r="AE246" t="s">
        <v>95</v>
      </c>
      <c r="AF246" t="s">
        <v>93</v>
      </c>
      <c r="BH246">
        <v>0.33</v>
      </c>
      <c r="BX246">
        <v>0.66</v>
      </c>
      <c r="CR246">
        <f t="shared" si="31"/>
        <v>-213.20721050346737</v>
      </c>
      <c r="CS246">
        <f t="shared" si="32"/>
        <v>-212.12893864325096</v>
      </c>
      <c r="CT246">
        <f t="shared" si="33"/>
        <v>-280.17598274187679</v>
      </c>
      <c r="CU246" s="7">
        <f t="shared" si="34"/>
        <v>-235.17071062953173</v>
      </c>
      <c r="CV246" s="9">
        <f t="shared" si="36"/>
        <v>223.43099999999899</v>
      </c>
      <c r="CW246" t="str">
        <f t="shared" si="35"/>
        <v>ErSi2</v>
      </c>
    </row>
    <row r="247" spans="1:101" ht="15.75" thickBot="1" x14ac:dyDescent="0.3">
      <c r="A247" t="s">
        <v>91</v>
      </c>
      <c r="B247" t="s">
        <v>883</v>
      </c>
      <c r="C247" t="s">
        <v>3144</v>
      </c>
      <c r="E247" t="s">
        <v>3145</v>
      </c>
      <c r="F247" t="s">
        <v>93</v>
      </c>
      <c r="G247" t="s">
        <v>884</v>
      </c>
      <c r="H247">
        <v>353.70769999999999</v>
      </c>
      <c r="I247">
        <v>350</v>
      </c>
      <c r="M247">
        <f t="shared" si="28"/>
        <v>0</v>
      </c>
      <c r="O247" t="s">
        <v>93</v>
      </c>
      <c r="P247" t="s">
        <v>93</v>
      </c>
      <c r="T247">
        <f t="shared" si="29"/>
        <v>0</v>
      </c>
      <c r="V247" t="s">
        <v>93</v>
      </c>
      <c r="W247" t="s">
        <v>93</v>
      </c>
      <c r="X247">
        <v>298</v>
      </c>
      <c r="Y247" t="s">
        <v>93</v>
      </c>
      <c r="Z247">
        <v>-82.7</v>
      </c>
      <c r="AA247" t="s">
        <v>95</v>
      </c>
      <c r="AB247">
        <f t="shared" si="30"/>
        <v>-233.80887665154029</v>
      </c>
      <c r="AC247" t="s">
        <v>93</v>
      </c>
      <c r="AD247">
        <v>3.1</v>
      </c>
      <c r="AE247" t="s">
        <v>95</v>
      </c>
      <c r="AF247" t="s">
        <v>93</v>
      </c>
      <c r="AH247" t="s">
        <v>93</v>
      </c>
      <c r="AI247" t="s">
        <v>93</v>
      </c>
      <c r="AJ247" t="s">
        <v>93</v>
      </c>
      <c r="AK247" t="s">
        <v>93</v>
      </c>
      <c r="AN247">
        <v>0.33</v>
      </c>
      <c r="AZ247">
        <v>0.66</v>
      </c>
      <c r="CR247">
        <f t="shared" si="31"/>
        <v>0</v>
      </c>
      <c r="CS247">
        <f t="shared" si="32"/>
        <v>0</v>
      </c>
      <c r="CT247">
        <f t="shared" si="33"/>
        <v>-233.80887665154029</v>
      </c>
      <c r="CU247" s="7">
        <f t="shared" si="34"/>
        <v>-233.80887665154029</v>
      </c>
      <c r="CV247" s="9">
        <f t="shared" si="36"/>
        <v>353.70769999999999</v>
      </c>
      <c r="CW247" t="str">
        <f t="shared" si="35"/>
        <v>Pd2Pr</v>
      </c>
    </row>
    <row r="248" spans="1:101" ht="15.75" thickBot="1" x14ac:dyDescent="0.3">
      <c r="A248" t="s">
        <v>91</v>
      </c>
      <c r="B248" t="s">
        <v>1819</v>
      </c>
      <c r="C248" t="s">
        <v>3144</v>
      </c>
      <c r="E248" t="s">
        <v>3145</v>
      </c>
      <c r="F248" t="s">
        <v>93</v>
      </c>
      <c r="G248" t="s">
        <v>1820</v>
      </c>
      <c r="H248">
        <v>359.4665</v>
      </c>
      <c r="I248">
        <v>695</v>
      </c>
      <c r="M248">
        <f t="shared" si="28"/>
        <v>0</v>
      </c>
      <c r="O248" t="s">
        <v>93</v>
      </c>
      <c r="P248" t="s">
        <v>1821</v>
      </c>
      <c r="T248">
        <f t="shared" si="29"/>
        <v>0</v>
      </c>
      <c r="V248" t="s">
        <v>93</v>
      </c>
      <c r="W248" t="s">
        <v>93</v>
      </c>
      <c r="X248">
        <v>298</v>
      </c>
      <c r="Y248" t="s">
        <v>93</v>
      </c>
      <c r="Z248">
        <v>-83.4</v>
      </c>
      <c r="AA248" t="s">
        <v>95</v>
      </c>
      <c r="AB248">
        <f t="shared" si="30"/>
        <v>-232.01049332830738</v>
      </c>
      <c r="AC248" t="s">
        <v>93</v>
      </c>
      <c r="AD248">
        <v>1.7</v>
      </c>
      <c r="AE248" t="s">
        <v>95</v>
      </c>
      <c r="AF248" t="s">
        <v>93</v>
      </c>
      <c r="AH248" t="s">
        <v>93</v>
      </c>
      <c r="AI248" t="s">
        <v>93</v>
      </c>
      <c r="AJ248" t="s">
        <v>93</v>
      </c>
      <c r="AK248" t="s">
        <v>93</v>
      </c>
      <c r="BC248">
        <v>0.5</v>
      </c>
      <c r="BG248">
        <v>0.5</v>
      </c>
      <c r="CR248">
        <f t="shared" si="31"/>
        <v>0</v>
      </c>
      <c r="CS248">
        <f t="shared" si="32"/>
        <v>0</v>
      </c>
      <c r="CT248">
        <f t="shared" si="33"/>
        <v>-232.01049332830738</v>
      </c>
      <c r="CU248" s="7">
        <f t="shared" si="34"/>
        <v>-232.01049332830738</v>
      </c>
      <c r="CV248" s="9">
        <f t="shared" si="36"/>
        <v>359.4665</v>
      </c>
      <c r="CW248" t="str">
        <f t="shared" si="35"/>
        <v>DyAu</v>
      </c>
    </row>
    <row r="249" spans="1:101" ht="15.75" thickBot="1" x14ac:dyDescent="0.3">
      <c r="A249" t="s">
        <v>91</v>
      </c>
      <c r="B249" t="s">
        <v>1649</v>
      </c>
      <c r="C249" t="s">
        <v>3144</v>
      </c>
      <c r="E249" t="s">
        <v>3145</v>
      </c>
      <c r="F249" t="s">
        <v>93</v>
      </c>
      <c r="G249" t="s">
        <v>1650</v>
      </c>
      <c r="H249">
        <v>225.1052</v>
      </c>
      <c r="I249">
        <v>634</v>
      </c>
      <c r="J249">
        <v>0</v>
      </c>
      <c r="K249" t="s">
        <v>95</v>
      </c>
      <c r="L249">
        <v>-45.598556709999997</v>
      </c>
      <c r="M249">
        <f t="shared" si="28"/>
        <v>-202.56554140019864</v>
      </c>
      <c r="N249" t="s">
        <v>95</v>
      </c>
      <c r="O249" t="s">
        <v>1651</v>
      </c>
      <c r="P249" t="s">
        <v>93</v>
      </c>
      <c r="Q249">
        <v>7.1680250299999999</v>
      </c>
      <c r="R249" t="s">
        <v>95</v>
      </c>
      <c r="S249">
        <v>-45.367024600000001</v>
      </c>
      <c r="T249">
        <f t="shared" si="29"/>
        <v>-201.53699070479047</v>
      </c>
      <c r="U249" t="s">
        <v>95</v>
      </c>
      <c r="V249">
        <v>657436</v>
      </c>
      <c r="W249" t="s">
        <v>510</v>
      </c>
      <c r="X249">
        <v>298</v>
      </c>
      <c r="Y249" t="s">
        <v>170</v>
      </c>
      <c r="Z249">
        <v>-64.900000000000006</v>
      </c>
      <c r="AA249" t="s">
        <v>95</v>
      </c>
      <c r="AB249">
        <f t="shared" si="30"/>
        <v>-288.30964366882688</v>
      </c>
      <c r="AC249" t="s">
        <v>93</v>
      </c>
      <c r="AD249">
        <v>2.8</v>
      </c>
      <c r="AE249" t="s">
        <v>95</v>
      </c>
      <c r="AF249" t="s">
        <v>93</v>
      </c>
      <c r="BO249">
        <v>0.33</v>
      </c>
      <c r="BX249">
        <v>0.66</v>
      </c>
      <c r="CR249">
        <f t="shared" si="31"/>
        <v>-202.56554140019864</v>
      </c>
      <c r="CS249">
        <f t="shared" si="32"/>
        <v>-201.53699070479047</v>
      </c>
      <c r="CT249">
        <f t="shared" si="33"/>
        <v>-288.30964366882688</v>
      </c>
      <c r="CU249" s="7">
        <f t="shared" si="34"/>
        <v>-230.804058591272</v>
      </c>
      <c r="CV249" s="9">
        <f t="shared" si="36"/>
        <v>225.1052</v>
      </c>
      <c r="CW249" t="str">
        <f t="shared" si="35"/>
        <v>TmSi2</v>
      </c>
    </row>
    <row r="250" spans="1:101" ht="15.75" thickBot="1" x14ac:dyDescent="0.3">
      <c r="A250" t="s">
        <v>91</v>
      </c>
      <c r="B250" t="s">
        <v>691</v>
      </c>
      <c r="C250" t="s">
        <v>3144</v>
      </c>
      <c r="E250" t="s">
        <v>3145</v>
      </c>
      <c r="F250" t="s">
        <v>93</v>
      </c>
      <c r="G250" t="s">
        <v>692</v>
      </c>
      <c r="H250">
        <v>357.15039999999999</v>
      </c>
      <c r="I250">
        <v>279</v>
      </c>
      <c r="J250">
        <v>0</v>
      </c>
      <c r="K250" t="s">
        <v>95</v>
      </c>
      <c r="L250">
        <v>-84.204367829999995</v>
      </c>
      <c r="M250">
        <f t="shared" si="28"/>
        <v>-235.76725051966903</v>
      </c>
      <c r="N250" t="s">
        <v>95</v>
      </c>
      <c r="O250" t="s">
        <v>693</v>
      </c>
      <c r="P250" t="s">
        <v>93</v>
      </c>
      <c r="Q250">
        <v>5.4761200000000003E-2</v>
      </c>
      <c r="R250" t="s">
        <v>95</v>
      </c>
      <c r="S250">
        <v>-82.307593420000003</v>
      </c>
      <c r="T250">
        <f t="shared" si="29"/>
        <v>-230.45639433695163</v>
      </c>
      <c r="U250" t="s">
        <v>95</v>
      </c>
      <c r="V250">
        <v>17457</v>
      </c>
      <c r="W250" t="s">
        <v>102</v>
      </c>
      <c r="X250">
        <v>298</v>
      </c>
      <c r="Y250" t="s">
        <v>103</v>
      </c>
      <c r="Z250">
        <v>-80.7</v>
      </c>
      <c r="AA250" t="s">
        <v>95</v>
      </c>
      <c r="AB250">
        <f t="shared" si="30"/>
        <v>-225.95522782558834</v>
      </c>
      <c r="AC250" t="s">
        <v>93</v>
      </c>
      <c r="AD250">
        <v>2.2999999999999998</v>
      </c>
      <c r="AE250" t="s">
        <v>95</v>
      </c>
      <c r="AF250" t="s">
        <v>93</v>
      </c>
      <c r="BB250">
        <v>0.5</v>
      </c>
      <c r="BJ250">
        <v>0.5</v>
      </c>
      <c r="CR250">
        <f t="shared" si="31"/>
        <v>-235.76725051966903</v>
      </c>
      <c r="CS250">
        <f t="shared" si="32"/>
        <v>-230.45639433695163</v>
      </c>
      <c r="CT250">
        <f t="shared" si="33"/>
        <v>-225.95522782558834</v>
      </c>
      <c r="CU250" s="7">
        <f t="shared" si="34"/>
        <v>-230.72629089406965</v>
      </c>
      <c r="CV250" s="9">
        <f t="shared" si="36"/>
        <v>357.15039999999999</v>
      </c>
      <c r="CW250" t="str">
        <f t="shared" si="35"/>
        <v>HoIr</v>
      </c>
    </row>
    <row r="251" spans="1:101" ht="15.75" thickBot="1" x14ac:dyDescent="0.3">
      <c r="A251" t="s">
        <v>91</v>
      </c>
      <c r="B251" t="s">
        <v>93</v>
      </c>
      <c r="C251" t="s">
        <v>3144</v>
      </c>
      <c r="E251" t="s">
        <v>3145</v>
      </c>
      <c r="F251" t="s">
        <v>93</v>
      </c>
      <c r="G251" t="s">
        <v>316</v>
      </c>
      <c r="H251">
        <v>325.46307999999999</v>
      </c>
      <c r="I251">
        <v>122</v>
      </c>
      <c r="M251">
        <f t="shared" si="28"/>
        <v>0</v>
      </c>
      <c r="O251" t="s">
        <v>93</v>
      </c>
      <c r="P251" t="s">
        <v>93</v>
      </c>
      <c r="T251">
        <f t="shared" si="29"/>
        <v>0</v>
      </c>
      <c r="V251" t="s">
        <v>93</v>
      </c>
      <c r="W251" t="s">
        <v>102</v>
      </c>
      <c r="X251">
        <v>298</v>
      </c>
      <c r="Y251" t="s">
        <v>103</v>
      </c>
      <c r="Z251">
        <v>-75.08</v>
      </c>
      <c r="AA251" t="s">
        <v>95</v>
      </c>
      <c r="AB251">
        <f t="shared" si="30"/>
        <v>-230.68668802618103</v>
      </c>
      <c r="AC251" t="s">
        <v>93</v>
      </c>
      <c r="AD251">
        <v>3.1</v>
      </c>
      <c r="AE251" t="s">
        <v>95</v>
      </c>
      <c r="AF251" t="s">
        <v>93</v>
      </c>
      <c r="AH251" t="s">
        <v>93</v>
      </c>
      <c r="AI251" t="s">
        <v>93</v>
      </c>
      <c r="AJ251" t="s">
        <v>93</v>
      </c>
      <c r="AK251" t="s">
        <v>93</v>
      </c>
      <c r="AR251">
        <v>0.4</v>
      </c>
      <c r="AS251">
        <v>0.2</v>
      </c>
      <c r="AZ251">
        <v>0.4</v>
      </c>
      <c r="CR251">
        <f t="shared" si="31"/>
        <v>0</v>
      </c>
      <c r="CS251">
        <f t="shared" si="32"/>
        <v>0</v>
      </c>
      <c r="CT251">
        <f t="shared" si="33"/>
        <v>-230.68668802618103</v>
      </c>
      <c r="CU251" s="7">
        <f t="shared" si="34"/>
        <v>-230.68668802618103</v>
      </c>
      <c r="CV251" s="9">
        <f t="shared" si="36"/>
        <v>325.46307999999999</v>
      </c>
      <c r="CW251" t="str">
        <f t="shared" si="35"/>
        <v>Al2NiPd2</v>
      </c>
    </row>
    <row r="252" spans="1:101" ht="15.75" thickBot="1" x14ac:dyDescent="0.3">
      <c r="A252" t="s">
        <v>91</v>
      </c>
      <c r="B252" t="s">
        <v>223</v>
      </c>
      <c r="C252" t="s">
        <v>3144</v>
      </c>
      <c r="E252" t="s">
        <v>3145</v>
      </c>
      <c r="F252" t="s">
        <v>93</v>
      </c>
      <c r="G252" t="s">
        <v>224</v>
      </c>
      <c r="H252">
        <v>178.58794</v>
      </c>
      <c r="I252">
        <v>51</v>
      </c>
      <c r="M252">
        <f t="shared" si="28"/>
        <v>0</v>
      </c>
      <c r="O252" t="s">
        <v>93</v>
      </c>
      <c r="P252" t="s">
        <v>93</v>
      </c>
      <c r="T252">
        <f t="shared" si="29"/>
        <v>0</v>
      </c>
      <c r="V252" t="s">
        <v>93</v>
      </c>
      <c r="W252" t="s">
        <v>225</v>
      </c>
      <c r="X252">
        <v>298</v>
      </c>
      <c r="Y252" t="s">
        <v>179</v>
      </c>
      <c r="Z252">
        <v>-40.9</v>
      </c>
      <c r="AA252" t="s">
        <v>95</v>
      </c>
      <c r="AB252">
        <f t="shared" si="30"/>
        <v>-229.01882400345733</v>
      </c>
      <c r="AC252" t="s">
        <v>93</v>
      </c>
      <c r="AD252">
        <v>1.5</v>
      </c>
      <c r="AE252" t="s">
        <v>95</v>
      </c>
      <c r="AF252" t="s">
        <v>93</v>
      </c>
      <c r="AH252" t="s">
        <v>93</v>
      </c>
      <c r="AI252" t="s">
        <v>93</v>
      </c>
      <c r="AJ252" t="s">
        <v>93</v>
      </c>
      <c r="AK252" t="s">
        <v>93</v>
      </c>
      <c r="AR252">
        <v>0.33</v>
      </c>
      <c r="AS252">
        <v>0.33</v>
      </c>
      <c r="AU252">
        <v>0.33</v>
      </c>
      <c r="CR252">
        <f t="shared" si="31"/>
        <v>0</v>
      </c>
      <c r="CS252">
        <f t="shared" si="32"/>
        <v>0</v>
      </c>
      <c r="CT252">
        <f t="shared" si="33"/>
        <v>-229.01882400345733</v>
      </c>
      <c r="CU252" s="7">
        <f t="shared" si="34"/>
        <v>-229.01882400345733</v>
      </c>
      <c r="CV252" s="9">
        <f t="shared" si="36"/>
        <v>178.58794</v>
      </c>
      <c r="CW252" t="str">
        <f t="shared" si="35"/>
        <v>AlNbNi</v>
      </c>
    </row>
    <row r="253" spans="1:101" ht="15.75" thickBot="1" x14ac:dyDescent="0.3">
      <c r="A253" t="s">
        <v>91</v>
      </c>
      <c r="B253" t="s">
        <v>1603</v>
      </c>
      <c r="C253" t="s">
        <v>3144</v>
      </c>
      <c r="E253" t="s">
        <v>3145</v>
      </c>
      <c r="F253" t="s">
        <v>93</v>
      </c>
      <c r="G253" t="s">
        <v>1604</v>
      </c>
      <c r="H253">
        <v>323.75650000000002</v>
      </c>
      <c r="I253">
        <v>616</v>
      </c>
      <c r="J253">
        <v>0</v>
      </c>
      <c r="K253" t="s">
        <v>95</v>
      </c>
      <c r="L253">
        <v>-73.906943310000003</v>
      </c>
      <c r="M253">
        <f t="shared" si="28"/>
        <v>-228.27941156393771</v>
      </c>
      <c r="N253" t="s">
        <v>95</v>
      </c>
      <c r="O253" t="s">
        <v>1605</v>
      </c>
      <c r="P253" t="s">
        <v>93</v>
      </c>
      <c r="T253">
        <f t="shared" si="29"/>
        <v>0</v>
      </c>
      <c r="V253" t="s">
        <v>93</v>
      </c>
      <c r="W253" t="s">
        <v>339</v>
      </c>
      <c r="X253">
        <v>298</v>
      </c>
      <c r="Y253" t="s">
        <v>1403</v>
      </c>
      <c r="Z253">
        <v>-73.8</v>
      </c>
      <c r="AA253" t="s">
        <v>95</v>
      </c>
      <c r="AB253">
        <f t="shared" si="30"/>
        <v>-227.9490913695941</v>
      </c>
      <c r="AC253" t="s">
        <v>93</v>
      </c>
      <c r="AD253">
        <v>2</v>
      </c>
      <c r="AE253" t="s">
        <v>95</v>
      </c>
      <c r="AF253" t="s">
        <v>93</v>
      </c>
      <c r="AJ253" t="s">
        <v>93</v>
      </c>
      <c r="AK253" t="s">
        <v>93</v>
      </c>
      <c r="BA253">
        <v>0.625</v>
      </c>
      <c r="BX253">
        <v>0.375</v>
      </c>
      <c r="CR253">
        <f t="shared" si="31"/>
        <v>-228.27941156393771</v>
      </c>
      <c r="CS253">
        <f t="shared" si="32"/>
        <v>0</v>
      </c>
      <c r="CT253">
        <f t="shared" si="33"/>
        <v>-227.9490913695941</v>
      </c>
      <c r="CU253" s="7">
        <f t="shared" si="34"/>
        <v>-228.11425146676589</v>
      </c>
      <c r="CV253" s="9">
        <f t="shared" si="36"/>
        <v>323.75650000000002</v>
      </c>
      <c r="CW253" t="str">
        <f t="shared" si="35"/>
        <v>Ti5Si3</v>
      </c>
    </row>
    <row r="254" spans="1:101" ht="15.75" thickBot="1" x14ac:dyDescent="0.3">
      <c r="A254" t="s">
        <v>91</v>
      </c>
      <c r="B254" t="s">
        <v>3027</v>
      </c>
      <c r="C254" t="s">
        <v>3144</v>
      </c>
      <c r="E254" t="s">
        <v>3145</v>
      </c>
      <c r="G254" t="s">
        <v>3028</v>
      </c>
      <c r="H254">
        <v>131.29</v>
      </c>
      <c r="I254">
        <v>1273</v>
      </c>
      <c r="J254">
        <v>0</v>
      </c>
      <c r="K254" t="s">
        <v>95</v>
      </c>
      <c r="L254">
        <v>-29.568097810000001</v>
      </c>
      <c r="M254">
        <f t="shared" si="28"/>
        <v>-225.21210914768835</v>
      </c>
      <c r="N254" t="s">
        <v>95</v>
      </c>
      <c r="O254" t="s">
        <v>3029</v>
      </c>
      <c r="P254" t="s">
        <v>93</v>
      </c>
      <c r="Q254">
        <v>0</v>
      </c>
      <c r="R254" t="s">
        <v>95</v>
      </c>
      <c r="S254">
        <v>-30.317363100000001</v>
      </c>
      <c r="T254">
        <f t="shared" si="29"/>
        <v>-230.91905781095289</v>
      </c>
      <c r="U254" t="s">
        <v>95</v>
      </c>
      <c r="V254">
        <v>646855</v>
      </c>
      <c r="W254" t="s">
        <v>358</v>
      </c>
      <c r="X254">
        <v>1063</v>
      </c>
      <c r="Y254" t="s">
        <v>359</v>
      </c>
      <c r="AB254">
        <f t="shared" si="30"/>
        <v>0</v>
      </c>
      <c r="AC254" t="s">
        <v>93</v>
      </c>
      <c r="AD254">
        <v>0.5</v>
      </c>
      <c r="AE254" t="s">
        <v>95</v>
      </c>
      <c r="AF254" t="s">
        <v>93</v>
      </c>
      <c r="AS254">
        <v>0.5</v>
      </c>
      <c r="CA254">
        <v>0.5</v>
      </c>
      <c r="CG254">
        <v>-30</v>
      </c>
      <c r="CH254" t="s">
        <v>95</v>
      </c>
      <c r="CI254" t="s">
        <v>93</v>
      </c>
      <c r="CR254">
        <f t="shared" si="31"/>
        <v>-225.21210914768835</v>
      </c>
      <c r="CS254">
        <f t="shared" si="32"/>
        <v>-230.91905781095289</v>
      </c>
      <c r="CT254">
        <f t="shared" si="33"/>
        <v>0</v>
      </c>
      <c r="CU254" s="7">
        <f t="shared" si="34"/>
        <v>-228.06558347932062</v>
      </c>
      <c r="CV254" s="9">
        <f t="shared" si="36"/>
        <v>131.29</v>
      </c>
      <c r="CW254" t="str">
        <f t="shared" si="35"/>
        <v>NiGe</v>
      </c>
    </row>
    <row r="255" spans="1:101" ht="15.75" thickBot="1" x14ac:dyDescent="0.3">
      <c r="A255" t="s">
        <v>91</v>
      </c>
      <c r="B255" t="s">
        <v>2447</v>
      </c>
      <c r="C255" t="s">
        <v>3144</v>
      </c>
      <c r="E255" t="s">
        <v>3145</v>
      </c>
      <c r="F255" t="s">
        <v>93</v>
      </c>
      <c r="G255" t="s">
        <v>2448</v>
      </c>
      <c r="H255">
        <v>198.71270000000001</v>
      </c>
      <c r="I255">
        <v>993</v>
      </c>
      <c r="M255">
        <f t="shared" si="28"/>
        <v>0</v>
      </c>
      <c r="O255" t="s">
        <v>93</v>
      </c>
      <c r="P255" t="s">
        <v>93</v>
      </c>
      <c r="T255">
        <f t="shared" si="29"/>
        <v>0</v>
      </c>
      <c r="V255" t="s">
        <v>93</v>
      </c>
      <c r="W255" t="s">
        <v>184</v>
      </c>
      <c r="X255">
        <v>298</v>
      </c>
      <c r="Y255" t="s">
        <v>1983</v>
      </c>
      <c r="Z255">
        <v>-45.3</v>
      </c>
      <c r="AA255" t="s">
        <v>95</v>
      </c>
      <c r="AB255">
        <f t="shared" si="30"/>
        <v>-227.96731160112057</v>
      </c>
      <c r="AC255" t="s">
        <v>93</v>
      </c>
      <c r="AD255">
        <v>2.2000000000000002</v>
      </c>
      <c r="AE255" t="s">
        <v>95</v>
      </c>
      <c r="AF255" t="s">
        <v>93</v>
      </c>
      <c r="AH255" t="s">
        <v>93</v>
      </c>
      <c r="AI255" t="s">
        <v>93</v>
      </c>
      <c r="AJ255" t="s">
        <v>93</v>
      </c>
      <c r="AK255" t="s">
        <v>93</v>
      </c>
      <c r="AT255">
        <v>0.5</v>
      </c>
      <c r="AW255">
        <v>0.25</v>
      </c>
      <c r="BX255">
        <v>0.25</v>
      </c>
      <c r="CR255">
        <f t="shared" si="31"/>
        <v>0</v>
      </c>
      <c r="CS255">
        <f t="shared" si="32"/>
        <v>0</v>
      </c>
      <c r="CT255">
        <f t="shared" si="33"/>
        <v>-227.96731160112057</v>
      </c>
      <c r="CU255" s="7">
        <f t="shared" si="34"/>
        <v>-227.96731160112057</v>
      </c>
      <c r="CV255" s="9">
        <f t="shared" si="36"/>
        <v>198.71270000000001</v>
      </c>
      <c r="CW255" t="str">
        <f t="shared" si="35"/>
        <v>Fe2CoSi</v>
      </c>
    </row>
    <row r="256" spans="1:101" ht="15.75" thickBot="1" x14ac:dyDescent="0.3">
      <c r="A256" t="s">
        <v>91</v>
      </c>
      <c r="B256" t="s">
        <v>93</v>
      </c>
      <c r="C256" t="s">
        <v>3144</v>
      </c>
      <c r="E256" t="s">
        <v>3145</v>
      </c>
      <c r="F256" t="s">
        <v>93</v>
      </c>
      <c r="G256" t="s">
        <v>2740</v>
      </c>
      <c r="H256">
        <v>277.02154000000002</v>
      </c>
      <c r="I256">
        <v>1120</v>
      </c>
      <c r="M256">
        <f t="shared" si="28"/>
        <v>0</v>
      </c>
      <c r="O256" t="s">
        <v>93</v>
      </c>
      <c r="P256" t="s">
        <v>93</v>
      </c>
      <c r="T256">
        <f t="shared" si="29"/>
        <v>0</v>
      </c>
      <c r="V256" t="s">
        <v>93</v>
      </c>
      <c r="W256" t="s">
        <v>102</v>
      </c>
      <c r="X256">
        <v>298</v>
      </c>
      <c r="Y256" t="s">
        <v>103</v>
      </c>
      <c r="Z256">
        <v>-62.7</v>
      </c>
      <c r="AA256" t="s">
        <v>95</v>
      </c>
      <c r="AB256">
        <f t="shared" si="30"/>
        <v>-226.33619031935206</v>
      </c>
      <c r="AC256" t="s">
        <v>93</v>
      </c>
      <c r="AD256">
        <v>3.5</v>
      </c>
      <c r="AE256" t="s">
        <v>95</v>
      </c>
      <c r="AF256" t="s">
        <v>93</v>
      </c>
      <c r="AH256" t="s">
        <v>93</v>
      </c>
      <c r="AI256" t="s">
        <v>93</v>
      </c>
      <c r="AJ256" t="s">
        <v>93</v>
      </c>
      <c r="AK256" t="s">
        <v>93</v>
      </c>
      <c r="AR256">
        <v>0.25</v>
      </c>
      <c r="AV256">
        <v>0.5</v>
      </c>
      <c r="BA256">
        <v>0.25</v>
      </c>
      <c r="CR256">
        <f t="shared" si="31"/>
        <v>0</v>
      </c>
      <c r="CS256">
        <f t="shared" si="32"/>
        <v>0</v>
      </c>
      <c r="CT256">
        <f t="shared" si="33"/>
        <v>-226.33619031935206</v>
      </c>
      <c r="CU256" s="7">
        <f t="shared" si="34"/>
        <v>-226.33619031935206</v>
      </c>
      <c r="CV256" s="9">
        <f t="shared" si="36"/>
        <v>277.02154000000002</v>
      </c>
      <c r="CW256" t="str">
        <f t="shared" si="35"/>
        <v>Ru2TiAl</v>
      </c>
    </row>
    <row r="257" spans="1:101" ht="15.75" thickBot="1" x14ac:dyDescent="0.3">
      <c r="A257" t="s">
        <v>484</v>
      </c>
      <c r="B257" t="s">
        <v>634</v>
      </c>
      <c r="C257" t="s">
        <v>3138</v>
      </c>
      <c r="D257" t="s">
        <v>3139</v>
      </c>
      <c r="F257" t="s">
        <v>3140</v>
      </c>
      <c r="G257" t="s">
        <v>635</v>
      </c>
      <c r="H257">
        <v>237.19</v>
      </c>
      <c r="I257">
        <v>256</v>
      </c>
      <c r="J257">
        <v>0</v>
      </c>
      <c r="K257" t="s">
        <v>95</v>
      </c>
      <c r="L257">
        <v>-50.117262410000002</v>
      </c>
      <c r="M257">
        <f t="shared" si="28"/>
        <v>-211.29584893966862</v>
      </c>
      <c r="N257" t="s">
        <v>95</v>
      </c>
      <c r="O257" t="s">
        <v>636</v>
      </c>
      <c r="P257" t="s">
        <v>93</v>
      </c>
      <c r="Q257">
        <v>0</v>
      </c>
      <c r="R257" t="s">
        <v>95</v>
      </c>
      <c r="S257">
        <v>-50.07883666</v>
      </c>
      <c r="T257">
        <f t="shared" si="29"/>
        <v>-211.13384485012014</v>
      </c>
      <c r="U257" t="s">
        <v>95</v>
      </c>
      <c r="V257">
        <v>30515</v>
      </c>
      <c r="W257" t="s">
        <v>430</v>
      </c>
      <c r="X257">
        <v>298</v>
      </c>
      <c r="Y257" t="s">
        <v>147</v>
      </c>
      <c r="Z257">
        <v>-59.3</v>
      </c>
      <c r="AA257" t="s">
        <v>95</v>
      </c>
      <c r="AB257">
        <f t="shared" si="30"/>
        <v>-250.0105400733589</v>
      </c>
      <c r="AC257" t="s">
        <v>93</v>
      </c>
      <c r="AD257">
        <v>2.5</v>
      </c>
      <c r="AE257" t="s">
        <v>95</v>
      </c>
      <c r="AF257" t="s">
        <v>93</v>
      </c>
      <c r="AQ257">
        <v>0.5</v>
      </c>
      <c r="AS257">
        <v>0.5</v>
      </c>
      <c r="CR257">
        <f t="shared" si="31"/>
        <v>-211.29584893966862</v>
      </c>
      <c r="CS257">
        <f t="shared" si="32"/>
        <v>-211.13384485012014</v>
      </c>
      <c r="CT257">
        <f t="shared" si="33"/>
        <v>-250.0105400733589</v>
      </c>
      <c r="CU257" s="7">
        <f t="shared" si="34"/>
        <v>-224.14674462104924</v>
      </c>
      <c r="CV257" s="9">
        <f t="shared" si="36"/>
        <v>237.19</v>
      </c>
      <c r="CW257" t="str">
        <f t="shared" si="35"/>
        <v>HfNi</v>
      </c>
    </row>
    <row r="258" spans="1:101" ht="15.75" thickBot="1" x14ac:dyDescent="0.3">
      <c r="A258" t="s">
        <v>91</v>
      </c>
      <c r="B258" t="s">
        <v>1617</v>
      </c>
      <c r="C258" t="s">
        <v>3144</v>
      </c>
      <c r="E258" t="s">
        <v>3145</v>
      </c>
      <c r="F258" t="s">
        <v>93</v>
      </c>
      <c r="G258" t="s">
        <v>1618</v>
      </c>
      <c r="H258">
        <v>351.84199999999998</v>
      </c>
      <c r="I258">
        <v>622</v>
      </c>
      <c r="M258">
        <f t="shared" ref="M258:M321" si="37">(1000/H258)*L258</f>
        <v>0</v>
      </c>
      <c r="O258" t="s">
        <v>93</v>
      </c>
      <c r="P258" t="s">
        <v>93</v>
      </c>
      <c r="T258">
        <f t="shared" ref="T258:T321" si="38">(1000/H258)*S258</f>
        <v>0</v>
      </c>
      <c r="V258" t="s">
        <v>93</v>
      </c>
      <c r="W258" t="s">
        <v>444</v>
      </c>
      <c r="X258">
        <v>298</v>
      </c>
      <c r="Y258" t="s">
        <v>359</v>
      </c>
      <c r="Z258">
        <v>-78.5</v>
      </c>
      <c r="AA258" t="s">
        <v>95</v>
      </c>
      <c r="AB258">
        <f t="shared" ref="AB258:AB321" si="39">(1000/H258)*Z258</f>
        <v>-223.11151028018259</v>
      </c>
      <c r="AC258" t="s">
        <v>93</v>
      </c>
      <c r="AD258">
        <v>2.1</v>
      </c>
      <c r="AE258" t="s">
        <v>95</v>
      </c>
      <c r="AF258" t="s">
        <v>93</v>
      </c>
      <c r="AH258" t="s">
        <v>93</v>
      </c>
      <c r="AI258" t="s">
        <v>93</v>
      </c>
      <c r="AJ258" t="s">
        <v>93</v>
      </c>
      <c r="AK258" t="s">
        <v>93</v>
      </c>
      <c r="BA258">
        <v>0.56000000000000005</v>
      </c>
      <c r="BX258">
        <v>0.44</v>
      </c>
      <c r="CR258">
        <f t="shared" ref="CR258:CR321" si="40">VALUE(M258)</f>
        <v>0</v>
      </c>
      <c r="CS258">
        <f t="shared" ref="CS258:CS321" si="41">VALUE(T258)</f>
        <v>0</v>
      </c>
      <c r="CT258">
        <f t="shared" ref="CT258:CT321" si="42">VALUE(AB258)</f>
        <v>-223.11151028018259</v>
      </c>
      <c r="CU258" s="7">
        <f t="shared" ref="CU258:CU321" si="43">SUM(CR258:CT258)/(COUNTIF(CR258:CT258,"&lt;&gt;0")-COUNTBLANK(CR258:CT258)-(COUNTA(CR258:CT258)-COUNT(CR258:CT258)))</f>
        <v>-223.11151028018259</v>
      </c>
      <c r="CV258" s="9">
        <f t="shared" si="36"/>
        <v>351.84199999999998</v>
      </c>
      <c r="CW258" t="str">
        <f t="shared" ref="CW258:CW321" si="44">G258</f>
        <v>Si4Ti5</v>
      </c>
    </row>
    <row r="259" spans="1:101" ht="15.75" thickBot="1" x14ac:dyDescent="0.3">
      <c r="A259" t="s">
        <v>91</v>
      </c>
      <c r="B259" t="s">
        <v>278</v>
      </c>
      <c r="C259" t="s">
        <v>3144</v>
      </c>
      <c r="E259" t="s">
        <v>3145</v>
      </c>
      <c r="F259" t="s">
        <v>93</v>
      </c>
      <c r="G259" t="s">
        <v>279</v>
      </c>
      <c r="H259">
        <v>230.06308000000001</v>
      </c>
      <c r="I259">
        <v>91</v>
      </c>
      <c r="M259">
        <f t="shared" si="37"/>
        <v>0</v>
      </c>
      <c r="O259" t="s">
        <v>93</v>
      </c>
      <c r="P259" t="s">
        <v>93</v>
      </c>
      <c r="T259">
        <f t="shared" si="38"/>
        <v>0</v>
      </c>
      <c r="V259" t="s">
        <v>93</v>
      </c>
      <c r="W259" t="s">
        <v>102</v>
      </c>
      <c r="X259">
        <v>298</v>
      </c>
      <c r="Y259" t="s">
        <v>103</v>
      </c>
      <c r="Z259">
        <v>-51.3</v>
      </c>
      <c r="AA259" t="s">
        <v>95</v>
      </c>
      <c r="AB259">
        <f t="shared" si="39"/>
        <v>-222.98232293508366</v>
      </c>
      <c r="AC259" t="s">
        <v>93</v>
      </c>
      <c r="AD259">
        <v>1.7</v>
      </c>
      <c r="AE259" t="s">
        <v>95</v>
      </c>
      <c r="AF259" t="s">
        <v>93</v>
      </c>
      <c r="AH259" t="s">
        <v>93</v>
      </c>
      <c r="AI259" t="s">
        <v>93</v>
      </c>
      <c r="AJ259" t="s">
        <v>93</v>
      </c>
      <c r="AK259" t="s">
        <v>93</v>
      </c>
      <c r="AR259">
        <v>0.4</v>
      </c>
      <c r="AS259">
        <v>0.6</v>
      </c>
      <c r="CR259">
        <f t="shared" si="40"/>
        <v>0</v>
      </c>
      <c r="CS259">
        <f t="shared" si="41"/>
        <v>0</v>
      </c>
      <c r="CT259">
        <f t="shared" si="42"/>
        <v>-222.98232293508366</v>
      </c>
      <c r="CU259" s="7">
        <f t="shared" si="43"/>
        <v>-222.98232293508366</v>
      </c>
      <c r="CV259" s="9">
        <f t="shared" ref="CV259:CV322" si="45">H259</f>
        <v>230.06308000000001</v>
      </c>
      <c r="CW259" t="str">
        <f t="shared" si="44"/>
        <v>Al2Ni3</v>
      </c>
    </row>
    <row r="260" spans="1:101" ht="15.75" thickBot="1" x14ac:dyDescent="0.3">
      <c r="A260" t="s">
        <v>91</v>
      </c>
      <c r="B260" t="s">
        <v>2744</v>
      </c>
      <c r="C260" t="s">
        <v>3144</v>
      </c>
      <c r="E260" t="s">
        <v>3145</v>
      </c>
      <c r="F260" t="s">
        <v>93</v>
      </c>
      <c r="G260" t="s">
        <v>2745</v>
      </c>
      <c r="H260">
        <v>322.63</v>
      </c>
      <c r="I260">
        <v>1122</v>
      </c>
      <c r="J260">
        <v>0</v>
      </c>
      <c r="K260" t="s">
        <v>95</v>
      </c>
      <c r="L260">
        <v>-67.450913610000001</v>
      </c>
      <c r="M260">
        <f t="shared" si="37"/>
        <v>-209.06584511669715</v>
      </c>
      <c r="N260" t="s">
        <v>95</v>
      </c>
      <c r="O260" t="s">
        <v>2746</v>
      </c>
      <c r="P260" t="s">
        <v>93</v>
      </c>
      <c r="Q260">
        <v>3.8376260000000002E-2</v>
      </c>
      <c r="R260" t="s">
        <v>95</v>
      </c>
      <c r="S260">
        <v>-69.042810110000005</v>
      </c>
      <c r="T260">
        <f t="shared" si="38"/>
        <v>-213.99996934569012</v>
      </c>
      <c r="U260" t="s">
        <v>95</v>
      </c>
      <c r="V260">
        <v>503536</v>
      </c>
      <c r="W260" t="s">
        <v>184</v>
      </c>
      <c r="X260">
        <v>298</v>
      </c>
      <c r="Y260" t="s">
        <v>185</v>
      </c>
      <c r="Z260">
        <v>-79.099999999999994</v>
      </c>
      <c r="AA260" t="s">
        <v>95</v>
      </c>
      <c r="AB260">
        <f t="shared" si="39"/>
        <v>-245.17248860924278</v>
      </c>
      <c r="AC260" t="s">
        <v>93</v>
      </c>
      <c r="AD260">
        <v>3.2</v>
      </c>
      <c r="AE260" t="s">
        <v>95</v>
      </c>
      <c r="AF260" t="s">
        <v>93</v>
      </c>
      <c r="AV260">
        <v>0.5</v>
      </c>
      <c r="BA260">
        <v>0.25</v>
      </c>
      <c r="CA260">
        <v>0.25</v>
      </c>
      <c r="CR260">
        <f t="shared" si="40"/>
        <v>-209.06584511669715</v>
      </c>
      <c r="CS260">
        <f t="shared" si="41"/>
        <v>-213.99996934569012</v>
      </c>
      <c r="CT260">
        <f t="shared" si="42"/>
        <v>-245.17248860924278</v>
      </c>
      <c r="CU260" s="7">
        <f t="shared" si="43"/>
        <v>-222.74610102387669</v>
      </c>
      <c r="CV260" s="9">
        <f t="shared" si="45"/>
        <v>322.63</v>
      </c>
      <c r="CW260" t="str">
        <f t="shared" si="44"/>
        <v>TiGeRu2</v>
      </c>
    </row>
    <row r="261" spans="1:101" ht="15.75" thickBot="1" x14ac:dyDescent="0.3">
      <c r="A261" t="s">
        <v>91</v>
      </c>
      <c r="B261" t="s">
        <v>1422</v>
      </c>
      <c r="C261" t="s">
        <v>3144</v>
      </c>
      <c r="E261" t="s">
        <v>3145</v>
      </c>
      <c r="F261" t="s">
        <v>93</v>
      </c>
      <c r="G261" t="s">
        <v>1423</v>
      </c>
      <c r="H261">
        <v>282.52</v>
      </c>
      <c r="I261">
        <v>548</v>
      </c>
      <c r="J261">
        <v>0</v>
      </c>
      <c r="K261" t="s">
        <v>95</v>
      </c>
      <c r="L261">
        <v>-62.404575919999999</v>
      </c>
      <c r="M261">
        <f t="shared" si="37"/>
        <v>-220.88551578649302</v>
      </c>
      <c r="N261" t="s">
        <v>95</v>
      </c>
      <c r="O261" t="s">
        <v>1424</v>
      </c>
      <c r="P261" t="s">
        <v>93</v>
      </c>
      <c r="Q261">
        <v>0</v>
      </c>
      <c r="R261" t="s">
        <v>95</v>
      </c>
      <c r="S261">
        <v>-61.946776139999997</v>
      </c>
      <c r="T261">
        <f t="shared" si="38"/>
        <v>-219.2651003114824</v>
      </c>
      <c r="U261" t="s">
        <v>95</v>
      </c>
      <c r="V261">
        <v>18584</v>
      </c>
      <c r="W261" t="s">
        <v>1085</v>
      </c>
      <c r="X261">
        <v>298</v>
      </c>
      <c r="Y261" t="s">
        <v>359</v>
      </c>
      <c r="Z261">
        <v>-64.400000000000006</v>
      </c>
      <c r="AA261" t="s">
        <v>95</v>
      </c>
      <c r="AB261">
        <f t="shared" si="39"/>
        <v>-227.94846382556992</v>
      </c>
      <c r="AC261" t="s">
        <v>93</v>
      </c>
      <c r="AD261">
        <v>2</v>
      </c>
      <c r="AE261" t="s">
        <v>95</v>
      </c>
      <c r="AF261" t="s">
        <v>93</v>
      </c>
      <c r="AZ261">
        <v>0.66</v>
      </c>
      <c r="BY261">
        <v>0.33</v>
      </c>
      <c r="CR261">
        <f t="shared" si="40"/>
        <v>-220.88551578649302</v>
      </c>
      <c r="CS261">
        <f t="shared" si="41"/>
        <v>-219.2651003114824</v>
      </c>
      <c r="CT261">
        <f t="shared" si="42"/>
        <v>-227.94846382556992</v>
      </c>
      <c r="CU261" s="7">
        <f t="shared" si="43"/>
        <v>-222.69969330784843</v>
      </c>
      <c r="CV261" s="9">
        <f t="shared" si="45"/>
        <v>282.52</v>
      </c>
      <c r="CW261" t="str">
        <f t="shared" si="44"/>
        <v>GaPd2</v>
      </c>
    </row>
    <row r="262" spans="1:101" ht="15.75" thickBot="1" x14ac:dyDescent="0.3">
      <c r="A262" t="s">
        <v>91</v>
      </c>
      <c r="B262" t="s">
        <v>356</v>
      </c>
      <c r="C262" t="s">
        <v>3144</v>
      </c>
      <c r="E262" t="s">
        <v>3145</v>
      </c>
      <c r="F262" t="s">
        <v>93</v>
      </c>
      <c r="G262" t="s">
        <v>357</v>
      </c>
      <c r="H262">
        <v>335.87199999999899</v>
      </c>
      <c r="I262">
        <v>150</v>
      </c>
      <c r="M262">
        <f t="shared" si="37"/>
        <v>0</v>
      </c>
      <c r="O262" t="s">
        <v>93</v>
      </c>
      <c r="P262" t="s">
        <v>93</v>
      </c>
      <c r="Q262">
        <v>0.12627678000000001</v>
      </c>
      <c r="R262" t="s">
        <v>95</v>
      </c>
      <c r="S262">
        <v>-79.299044859999995</v>
      </c>
      <c r="T262">
        <f t="shared" si="38"/>
        <v>-236.09900456126215</v>
      </c>
      <c r="U262" t="s">
        <v>95</v>
      </c>
      <c r="V262">
        <v>28181</v>
      </c>
      <c r="W262" t="s">
        <v>358</v>
      </c>
      <c r="X262">
        <v>298</v>
      </c>
      <c r="Y262" t="s">
        <v>359</v>
      </c>
      <c r="Z262">
        <v>-69.900000000000006</v>
      </c>
      <c r="AA262" t="s">
        <v>95</v>
      </c>
      <c r="AB262">
        <f t="shared" si="39"/>
        <v>-208.11499618902505</v>
      </c>
      <c r="AC262" t="s">
        <v>93</v>
      </c>
      <c r="AD262">
        <v>2.2999999999999998</v>
      </c>
      <c r="AE262" t="s">
        <v>95</v>
      </c>
      <c r="AF262" t="s">
        <v>93</v>
      </c>
      <c r="AH262" t="s">
        <v>93</v>
      </c>
      <c r="AI262" t="s">
        <v>93</v>
      </c>
      <c r="AL262">
        <v>0.5</v>
      </c>
      <c r="BC262">
        <v>0.5</v>
      </c>
      <c r="CR262">
        <f t="shared" si="40"/>
        <v>0</v>
      </c>
      <c r="CS262">
        <f t="shared" si="41"/>
        <v>-236.09900456126215</v>
      </c>
      <c r="CT262">
        <f t="shared" si="42"/>
        <v>-208.11499618902505</v>
      </c>
      <c r="CU262" s="7">
        <f t="shared" si="43"/>
        <v>-222.1070003751436</v>
      </c>
      <c r="CV262" s="9">
        <f t="shared" si="45"/>
        <v>335.87199999999899</v>
      </c>
      <c r="CW262" t="str">
        <f t="shared" si="44"/>
        <v>LaAu</v>
      </c>
    </row>
    <row r="263" spans="1:101" ht="15.75" thickBot="1" x14ac:dyDescent="0.3">
      <c r="A263" t="s">
        <v>484</v>
      </c>
      <c r="B263" t="s">
        <v>93</v>
      </c>
      <c r="C263" t="s">
        <v>3138</v>
      </c>
      <c r="D263" t="s">
        <v>3139</v>
      </c>
      <c r="F263" t="s">
        <v>3140</v>
      </c>
      <c r="G263" t="s">
        <v>2295</v>
      </c>
      <c r="H263">
        <v>221.22307999999899</v>
      </c>
      <c r="I263">
        <v>917</v>
      </c>
      <c r="J263">
        <v>0</v>
      </c>
      <c r="K263" t="s">
        <v>95</v>
      </c>
      <c r="L263">
        <v>-49.014938800000003</v>
      </c>
      <c r="M263">
        <f t="shared" si="37"/>
        <v>-221.56340468634747</v>
      </c>
      <c r="N263" t="s">
        <v>95</v>
      </c>
      <c r="O263" t="s">
        <v>2296</v>
      </c>
      <c r="P263" t="s">
        <v>93</v>
      </c>
      <c r="Q263">
        <v>0</v>
      </c>
      <c r="R263" t="s">
        <v>95</v>
      </c>
      <c r="S263">
        <v>-49.28886249</v>
      </c>
      <c r="T263">
        <f t="shared" si="38"/>
        <v>-222.80162851905064</v>
      </c>
      <c r="U263" t="s">
        <v>95</v>
      </c>
      <c r="V263">
        <v>10452</v>
      </c>
      <c r="W263" t="s">
        <v>159</v>
      </c>
      <c r="X263">
        <v>298</v>
      </c>
      <c r="Y263" t="s">
        <v>160</v>
      </c>
      <c r="Z263">
        <v>-49.1</v>
      </c>
      <c r="AA263" t="s">
        <v>95</v>
      </c>
      <c r="AB263">
        <f t="shared" si="39"/>
        <v>-221.94790887099222</v>
      </c>
      <c r="AC263" t="s">
        <v>93</v>
      </c>
      <c r="AD263">
        <v>6</v>
      </c>
      <c r="AE263" t="s">
        <v>95</v>
      </c>
      <c r="AF263" t="s">
        <v>93</v>
      </c>
      <c r="AR263">
        <v>0.66639999999999999</v>
      </c>
      <c r="BH263">
        <v>0.33360000000000001</v>
      </c>
      <c r="CR263">
        <f t="shared" si="40"/>
        <v>-221.56340468634747</v>
      </c>
      <c r="CS263">
        <f t="shared" si="41"/>
        <v>-222.80162851905064</v>
      </c>
      <c r="CT263">
        <f t="shared" si="42"/>
        <v>-221.94790887099222</v>
      </c>
      <c r="CU263" s="7">
        <f t="shared" si="43"/>
        <v>-222.10431402546342</v>
      </c>
      <c r="CV263" s="9">
        <f t="shared" si="45"/>
        <v>221.22307999999899</v>
      </c>
      <c r="CW263" t="str">
        <f t="shared" si="44"/>
        <v>ErAl2</v>
      </c>
    </row>
    <row r="264" spans="1:101" ht="15.75" thickBot="1" x14ac:dyDescent="0.3">
      <c r="A264" t="s">
        <v>91</v>
      </c>
      <c r="B264" t="s">
        <v>93</v>
      </c>
      <c r="C264" t="s">
        <v>3144</v>
      </c>
      <c r="E264" t="s">
        <v>3145</v>
      </c>
      <c r="F264" t="s">
        <v>93</v>
      </c>
      <c r="G264" t="s">
        <v>314</v>
      </c>
      <c r="H264">
        <v>277.76308</v>
      </c>
      <c r="I264">
        <v>120</v>
      </c>
      <c r="M264">
        <f t="shared" si="37"/>
        <v>0</v>
      </c>
      <c r="O264" t="s">
        <v>93</v>
      </c>
      <c r="P264" t="s">
        <v>93</v>
      </c>
      <c r="T264">
        <f t="shared" si="38"/>
        <v>0</v>
      </c>
      <c r="V264" t="s">
        <v>93</v>
      </c>
      <c r="W264" t="s">
        <v>102</v>
      </c>
      <c r="X264">
        <v>298</v>
      </c>
      <c r="Y264" t="s">
        <v>103</v>
      </c>
      <c r="Z264">
        <v>-61.58</v>
      </c>
      <c r="AA264" t="s">
        <v>95</v>
      </c>
      <c r="AB264">
        <f t="shared" si="39"/>
        <v>-221.69973057614425</v>
      </c>
      <c r="AC264" t="s">
        <v>93</v>
      </c>
      <c r="AD264">
        <v>3.07</v>
      </c>
      <c r="AE264" t="s">
        <v>95</v>
      </c>
      <c r="AF264" t="s">
        <v>93</v>
      </c>
      <c r="AH264" t="s">
        <v>93</v>
      </c>
      <c r="AI264" t="s">
        <v>93</v>
      </c>
      <c r="AJ264" t="s">
        <v>93</v>
      </c>
      <c r="AK264" t="s">
        <v>93</v>
      </c>
      <c r="AR264">
        <v>0.4</v>
      </c>
      <c r="AS264">
        <v>0.4</v>
      </c>
      <c r="AZ264">
        <v>0.2</v>
      </c>
      <c r="CR264">
        <f t="shared" si="40"/>
        <v>0</v>
      </c>
      <c r="CS264">
        <f t="shared" si="41"/>
        <v>0</v>
      </c>
      <c r="CT264">
        <f t="shared" si="42"/>
        <v>-221.69973057614425</v>
      </c>
      <c r="CU264" s="7">
        <f t="shared" si="43"/>
        <v>-221.69973057614425</v>
      </c>
      <c r="CV264" s="9">
        <f t="shared" si="45"/>
        <v>277.76308</v>
      </c>
      <c r="CW264" t="str">
        <f t="shared" si="44"/>
        <v>Al2Ni2Pd</v>
      </c>
    </row>
    <row r="265" spans="1:101" ht="15.75" thickBot="1" x14ac:dyDescent="0.3">
      <c r="A265" t="s">
        <v>91</v>
      </c>
      <c r="B265" t="s">
        <v>2423</v>
      </c>
      <c r="C265" t="s">
        <v>3144</v>
      </c>
      <c r="E265" t="s">
        <v>3145</v>
      </c>
      <c r="F265" t="s">
        <v>93</v>
      </c>
      <c r="G265" t="s">
        <v>2424</v>
      </c>
      <c r="H265">
        <v>235.4864</v>
      </c>
      <c r="I265">
        <v>984</v>
      </c>
      <c r="J265">
        <v>0</v>
      </c>
      <c r="K265" t="s">
        <v>95</v>
      </c>
      <c r="L265">
        <v>-49.885902530000003</v>
      </c>
      <c r="M265">
        <f t="shared" si="37"/>
        <v>-211.84196849584521</v>
      </c>
      <c r="N265" t="s">
        <v>95</v>
      </c>
      <c r="O265" t="s">
        <v>2425</v>
      </c>
      <c r="P265" t="s">
        <v>93</v>
      </c>
      <c r="Q265">
        <v>1.9407730000000002E-2</v>
      </c>
      <c r="R265" t="s">
        <v>95</v>
      </c>
      <c r="S265">
        <v>-52.2319782</v>
      </c>
      <c r="T265">
        <f t="shared" si="38"/>
        <v>-221.80464859117129</v>
      </c>
      <c r="U265" t="s">
        <v>95</v>
      </c>
      <c r="V265">
        <v>29293</v>
      </c>
      <c r="W265" t="s">
        <v>184</v>
      </c>
      <c r="X265">
        <v>298</v>
      </c>
      <c r="Y265" t="s">
        <v>185</v>
      </c>
      <c r="Z265">
        <v>-54.2</v>
      </c>
      <c r="AA265" t="s">
        <v>95</v>
      </c>
      <c r="AB265">
        <f t="shared" si="39"/>
        <v>-230.16191168577041</v>
      </c>
      <c r="AC265" t="s">
        <v>93</v>
      </c>
      <c r="AD265">
        <v>2.6</v>
      </c>
      <c r="AE265" t="s">
        <v>95</v>
      </c>
      <c r="AF265" t="s">
        <v>93</v>
      </c>
      <c r="AW265">
        <v>0.5</v>
      </c>
      <c r="BA265">
        <v>0.25</v>
      </c>
      <c r="BY265">
        <v>0.25</v>
      </c>
      <c r="CR265">
        <f t="shared" si="40"/>
        <v>-211.84196849584521</v>
      </c>
      <c r="CS265">
        <f t="shared" si="41"/>
        <v>-221.80464859117129</v>
      </c>
      <c r="CT265">
        <f t="shared" si="42"/>
        <v>-230.16191168577041</v>
      </c>
      <c r="CU265" s="7">
        <f t="shared" si="43"/>
        <v>-221.26950959092895</v>
      </c>
      <c r="CV265" s="9">
        <f t="shared" si="45"/>
        <v>235.4864</v>
      </c>
      <c r="CW265" t="str">
        <f t="shared" si="44"/>
        <v>TiGaCo2</v>
      </c>
    </row>
    <row r="266" spans="1:101" ht="15.75" thickBot="1" x14ac:dyDescent="0.3">
      <c r="A266" t="s">
        <v>91</v>
      </c>
      <c r="B266" t="s">
        <v>166</v>
      </c>
      <c r="C266" t="s">
        <v>3144</v>
      </c>
      <c r="E266" t="s">
        <v>3145</v>
      </c>
      <c r="F266" t="s">
        <v>93</v>
      </c>
      <c r="G266" t="s">
        <v>167</v>
      </c>
      <c r="H266">
        <v>287.25051999999999</v>
      </c>
      <c r="I266">
        <v>22</v>
      </c>
      <c r="J266">
        <v>0</v>
      </c>
      <c r="K266" t="s">
        <v>95</v>
      </c>
      <c r="L266">
        <v>-63.504516639999999</v>
      </c>
      <c r="M266">
        <f t="shared" si="37"/>
        <v>-221.07711637911046</v>
      </c>
      <c r="N266" t="s">
        <v>95</v>
      </c>
      <c r="O266" t="s">
        <v>168</v>
      </c>
      <c r="P266" t="s">
        <v>93</v>
      </c>
      <c r="Q266">
        <v>0</v>
      </c>
      <c r="R266" t="s">
        <v>95</v>
      </c>
      <c r="S266">
        <v>-64.31200887</v>
      </c>
      <c r="T266">
        <f t="shared" si="38"/>
        <v>-223.8882243624833</v>
      </c>
      <c r="U266" t="s">
        <v>95</v>
      </c>
      <c r="V266">
        <v>647439</v>
      </c>
      <c r="W266" t="s">
        <v>169</v>
      </c>
      <c r="X266">
        <v>298</v>
      </c>
      <c r="Y266" t="s">
        <v>170</v>
      </c>
      <c r="Z266">
        <v>-62.8</v>
      </c>
      <c r="AA266" t="s">
        <v>95</v>
      </c>
      <c r="AB266">
        <f t="shared" si="39"/>
        <v>-218.62449544042599</v>
      </c>
      <c r="AC266" t="s">
        <v>93</v>
      </c>
      <c r="AD266">
        <v>2.2999999999999998</v>
      </c>
      <c r="AE266" t="s">
        <v>95</v>
      </c>
      <c r="AF266" t="s">
        <v>93</v>
      </c>
      <c r="AG266">
        <v>0.17</v>
      </c>
      <c r="AR266">
        <v>0.5</v>
      </c>
      <c r="AS266">
        <v>0.33</v>
      </c>
      <c r="CR266">
        <f t="shared" si="40"/>
        <v>-221.07711637911046</v>
      </c>
      <c r="CS266">
        <f t="shared" si="41"/>
        <v>-223.8882243624833</v>
      </c>
      <c r="CT266">
        <f t="shared" si="42"/>
        <v>-218.62449544042599</v>
      </c>
      <c r="CU266" s="7">
        <f t="shared" si="43"/>
        <v>-221.19661206067326</v>
      </c>
      <c r="CV266" s="9">
        <f t="shared" si="45"/>
        <v>287.25051999999999</v>
      </c>
      <c r="CW266" t="str">
        <f t="shared" si="44"/>
        <v>YAl3Ni2</v>
      </c>
    </row>
    <row r="267" spans="1:101" ht="15.75" thickBot="1" x14ac:dyDescent="0.3">
      <c r="A267" t="s">
        <v>91</v>
      </c>
      <c r="B267" t="s">
        <v>2429</v>
      </c>
      <c r="C267" t="s">
        <v>3144</v>
      </c>
      <c r="E267" t="s">
        <v>3145</v>
      </c>
      <c r="F267" t="s">
        <v>93</v>
      </c>
      <c r="G267" t="s">
        <v>2430</v>
      </c>
      <c r="H267">
        <v>238.35640000000001</v>
      </c>
      <c r="I267">
        <v>986</v>
      </c>
      <c r="J267">
        <v>0</v>
      </c>
      <c r="K267" t="s">
        <v>95</v>
      </c>
      <c r="L267">
        <v>-47.875352169999999</v>
      </c>
      <c r="M267">
        <f t="shared" si="37"/>
        <v>-200.85616400482638</v>
      </c>
      <c r="N267" t="s">
        <v>95</v>
      </c>
      <c r="O267" t="s">
        <v>2431</v>
      </c>
      <c r="P267" t="s">
        <v>93</v>
      </c>
      <c r="Q267">
        <v>6.3223050000000003E-2</v>
      </c>
      <c r="R267" t="s">
        <v>95</v>
      </c>
      <c r="S267">
        <v>-50.309975399999999</v>
      </c>
      <c r="T267">
        <f t="shared" si="38"/>
        <v>-211.07037780399435</v>
      </c>
      <c r="U267" t="s">
        <v>95</v>
      </c>
      <c r="V267">
        <v>647063</v>
      </c>
      <c r="W267" t="s">
        <v>184</v>
      </c>
      <c r="X267">
        <v>298</v>
      </c>
      <c r="Y267" t="s">
        <v>185</v>
      </c>
      <c r="Z267">
        <v>-59.3</v>
      </c>
      <c r="AA267" t="s">
        <v>95</v>
      </c>
      <c r="AB267">
        <f t="shared" si="39"/>
        <v>-248.78711039435063</v>
      </c>
      <c r="AC267" t="s">
        <v>93</v>
      </c>
      <c r="AD267">
        <v>3.8</v>
      </c>
      <c r="AE267" t="s">
        <v>95</v>
      </c>
      <c r="AF267" t="s">
        <v>93</v>
      </c>
      <c r="AW267">
        <v>0.5</v>
      </c>
      <c r="BA267">
        <v>0.25</v>
      </c>
      <c r="CA267">
        <v>0.25</v>
      </c>
      <c r="CR267">
        <f t="shared" si="40"/>
        <v>-200.85616400482638</v>
      </c>
      <c r="CS267">
        <f t="shared" si="41"/>
        <v>-211.07037780399435</v>
      </c>
      <c r="CT267">
        <f t="shared" si="42"/>
        <v>-248.78711039435063</v>
      </c>
      <c r="CU267" s="7">
        <f t="shared" si="43"/>
        <v>-220.2378840677238</v>
      </c>
      <c r="CV267" s="9">
        <f t="shared" si="45"/>
        <v>238.35640000000001</v>
      </c>
      <c r="CW267" t="str">
        <f t="shared" si="44"/>
        <v>TiCo2Ge</v>
      </c>
    </row>
    <row r="268" spans="1:101" ht="15.75" thickBot="1" x14ac:dyDescent="0.3">
      <c r="A268" t="s">
        <v>91</v>
      </c>
      <c r="B268" t="s">
        <v>373</v>
      </c>
      <c r="C268" t="s">
        <v>3144</v>
      </c>
      <c r="E268" t="s">
        <v>3145</v>
      </c>
      <c r="F268" t="s">
        <v>93</v>
      </c>
      <c r="G268" t="s">
        <v>374</v>
      </c>
      <c r="H268">
        <v>337.87419999999997</v>
      </c>
      <c r="I268">
        <v>156</v>
      </c>
      <c r="M268">
        <f t="shared" si="37"/>
        <v>0</v>
      </c>
      <c r="O268" t="s">
        <v>93</v>
      </c>
      <c r="P268" t="s">
        <v>93</v>
      </c>
      <c r="Q268">
        <v>0</v>
      </c>
      <c r="R268" t="s">
        <v>95</v>
      </c>
      <c r="S268">
        <v>-76.608699889999997</v>
      </c>
      <c r="T268">
        <f t="shared" si="38"/>
        <v>-226.73734748021602</v>
      </c>
      <c r="U268" t="s">
        <v>95</v>
      </c>
      <c r="V268">
        <v>28204</v>
      </c>
      <c r="W268" t="s">
        <v>358</v>
      </c>
      <c r="X268">
        <v>298</v>
      </c>
      <c r="Y268" t="s">
        <v>359</v>
      </c>
      <c r="Z268">
        <v>-72.2</v>
      </c>
      <c r="AA268" t="s">
        <v>95</v>
      </c>
      <c r="AB268">
        <f t="shared" si="39"/>
        <v>-213.68900022552774</v>
      </c>
      <c r="AC268" t="s">
        <v>93</v>
      </c>
      <c r="AD268">
        <v>4.4000000000000004</v>
      </c>
      <c r="AE268" t="s">
        <v>95</v>
      </c>
      <c r="AF268" t="s">
        <v>93</v>
      </c>
      <c r="AH268" t="s">
        <v>93</v>
      </c>
      <c r="AI268" t="s">
        <v>93</v>
      </c>
      <c r="AN268">
        <v>0.5</v>
      </c>
      <c r="BC268">
        <v>0.5</v>
      </c>
      <c r="CR268">
        <f t="shared" si="40"/>
        <v>0</v>
      </c>
      <c r="CS268">
        <f t="shared" si="41"/>
        <v>-226.73734748021602</v>
      </c>
      <c r="CT268">
        <f t="shared" si="42"/>
        <v>-213.68900022552774</v>
      </c>
      <c r="CU268" s="7">
        <f t="shared" si="43"/>
        <v>-220.21317385287188</v>
      </c>
      <c r="CV268" s="9">
        <f t="shared" si="45"/>
        <v>337.87419999999997</v>
      </c>
      <c r="CW268" t="str">
        <f t="shared" si="44"/>
        <v>PrAu</v>
      </c>
    </row>
    <row r="269" spans="1:101" ht="15.75" thickBot="1" x14ac:dyDescent="0.3">
      <c r="A269" t="s">
        <v>484</v>
      </c>
      <c r="B269" t="s">
        <v>647</v>
      </c>
      <c r="C269" t="s">
        <v>3138</v>
      </c>
      <c r="D269" t="s">
        <v>3139</v>
      </c>
      <c r="F269" t="s">
        <v>3140</v>
      </c>
      <c r="G269" t="s">
        <v>648</v>
      </c>
      <c r="H269">
        <v>284.89</v>
      </c>
      <c r="I269">
        <v>263</v>
      </c>
      <c r="J269">
        <v>6.8519443000000004</v>
      </c>
      <c r="K269" t="s">
        <v>95</v>
      </c>
      <c r="L269">
        <v>-59.831949289999997</v>
      </c>
      <c r="M269">
        <f t="shared" si="37"/>
        <v>-210.01772364772367</v>
      </c>
      <c r="N269" t="s">
        <v>95</v>
      </c>
      <c r="O269" t="s">
        <v>649</v>
      </c>
      <c r="P269" t="s">
        <v>93</v>
      </c>
      <c r="Q269">
        <v>3.8684080000000001</v>
      </c>
      <c r="R269" t="s">
        <v>95</v>
      </c>
      <c r="S269">
        <v>-60.724246309999998</v>
      </c>
      <c r="T269">
        <f t="shared" si="38"/>
        <v>-213.14979925585314</v>
      </c>
      <c r="U269" t="s">
        <v>95</v>
      </c>
      <c r="V269">
        <v>307534</v>
      </c>
      <c r="W269" t="s">
        <v>102</v>
      </c>
      <c r="X269">
        <v>298</v>
      </c>
      <c r="Y269" t="s">
        <v>103</v>
      </c>
      <c r="Z269">
        <v>-67.400000000000006</v>
      </c>
      <c r="AA269" t="s">
        <v>95</v>
      </c>
      <c r="AB269">
        <f t="shared" si="39"/>
        <v>-236.58254062971676</v>
      </c>
      <c r="AC269" t="s">
        <v>93</v>
      </c>
      <c r="AD269">
        <v>3.9</v>
      </c>
      <c r="AE269" t="s">
        <v>95</v>
      </c>
      <c r="AF269" t="s">
        <v>93</v>
      </c>
      <c r="AQ269">
        <v>0.5</v>
      </c>
      <c r="AZ269">
        <v>0.5</v>
      </c>
      <c r="CR269">
        <f t="shared" si="40"/>
        <v>-210.01772364772367</v>
      </c>
      <c r="CS269">
        <f t="shared" si="41"/>
        <v>-213.14979925585314</v>
      </c>
      <c r="CT269">
        <f t="shared" si="42"/>
        <v>-236.58254062971676</v>
      </c>
      <c r="CU269" s="7">
        <f t="shared" si="43"/>
        <v>-219.91668784443118</v>
      </c>
      <c r="CV269" s="9">
        <f t="shared" si="45"/>
        <v>284.89</v>
      </c>
      <c r="CW269" t="str">
        <f t="shared" si="44"/>
        <v>HfPd</v>
      </c>
    </row>
    <row r="270" spans="1:101" ht="15.75" thickBot="1" x14ac:dyDescent="0.3">
      <c r="A270" t="s">
        <v>91</v>
      </c>
      <c r="B270" t="s">
        <v>1875</v>
      </c>
      <c r="C270" t="s">
        <v>3144</v>
      </c>
      <c r="E270" t="s">
        <v>3145</v>
      </c>
      <c r="F270" t="s">
        <v>93</v>
      </c>
      <c r="G270" t="s">
        <v>1876</v>
      </c>
      <c r="H270">
        <v>347.36649999999997</v>
      </c>
      <c r="I270">
        <v>716</v>
      </c>
      <c r="M270">
        <f t="shared" si="37"/>
        <v>0</v>
      </c>
      <c r="O270" t="s">
        <v>93</v>
      </c>
      <c r="P270" t="s">
        <v>1821</v>
      </c>
      <c r="T270">
        <f t="shared" si="38"/>
        <v>0</v>
      </c>
      <c r="V270" t="s">
        <v>93</v>
      </c>
      <c r="W270" t="s">
        <v>93</v>
      </c>
      <c r="X270">
        <v>298</v>
      </c>
      <c r="Y270" t="s">
        <v>93</v>
      </c>
      <c r="Z270">
        <v>-76.3</v>
      </c>
      <c r="AA270" t="s">
        <v>95</v>
      </c>
      <c r="AB270">
        <f t="shared" si="39"/>
        <v>-219.65272989767294</v>
      </c>
      <c r="AC270" t="s">
        <v>93</v>
      </c>
      <c r="AD270">
        <v>2</v>
      </c>
      <c r="AE270" t="s">
        <v>95</v>
      </c>
      <c r="AF270" t="s">
        <v>93</v>
      </c>
      <c r="AH270" t="s">
        <v>93</v>
      </c>
      <c r="AI270" t="s">
        <v>93</v>
      </c>
      <c r="AJ270" t="s">
        <v>93</v>
      </c>
      <c r="AK270" t="s">
        <v>93</v>
      </c>
      <c r="BC270">
        <v>0.5</v>
      </c>
      <c r="BN270">
        <v>0.5</v>
      </c>
      <c r="CR270">
        <f t="shared" si="40"/>
        <v>0</v>
      </c>
      <c r="CS270">
        <f t="shared" si="41"/>
        <v>0</v>
      </c>
      <c r="CT270">
        <f t="shared" si="42"/>
        <v>-219.65272989767294</v>
      </c>
      <c r="CU270" s="7">
        <f t="shared" si="43"/>
        <v>-219.65272989767294</v>
      </c>
      <c r="CV270" s="9">
        <f t="shared" si="45"/>
        <v>347.36649999999997</v>
      </c>
      <c r="CW270" t="str">
        <f t="shared" si="44"/>
        <v>SmAu</v>
      </c>
    </row>
    <row r="271" spans="1:101" ht="15.75" thickBot="1" x14ac:dyDescent="0.3">
      <c r="A271" t="s">
        <v>91</v>
      </c>
      <c r="B271" t="s">
        <v>380</v>
      </c>
      <c r="C271" t="s">
        <v>3144</v>
      </c>
      <c r="E271" t="s">
        <v>3145</v>
      </c>
      <c r="F271" t="s">
        <v>93</v>
      </c>
      <c r="G271" t="s">
        <v>381</v>
      </c>
      <c r="H271">
        <v>341.20650000000001</v>
      </c>
      <c r="I271">
        <v>159</v>
      </c>
      <c r="M271">
        <f t="shared" si="37"/>
        <v>0</v>
      </c>
      <c r="O271" t="s">
        <v>93</v>
      </c>
      <c r="P271" t="s">
        <v>93</v>
      </c>
      <c r="Q271">
        <v>8.9851159999999999E-2</v>
      </c>
      <c r="R271" t="s">
        <v>95</v>
      </c>
      <c r="S271">
        <v>-78.016430740000004</v>
      </c>
      <c r="T271">
        <f t="shared" si="38"/>
        <v>-228.64872369078549</v>
      </c>
      <c r="U271" t="s">
        <v>95</v>
      </c>
      <c r="V271">
        <v>28192</v>
      </c>
      <c r="W271" t="s">
        <v>358</v>
      </c>
      <c r="X271">
        <v>298</v>
      </c>
      <c r="Y271" t="s">
        <v>359</v>
      </c>
      <c r="Z271">
        <v>-70.2</v>
      </c>
      <c r="AA271" t="s">
        <v>95</v>
      </c>
      <c r="AB271">
        <f t="shared" si="39"/>
        <v>-205.74051197735096</v>
      </c>
      <c r="AC271" t="s">
        <v>93</v>
      </c>
      <c r="AD271">
        <v>3.7</v>
      </c>
      <c r="AE271" t="s">
        <v>95</v>
      </c>
      <c r="AF271" t="s">
        <v>93</v>
      </c>
      <c r="AH271" t="s">
        <v>93</v>
      </c>
      <c r="AI271" t="s">
        <v>93</v>
      </c>
      <c r="AO271">
        <v>0.5</v>
      </c>
      <c r="BC271">
        <v>0.5</v>
      </c>
      <c r="CR271">
        <f t="shared" si="40"/>
        <v>0</v>
      </c>
      <c r="CS271">
        <f t="shared" si="41"/>
        <v>-228.64872369078549</v>
      </c>
      <c r="CT271">
        <f t="shared" si="42"/>
        <v>-205.74051197735096</v>
      </c>
      <c r="CU271" s="7">
        <f t="shared" si="43"/>
        <v>-217.19461783406823</v>
      </c>
      <c r="CV271" s="9">
        <f t="shared" si="45"/>
        <v>341.20650000000001</v>
      </c>
      <c r="CW271" t="str">
        <f t="shared" si="44"/>
        <v>NdAu</v>
      </c>
    </row>
    <row r="272" spans="1:101" ht="15.75" thickBot="1" x14ac:dyDescent="0.3">
      <c r="A272" t="s">
        <v>484</v>
      </c>
      <c r="B272" t="s">
        <v>2305</v>
      </c>
      <c r="C272" t="s">
        <v>3138</v>
      </c>
      <c r="D272" t="s">
        <v>3139</v>
      </c>
      <c r="F272" t="s">
        <v>3140</v>
      </c>
      <c r="G272" t="s">
        <v>2306</v>
      </c>
      <c r="H272">
        <v>184.23154</v>
      </c>
      <c r="I272">
        <v>922</v>
      </c>
      <c r="M272">
        <f t="shared" si="37"/>
        <v>0</v>
      </c>
      <c r="O272" t="s">
        <v>93</v>
      </c>
      <c r="P272" t="s">
        <v>93</v>
      </c>
      <c r="T272">
        <f t="shared" si="38"/>
        <v>0</v>
      </c>
      <c r="V272" t="s">
        <v>93</v>
      </c>
      <c r="W272" t="s">
        <v>151</v>
      </c>
      <c r="X272">
        <v>298</v>
      </c>
      <c r="Y272" t="s">
        <v>147</v>
      </c>
      <c r="Z272">
        <v>-39.4</v>
      </c>
      <c r="AA272" t="s">
        <v>95</v>
      </c>
      <c r="AB272">
        <f t="shared" si="39"/>
        <v>-213.86131820859771</v>
      </c>
      <c r="AC272" t="s">
        <v>93</v>
      </c>
      <c r="AD272">
        <v>3</v>
      </c>
      <c r="AE272" t="s">
        <v>95</v>
      </c>
      <c r="AF272" t="s">
        <v>93</v>
      </c>
      <c r="AH272" t="s">
        <v>93</v>
      </c>
      <c r="AI272" t="s">
        <v>93</v>
      </c>
      <c r="AJ272" t="s">
        <v>93</v>
      </c>
      <c r="AK272" t="s">
        <v>93</v>
      </c>
      <c r="AR272">
        <v>0.5</v>
      </c>
      <c r="BI272">
        <v>0.5</v>
      </c>
      <c r="CR272">
        <f t="shared" si="40"/>
        <v>0</v>
      </c>
      <c r="CS272">
        <f t="shared" si="41"/>
        <v>0</v>
      </c>
      <c r="CT272">
        <f t="shared" si="42"/>
        <v>-213.86131820859771</v>
      </c>
      <c r="CU272" s="7">
        <f t="shared" si="43"/>
        <v>-213.86131820859771</v>
      </c>
      <c r="CV272" s="9">
        <f t="shared" si="45"/>
        <v>184.23154</v>
      </c>
      <c r="CW272" t="str">
        <f t="shared" si="44"/>
        <v>AlGd</v>
      </c>
    </row>
    <row r="273" spans="1:101" ht="15.75" thickBot="1" x14ac:dyDescent="0.3">
      <c r="A273" t="s">
        <v>91</v>
      </c>
      <c r="B273" t="s">
        <v>1247</v>
      </c>
      <c r="C273" t="s">
        <v>3144</v>
      </c>
      <c r="E273" t="s">
        <v>3145</v>
      </c>
      <c r="F273" t="s">
        <v>93</v>
      </c>
      <c r="G273" t="s">
        <v>1248</v>
      </c>
      <c r="H273">
        <v>180.5454</v>
      </c>
      <c r="I273">
        <v>488</v>
      </c>
      <c r="J273">
        <v>0</v>
      </c>
      <c r="K273" t="s">
        <v>95</v>
      </c>
      <c r="L273">
        <v>-51.23619549</v>
      </c>
      <c r="M273">
        <f t="shared" si="37"/>
        <v>-283.78565995035041</v>
      </c>
      <c r="N273" t="s">
        <v>95</v>
      </c>
      <c r="O273" t="s">
        <v>1249</v>
      </c>
      <c r="P273" t="s">
        <v>93</v>
      </c>
      <c r="Q273">
        <v>0</v>
      </c>
      <c r="R273" t="s">
        <v>95</v>
      </c>
      <c r="S273">
        <v>-29.726515769999999</v>
      </c>
      <c r="T273">
        <f t="shared" si="38"/>
        <v>-164.64842510526435</v>
      </c>
      <c r="U273" t="s">
        <v>95</v>
      </c>
      <c r="V273">
        <v>8471</v>
      </c>
      <c r="W273" t="s">
        <v>510</v>
      </c>
      <c r="X273">
        <v>298</v>
      </c>
      <c r="Y273" t="s">
        <v>170</v>
      </c>
      <c r="Z273">
        <v>-34.200000000000003</v>
      </c>
      <c r="AA273" t="s">
        <v>95</v>
      </c>
      <c r="AB273">
        <f t="shared" si="39"/>
        <v>-189.42603910152238</v>
      </c>
      <c r="AC273" t="s">
        <v>93</v>
      </c>
      <c r="AD273">
        <v>1.8</v>
      </c>
      <c r="AE273" t="s">
        <v>95</v>
      </c>
      <c r="AF273" t="s">
        <v>93</v>
      </c>
      <c r="BK273">
        <v>0.33</v>
      </c>
      <c r="BQ273">
        <v>0.66</v>
      </c>
      <c r="CR273">
        <f t="shared" si="40"/>
        <v>-283.78565995035041</v>
      </c>
      <c r="CS273">
        <f t="shared" si="41"/>
        <v>-164.64842510526435</v>
      </c>
      <c r="CT273">
        <f t="shared" si="42"/>
        <v>-189.42603910152238</v>
      </c>
      <c r="CU273" s="7">
        <f t="shared" si="43"/>
        <v>-212.6200413857124</v>
      </c>
      <c r="CV273" s="9">
        <f t="shared" si="45"/>
        <v>180.5454</v>
      </c>
      <c r="CW273" t="str">
        <f t="shared" si="44"/>
        <v>TbB2</v>
      </c>
    </row>
    <row r="274" spans="1:101" ht="15.75" thickBot="1" x14ac:dyDescent="0.3">
      <c r="A274" t="s">
        <v>91</v>
      </c>
      <c r="B274" t="s">
        <v>1139</v>
      </c>
      <c r="C274" t="s">
        <v>3144</v>
      </c>
      <c r="E274" t="s">
        <v>3145</v>
      </c>
      <c r="F274" t="s">
        <v>93</v>
      </c>
      <c r="G274" t="s">
        <v>1140</v>
      </c>
      <c r="H274">
        <v>228.93008</v>
      </c>
      <c r="I274">
        <v>450</v>
      </c>
      <c r="J274">
        <v>0</v>
      </c>
      <c r="K274" t="s">
        <v>95</v>
      </c>
      <c r="L274">
        <v>-46.685601589999997</v>
      </c>
      <c r="M274">
        <f t="shared" si="37"/>
        <v>-203.92952114462196</v>
      </c>
      <c r="N274" t="s">
        <v>95</v>
      </c>
      <c r="O274" t="s">
        <v>1141</v>
      </c>
      <c r="P274" t="s">
        <v>93</v>
      </c>
      <c r="Q274">
        <v>0</v>
      </c>
      <c r="R274" t="s">
        <v>95</v>
      </c>
      <c r="S274">
        <v>-46.738244639999998</v>
      </c>
      <c r="T274">
        <f t="shared" si="38"/>
        <v>-204.15947366986461</v>
      </c>
      <c r="U274" t="s">
        <v>95</v>
      </c>
      <c r="V274">
        <v>10492</v>
      </c>
      <c r="W274" t="s">
        <v>159</v>
      </c>
      <c r="X274">
        <v>298</v>
      </c>
      <c r="Y274" t="s">
        <v>160</v>
      </c>
      <c r="Z274">
        <v>-52.6</v>
      </c>
      <c r="AA274" t="s">
        <v>95</v>
      </c>
      <c r="AB274">
        <f t="shared" si="39"/>
        <v>-229.76447655982997</v>
      </c>
      <c r="AC274" t="s">
        <v>93</v>
      </c>
      <c r="AD274">
        <v>3</v>
      </c>
      <c r="AE274" t="s">
        <v>95</v>
      </c>
      <c r="AF274" t="s">
        <v>93</v>
      </c>
      <c r="AR274">
        <v>0.66</v>
      </c>
      <c r="BL274">
        <v>0.33</v>
      </c>
      <c r="CR274">
        <f t="shared" si="40"/>
        <v>-203.92952114462196</v>
      </c>
      <c r="CS274">
        <f t="shared" si="41"/>
        <v>-204.15947366986461</v>
      </c>
      <c r="CT274">
        <f t="shared" si="42"/>
        <v>-229.76447655982997</v>
      </c>
      <c r="CU274" s="7">
        <f t="shared" si="43"/>
        <v>-212.61782379143884</v>
      </c>
      <c r="CV274" s="9">
        <f t="shared" si="45"/>
        <v>228.93008</v>
      </c>
      <c r="CW274" t="str">
        <f t="shared" si="44"/>
        <v>LuAl2</v>
      </c>
    </row>
    <row r="275" spans="1:101" ht="15.75" thickBot="1" x14ac:dyDescent="0.3">
      <c r="A275" t="s">
        <v>91</v>
      </c>
      <c r="B275" t="s">
        <v>1580</v>
      </c>
      <c r="C275" t="s">
        <v>3144</v>
      </c>
      <c r="E275" t="s">
        <v>3145</v>
      </c>
      <c r="F275" t="s">
        <v>93</v>
      </c>
      <c r="G275" t="s">
        <v>1581</v>
      </c>
      <c r="H275">
        <v>286.3965</v>
      </c>
      <c r="I275">
        <v>607</v>
      </c>
      <c r="J275">
        <v>0</v>
      </c>
      <c r="K275" t="s">
        <v>95</v>
      </c>
      <c r="L275">
        <v>-61.494419960000002</v>
      </c>
      <c r="M275">
        <f t="shared" si="37"/>
        <v>-214.71777748680589</v>
      </c>
      <c r="N275" t="s">
        <v>95</v>
      </c>
      <c r="O275" t="s">
        <v>1582</v>
      </c>
      <c r="P275" t="s">
        <v>93</v>
      </c>
      <c r="Q275">
        <v>0</v>
      </c>
      <c r="R275" t="s">
        <v>95</v>
      </c>
      <c r="S275">
        <v>-60.271375769999999</v>
      </c>
      <c r="T275">
        <f t="shared" si="38"/>
        <v>-210.44731960760691</v>
      </c>
      <c r="U275" t="s">
        <v>95</v>
      </c>
      <c r="V275">
        <v>2149</v>
      </c>
      <c r="W275" t="s">
        <v>1546</v>
      </c>
      <c r="X275">
        <v>298</v>
      </c>
      <c r="Y275" t="s">
        <v>1303</v>
      </c>
      <c r="Z275">
        <v>-60.7</v>
      </c>
      <c r="AA275" t="s">
        <v>95</v>
      </c>
      <c r="AB275">
        <f t="shared" si="39"/>
        <v>-211.94393087904356</v>
      </c>
      <c r="AC275" t="s">
        <v>93</v>
      </c>
      <c r="AD275">
        <v>1.7</v>
      </c>
      <c r="AE275" t="s">
        <v>95</v>
      </c>
      <c r="AF275" t="s">
        <v>93</v>
      </c>
      <c r="AV275">
        <v>0.4</v>
      </c>
      <c r="BX275">
        <v>0.6</v>
      </c>
      <c r="CR275">
        <f t="shared" si="40"/>
        <v>-214.71777748680589</v>
      </c>
      <c r="CS275">
        <f t="shared" si="41"/>
        <v>-210.44731960760691</v>
      </c>
      <c r="CT275">
        <f t="shared" si="42"/>
        <v>-211.94393087904356</v>
      </c>
      <c r="CU275" s="7">
        <f t="shared" si="43"/>
        <v>-212.36967599115212</v>
      </c>
      <c r="CV275" s="9">
        <f t="shared" si="45"/>
        <v>286.3965</v>
      </c>
      <c r="CW275" t="str">
        <f t="shared" si="44"/>
        <v>Si3Ru2</v>
      </c>
    </row>
    <row r="276" spans="1:101" ht="15.75" thickBot="1" x14ac:dyDescent="0.3">
      <c r="A276" t="s">
        <v>91</v>
      </c>
      <c r="B276" t="s">
        <v>2411</v>
      </c>
      <c r="C276" t="s">
        <v>3144</v>
      </c>
      <c r="E276" t="s">
        <v>3145</v>
      </c>
      <c r="F276" t="s">
        <v>93</v>
      </c>
      <c r="G276" t="s">
        <v>2412</v>
      </c>
      <c r="H276">
        <v>200.88989999999899</v>
      </c>
      <c r="I276">
        <v>980</v>
      </c>
      <c r="J276">
        <v>0</v>
      </c>
      <c r="K276" t="s">
        <v>95</v>
      </c>
      <c r="L276">
        <v>-42.009747859999997</v>
      </c>
      <c r="M276">
        <f t="shared" si="37"/>
        <v>-209.11826756845522</v>
      </c>
      <c r="N276" t="s">
        <v>95</v>
      </c>
      <c r="O276" t="s">
        <v>2413</v>
      </c>
      <c r="P276" t="s">
        <v>93</v>
      </c>
      <c r="Q276">
        <v>0</v>
      </c>
      <c r="R276" t="s">
        <v>95</v>
      </c>
      <c r="S276">
        <v>-43.341682560000002</v>
      </c>
      <c r="T276">
        <f t="shared" si="38"/>
        <v>-215.74844011570627</v>
      </c>
      <c r="U276" t="s">
        <v>95</v>
      </c>
      <c r="V276">
        <v>647071</v>
      </c>
      <c r="W276" t="s">
        <v>184</v>
      </c>
      <c r="X276">
        <v>298</v>
      </c>
      <c r="Y276" t="s">
        <v>185</v>
      </c>
      <c r="Z276">
        <v>-42.4</v>
      </c>
      <c r="AA276" t="s">
        <v>95</v>
      </c>
      <c r="AB276">
        <f t="shared" si="39"/>
        <v>-211.06088459400007</v>
      </c>
      <c r="AC276" t="s">
        <v>93</v>
      </c>
      <c r="AD276">
        <v>1.2</v>
      </c>
      <c r="AE276" t="s">
        <v>95</v>
      </c>
      <c r="AF276" t="s">
        <v>93</v>
      </c>
      <c r="AW276">
        <v>0.5</v>
      </c>
      <c r="BR276">
        <v>0.25</v>
      </c>
      <c r="BX276">
        <v>0.25</v>
      </c>
      <c r="CR276">
        <f t="shared" si="40"/>
        <v>-209.11826756845522</v>
      </c>
      <c r="CS276">
        <f t="shared" si="41"/>
        <v>-215.74844011570627</v>
      </c>
      <c r="CT276">
        <f t="shared" si="42"/>
        <v>-211.06088459400007</v>
      </c>
      <c r="CU276" s="7">
        <f t="shared" si="43"/>
        <v>-211.97586409272051</v>
      </c>
      <c r="CV276" s="9">
        <f t="shared" si="45"/>
        <v>200.88989999999899</v>
      </c>
      <c r="CW276" t="str">
        <f t="shared" si="44"/>
        <v>MnCo2Si</v>
      </c>
    </row>
    <row r="277" spans="1:101" ht="15.75" thickBot="1" x14ac:dyDescent="0.3">
      <c r="A277" t="s">
        <v>91</v>
      </c>
      <c r="B277" t="s">
        <v>647</v>
      </c>
      <c r="C277" t="s">
        <v>3144</v>
      </c>
      <c r="E277" t="s">
        <v>3145</v>
      </c>
      <c r="G277" t="s">
        <v>648</v>
      </c>
      <c r="H277">
        <v>284.89</v>
      </c>
      <c r="I277">
        <v>795</v>
      </c>
      <c r="J277">
        <v>6.8519443000000004</v>
      </c>
      <c r="K277" t="s">
        <v>95</v>
      </c>
      <c r="L277">
        <v>-59.831949289999997</v>
      </c>
      <c r="M277">
        <f t="shared" si="37"/>
        <v>-210.01772364772367</v>
      </c>
      <c r="N277" t="s">
        <v>95</v>
      </c>
      <c r="O277" t="s">
        <v>649</v>
      </c>
      <c r="P277" t="s">
        <v>93</v>
      </c>
      <c r="Q277">
        <v>3.8684080000000001</v>
      </c>
      <c r="R277" t="s">
        <v>95</v>
      </c>
      <c r="S277">
        <v>-60.724246309999998</v>
      </c>
      <c r="T277">
        <f t="shared" si="38"/>
        <v>-213.14979925585314</v>
      </c>
      <c r="U277" t="s">
        <v>95</v>
      </c>
      <c r="V277">
        <v>307534</v>
      </c>
      <c r="W277" t="s">
        <v>102</v>
      </c>
      <c r="X277">
        <v>1623</v>
      </c>
      <c r="Y277" t="s">
        <v>103</v>
      </c>
      <c r="AB277">
        <f t="shared" si="39"/>
        <v>0</v>
      </c>
      <c r="AC277" t="s">
        <v>93</v>
      </c>
      <c r="AD277">
        <v>2.5</v>
      </c>
      <c r="AE277" t="s">
        <v>95</v>
      </c>
      <c r="AF277" t="s">
        <v>93</v>
      </c>
      <c r="AQ277">
        <v>0.5</v>
      </c>
      <c r="AZ277">
        <v>0.5</v>
      </c>
      <c r="CG277">
        <v>-65.599999999999994</v>
      </c>
      <c r="CH277" t="s">
        <v>95</v>
      </c>
      <c r="CI277" t="s">
        <v>93</v>
      </c>
      <c r="CR277">
        <f t="shared" si="40"/>
        <v>-210.01772364772367</v>
      </c>
      <c r="CS277">
        <f t="shared" si="41"/>
        <v>-213.14979925585314</v>
      </c>
      <c r="CT277">
        <f t="shared" si="42"/>
        <v>0</v>
      </c>
      <c r="CU277" s="7">
        <f t="shared" si="43"/>
        <v>-211.5837614517884</v>
      </c>
      <c r="CV277" s="9">
        <f t="shared" si="45"/>
        <v>284.89</v>
      </c>
      <c r="CW277" t="str">
        <f t="shared" si="44"/>
        <v>HfPd</v>
      </c>
    </row>
    <row r="278" spans="1:101" ht="15.75" thickBot="1" x14ac:dyDescent="0.3">
      <c r="A278" t="s">
        <v>91</v>
      </c>
      <c r="B278" t="s">
        <v>634</v>
      </c>
      <c r="C278" t="s">
        <v>3144</v>
      </c>
      <c r="E278" t="s">
        <v>3145</v>
      </c>
      <c r="G278" t="s">
        <v>635</v>
      </c>
      <c r="H278">
        <v>237.19</v>
      </c>
      <c r="I278">
        <v>784</v>
      </c>
      <c r="J278">
        <v>0</v>
      </c>
      <c r="K278" t="s">
        <v>95</v>
      </c>
      <c r="L278">
        <v>-50.117262410000002</v>
      </c>
      <c r="M278">
        <f t="shared" si="37"/>
        <v>-211.29584893966862</v>
      </c>
      <c r="N278" t="s">
        <v>95</v>
      </c>
      <c r="O278" t="s">
        <v>636</v>
      </c>
      <c r="P278" t="s">
        <v>93</v>
      </c>
      <c r="Q278">
        <v>0</v>
      </c>
      <c r="R278" t="s">
        <v>95</v>
      </c>
      <c r="S278">
        <v>-50.07883666</v>
      </c>
      <c r="T278">
        <f t="shared" si="38"/>
        <v>-211.13384485012014</v>
      </c>
      <c r="U278" t="s">
        <v>95</v>
      </c>
      <c r="V278">
        <v>30515</v>
      </c>
      <c r="W278" t="s">
        <v>430</v>
      </c>
      <c r="X278">
        <v>1573</v>
      </c>
      <c r="Y278" t="s">
        <v>147</v>
      </c>
      <c r="AB278">
        <f t="shared" si="39"/>
        <v>0</v>
      </c>
      <c r="AC278" t="s">
        <v>93</v>
      </c>
      <c r="AD278">
        <v>1.8</v>
      </c>
      <c r="AE278" t="s">
        <v>95</v>
      </c>
      <c r="AF278" t="s">
        <v>93</v>
      </c>
      <c r="AQ278">
        <v>0.5</v>
      </c>
      <c r="AS278">
        <v>0.5</v>
      </c>
      <c r="CG278">
        <v>-47.9</v>
      </c>
      <c r="CH278" t="s">
        <v>95</v>
      </c>
      <c r="CI278" t="s">
        <v>93</v>
      </c>
      <c r="CR278">
        <f t="shared" si="40"/>
        <v>-211.29584893966862</v>
      </c>
      <c r="CS278">
        <f t="shared" si="41"/>
        <v>-211.13384485012014</v>
      </c>
      <c r="CT278">
        <f t="shared" si="42"/>
        <v>0</v>
      </c>
      <c r="CU278" s="7">
        <f t="shared" si="43"/>
        <v>-211.21484689489438</v>
      </c>
      <c r="CV278" s="9">
        <f t="shared" si="45"/>
        <v>237.19</v>
      </c>
      <c r="CW278" t="str">
        <f t="shared" si="44"/>
        <v>HfNi</v>
      </c>
    </row>
    <row r="279" spans="1:101" ht="15.75" thickBot="1" x14ac:dyDescent="0.3">
      <c r="A279" t="s">
        <v>91</v>
      </c>
      <c r="B279" t="s">
        <v>2840</v>
      </c>
      <c r="C279" t="s">
        <v>3144</v>
      </c>
      <c r="E279" t="s">
        <v>3145</v>
      </c>
      <c r="F279" t="s">
        <v>93</v>
      </c>
      <c r="G279" t="s">
        <v>2841</v>
      </c>
      <c r="H279">
        <v>235.02</v>
      </c>
      <c r="I279">
        <v>1164</v>
      </c>
      <c r="J279">
        <v>0</v>
      </c>
      <c r="K279" t="s">
        <v>95</v>
      </c>
      <c r="L279">
        <v>-52.078357969999999</v>
      </c>
      <c r="M279">
        <f t="shared" si="37"/>
        <v>-221.59117509148155</v>
      </c>
      <c r="N279" t="s">
        <v>95</v>
      </c>
      <c r="O279" t="s">
        <v>2842</v>
      </c>
      <c r="P279" t="s">
        <v>93</v>
      </c>
      <c r="Q279">
        <v>1.0671659999999999E-2</v>
      </c>
      <c r="R279" t="s">
        <v>95</v>
      </c>
      <c r="S279">
        <v>-54.163505839999999</v>
      </c>
      <c r="T279">
        <f t="shared" si="38"/>
        <v>-230.46338966896431</v>
      </c>
      <c r="U279" t="s">
        <v>95</v>
      </c>
      <c r="V279">
        <v>17273</v>
      </c>
      <c r="W279" t="s">
        <v>184</v>
      </c>
      <c r="X279">
        <v>298</v>
      </c>
      <c r="Y279" t="s">
        <v>185</v>
      </c>
      <c r="Z279">
        <v>-42.5</v>
      </c>
      <c r="AA279" t="s">
        <v>95</v>
      </c>
      <c r="AB279">
        <f t="shared" si="39"/>
        <v>-180.83567355969703</v>
      </c>
      <c r="AC279" t="s">
        <v>93</v>
      </c>
      <c r="AD279">
        <v>2.2000000000000002</v>
      </c>
      <c r="AE279" t="s">
        <v>95</v>
      </c>
      <c r="AF279" t="s">
        <v>93</v>
      </c>
      <c r="AS279">
        <v>0.5</v>
      </c>
      <c r="BA279">
        <v>0.25</v>
      </c>
      <c r="BY279">
        <v>0.25</v>
      </c>
      <c r="CR279">
        <f t="shared" si="40"/>
        <v>-221.59117509148155</v>
      </c>
      <c r="CS279">
        <f t="shared" si="41"/>
        <v>-230.46338966896431</v>
      </c>
      <c r="CT279">
        <f t="shared" si="42"/>
        <v>-180.83567355969703</v>
      </c>
      <c r="CU279" s="7">
        <f t="shared" si="43"/>
        <v>-210.96341277338095</v>
      </c>
      <c r="CV279" s="9">
        <f t="shared" si="45"/>
        <v>235.02</v>
      </c>
      <c r="CW279" t="str">
        <f t="shared" si="44"/>
        <v>TiGaNi2</v>
      </c>
    </row>
    <row r="280" spans="1:101" ht="15.75" thickBot="1" x14ac:dyDescent="0.3">
      <c r="A280" t="s">
        <v>91</v>
      </c>
      <c r="B280" t="s">
        <v>850</v>
      </c>
      <c r="C280" t="s">
        <v>3144</v>
      </c>
      <c r="E280" t="s">
        <v>3145</v>
      </c>
      <c r="F280" t="s">
        <v>93</v>
      </c>
      <c r="G280" t="s">
        <v>851</v>
      </c>
      <c r="H280">
        <v>227.63419999999999</v>
      </c>
      <c r="I280">
        <v>338</v>
      </c>
      <c r="J280">
        <v>0</v>
      </c>
      <c r="K280" t="s">
        <v>95</v>
      </c>
      <c r="L280">
        <v>-48.561916869999997</v>
      </c>
      <c r="M280">
        <f t="shared" si="37"/>
        <v>-213.33313214798127</v>
      </c>
      <c r="N280" t="s">
        <v>95</v>
      </c>
      <c r="O280" t="s">
        <v>852</v>
      </c>
      <c r="P280" t="s">
        <v>93</v>
      </c>
      <c r="Q280">
        <v>0</v>
      </c>
      <c r="R280" t="s">
        <v>95</v>
      </c>
      <c r="S280">
        <v>-49.080175590000003</v>
      </c>
      <c r="T280">
        <f t="shared" si="38"/>
        <v>-215.60984944265846</v>
      </c>
      <c r="U280" t="s">
        <v>95</v>
      </c>
      <c r="V280">
        <v>17842</v>
      </c>
      <c r="W280" t="s">
        <v>358</v>
      </c>
      <c r="X280">
        <v>298</v>
      </c>
      <c r="Y280" t="s">
        <v>359</v>
      </c>
      <c r="Z280">
        <v>-46.4</v>
      </c>
      <c r="AA280" t="s">
        <v>95</v>
      </c>
      <c r="AB280">
        <f t="shared" si="39"/>
        <v>-203.83580323167607</v>
      </c>
      <c r="AC280" t="s">
        <v>93</v>
      </c>
      <c r="AD280">
        <v>1.6</v>
      </c>
      <c r="AE280" t="s">
        <v>95</v>
      </c>
      <c r="AF280" t="s">
        <v>93</v>
      </c>
      <c r="AS280">
        <v>0.5</v>
      </c>
      <c r="BO280">
        <v>0.5</v>
      </c>
      <c r="CR280">
        <f t="shared" si="40"/>
        <v>-213.33313214798127</v>
      </c>
      <c r="CS280">
        <f t="shared" si="41"/>
        <v>-215.60984944265846</v>
      </c>
      <c r="CT280">
        <f t="shared" si="42"/>
        <v>-203.83580323167607</v>
      </c>
      <c r="CU280" s="7">
        <f t="shared" si="43"/>
        <v>-210.92626160743862</v>
      </c>
      <c r="CV280" s="9">
        <f t="shared" si="45"/>
        <v>227.63419999999999</v>
      </c>
      <c r="CW280" t="str">
        <f t="shared" si="44"/>
        <v>TmNi</v>
      </c>
    </row>
    <row r="281" spans="1:101" ht="15.75" thickBot="1" x14ac:dyDescent="0.3">
      <c r="A281" t="s">
        <v>91</v>
      </c>
      <c r="B281" t="s">
        <v>856</v>
      </c>
      <c r="C281" t="s">
        <v>3144</v>
      </c>
      <c r="E281" t="s">
        <v>3145</v>
      </c>
      <c r="G281" t="s">
        <v>857</v>
      </c>
      <c r="H281">
        <v>224</v>
      </c>
      <c r="I281">
        <v>767</v>
      </c>
      <c r="J281">
        <v>0</v>
      </c>
      <c r="K281" t="s">
        <v>95</v>
      </c>
      <c r="L281">
        <v>-46.721159219999997</v>
      </c>
      <c r="M281">
        <f t="shared" si="37"/>
        <v>-208.57660366071428</v>
      </c>
      <c r="N281" t="s">
        <v>95</v>
      </c>
      <c r="O281" t="s">
        <v>858</v>
      </c>
      <c r="P281" t="s">
        <v>93</v>
      </c>
      <c r="Q281">
        <v>0</v>
      </c>
      <c r="R281" t="s">
        <v>95</v>
      </c>
      <c r="S281">
        <v>-47.75139867</v>
      </c>
      <c r="T281">
        <f t="shared" si="38"/>
        <v>-213.17588691964286</v>
      </c>
      <c r="U281" t="s">
        <v>95</v>
      </c>
      <c r="V281">
        <v>5776</v>
      </c>
      <c r="W281" t="s">
        <v>339</v>
      </c>
      <c r="X281">
        <v>1513</v>
      </c>
      <c r="Y281" t="s">
        <v>179</v>
      </c>
      <c r="AB281">
        <f t="shared" si="39"/>
        <v>0</v>
      </c>
      <c r="AC281" t="s">
        <v>93</v>
      </c>
      <c r="AD281">
        <v>1</v>
      </c>
      <c r="AE281" t="s">
        <v>95</v>
      </c>
      <c r="AF281" t="s">
        <v>93</v>
      </c>
      <c r="AS281">
        <v>0.75</v>
      </c>
      <c r="BA281">
        <v>0.25</v>
      </c>
      <c r="CG281">
        <v>-42.9</v>
      </c>
      <c r="CH281" t="s">
        <v>95</v>
      </c>
      <c r="CI281" t="s">
        <v>93</v>
      </c>
      <c r="CR281">
        <f t="shared" si="40"/>
        <v>-208.57660366071428</v>
      </c>
      <c r="CS281">
        <f t="shared" si="41"/>
        <v>-213.17588691964286</v>
      </c>
      <c r="CT281">
        <f t="shared" si="42"/>
        <v>0</v>
      </c>
      <c r="CU281" s="7">
        <f t="shared" si="43"/>
        <v>-210.87624529017859</v>
      </c>
      <c r="CV281" s="9">
        <f t="shared" si="45"/>
        <v>224</v>
      </c>
      <c r="CW281" t="str">
        <f t="shared" si="44"/>
        <v>TiNi3</v>
      </c>
    </row>
    <row r="282" spans="1:101" ht="15.75" thickBot="1" x14ac:dyDescent="0.3">
      <c r="A282" t="s">
        <v>91</v>
      </c>
      <c r="B282" t="s">
        <v>756</v>
      </c>
      <c r="C282" t="s">
        <v>3144</v>
      </c>
      <c r="E282" t="s">
        <v>3145</v>
      </c>
      <c r="F282" t="s">
        <v>93</v>
      </c>
      <c r="G282" t="s">
        <v>757</v>
      </c>
      <c r="H282">
        <v>233.667</v>
      </c>
      <c r="I282">
        <v>302</v>
      </c>
      <c r="M282">
        <f t="shared" si="37"/>
        <v>0</v>
      </c>
      <c r="O282" t="s">
        <v>93</v>
      </c>
      <c r="P282" t="s">
        <v>93</v>
      </c>
      <c r="Q282">
        <v>0</v>
      </c>
      <c r="R282" t="s">
        <v>95</v>
      </c>
      <c r="S282">
        <v>-51.070703999999999</v>
      </c>
      <c r="T282">
        <f t="shared" si="38"/>
        <v>-218.56190219414805</v>
      </c>
      <c r="U282" t="s">
        <v>95</v>
      </c>
      <c r="V282">
        <v>30692</v>
      </c>
      <c r="W282" t="s">
        <v>358</v>
      </c>
      <c r="X282">
        <v>298</v>
      </c>
      <c r="Y282" t="s">
        <v>359</v>
      </c>
      <c r="Z282">
        <v>-47.3</v>
      </c>
      <c r="AA282" t="s">
        <v>95</v>
      </c>
      <c r="AB282">
        <f t="shared" si="39"/>
        <v>-202.42481822422505</v>
      </c>
      <c r="AC282" t="s">
        <v>93</v>
      </c>
      <c r="AD282">
        <v>2.2000000000000002</v>
      </c>
      <c r="AE282" t="s">
        <v>95</v>
      </c>
      <c r="AF282" t="s">
        <v>93</v>
      </c>
      <c r="AH282" t="s">
        <v>93</v>
      </c>
      <c r="AI282" t="s">
        <v>93</v>
      </c>
      <c r="AS282">
        <v>0.5</v>
      </c>
      <c r="BL282">
        <v>0.5</v>
      </c>
      <c r="CR282">
        <f t="shared" si="40"/>
        <v>0</v>
      </c>
      <c r="CS282">
        <f t="shared" si="41"/>
        <v>-218.56190219414805</v>
      </c>
      <c r="CT282">
        <f t="shared" si="42"/>
        <v>-202.42481822422505</v>
      </c>
      <c r="CU282" s="7">
        <f t="shared" si="43"/>
        <v>-210.49336020918656</v>
      </c>
      <c r="CV282" s="9">
        <f t="shared" si="45"/>
        <v>233.667</v>
      </c>
      <c r="CW282" t="str">
        <f t="shared" si="44"/>
        <v>LuNi</v>
      </c>
    </row>
    <row r="283" spans="1:101" ht="15.75" thickBot="1" x14ac:dyDescent="0.3">
      <c r="A283" t="s">
        <v>91</v>
      </c>
      <c r="B283" t="s">
        <v>1816</v>
      </c>
      <c r="C283" t="s">
        <v>3144</v>
      </c>
      <c r="E283" t="s">
        <v>3145</v>
      </c>
      <c r="F283" t="s">
        <v>93</v>
      </c>
      <c r="G283" t="s">
        <v>1817</v>
      </c>
      <c r="H283">
        <v>355.891899999999</v>
      </c>
      <c r="I283">
        <v>694</v>
      </c>
      <c r="J283">
        <v>0</v>
      </c>
      <c r="K283" t="s">
        <v>95</v>
      </c>
      <c r="L283">
        <v>-85.042693</v>
      </c>
      <c r="M283">
        <f t="shared" si="37"/>
        <v>-238.95652865378574</v>
      </c>
      <c r="N283" t="s">
        <v>95</v>
      </c>
      <c r="O283" t="s">
        <v>1818</v>
      </c>
      <c r="P283" t="s">
        <v>93</v>
      </c>
      <c r="Q283">
        <v>0</v>
      </c>
      <c r="R283" t="s">
        <v>95</v>
      </c>
      <c r="S283">
        <v>-53.05635951</v>
      </c>
      <c r="T283">
        <f t="shared" si="38"/>
        <v>-149.07998611376138</v>
      </c>
      <c r="U283" t="s">
        <v>95</v>
      </c>
      <c r="V283">
        <v>28223</v>
      </c>
      <c r="W283" t="s">
        <v>430</v>
      </c>
      <c r="X283">
        <v>298</v>
      </c>
      <c r="Y283" t="s">
        <v>147</v>
      </c>
      <c r="Z283">
        <v>-86.5</v>
      </c>
      <c r="AA283" t="s">
        <v>95</v>
      </c>
      <c r="AB283">
        <f t="shared" si="39"/>
        <v>-243.05133103619457</v>
      </c>
      <c r="AC283" t="s">
        <v>93</v>
      </c>
      <c r="AD283">
        <v>2.2000000000000002</v>
      </c>
      <c r="AE283" t="s">
        <v>95</v>
      </c>
      <c r="AF283" t="s">
        <v>93</v>
      </c>
      <c r="BC283">
        <v>0.5</v>
      </c>
      <c r="BK283">
        <v>0.5</v>
      </c>
      <c r="CR283">
        <f t="shared" si="40"/>
        <v>-238.95652865378574</v>
      </c>
      <c r="CS283">
        <f t="shared" si="41"/>
        <v>-149.07998611376138</v>
      </c>
      <c r="CT283">
        <f t="shared" si="42"/>
        <v>-243.05133103619457</v>
      </c>
      <c r="CU283" s="7">
        <f t="shared" si="43"/>
        <v>-210.36261526791392</v>
      </c>
      <c r="CV283" s="9">
        <f t="shared" si="45"/>
        <v>355.891899999999</v>
      </c>
      <c r="CW283" t="str">
        <f t="shared" si="44"/>
        <v>TbAu</v>
      </c>
    </row>
    <row r="284" spans="1:101" ht="15.75" thickBot="1" x14ac:dyDescent="0.3">
      <c r="A284" t="s">
        <v>91</v>
      </c>
      <c r="B284" t="s">
        <v>1142</v>
      </c>
      <c r="C284" t="s">
        <v>3144</v>
      </c>
      <c r="E284" t="s">
        <v>3145</v>
      </c>
      <c r="F284" t="s">
        <v>93</v>
      </c>
      <c r="G284" t="s">
        <v>1143</v>
      </c>
      <c r="H284">
        <v>244.16307999999901</v>
      </c>
      <c r="I284">
        <v>451</v>
      </c>
      <c r="J284">
        <v>0</v>
      </c>
      <c r="K284" t="s">
        <v>95</v>
      </c>
      <c r="L284">
        <v>-54.389109220000002</v>
      </c>
      <c r="M284">
        <f t="shared" si="37"/>
        <v>-222.75730311069233</v>
      </c>
      <c r="N284" t="s">
        <v>95</v>
      </c>
      <c r="O284" t="s">
        <v>1144</v>
      </c>
      <c r="P284" t="s">
        <v>93</v>
      </c>
      <c r="Q284">
        <v>0</v>
      </c>
      <c r="R284" t="s">
        <v>95</v>
      </c>
      <c r="S284">
        <v>-54.213845120000002</v>
      </c>
      <c r="T284">
        <f t="shared" si="38"/>
        <v>-222.03948737868242</v>
      </c>
      <c r="U284" t="s">
        <v>95</v>
      </c>
      <c r="V284">
        <v>10545</v>
      </c>
      <c r="W284" t="s">
        <v>97</v>
      </c>
      <c r="X284">
        <v>298</v>
      </c>
      <c r="Y284" t="s">
        <v>98</v>
      </c>
      <c r="Z284">
        <v>-44.9</v>
      </c>
      <c r="AA284" t="s">
        <v>95</v>
      </c>
      <c r="AB284">
        <f t="shared" si="39"/>
        <v>-183.89348627155334</v>
      </c>
      <c r="AC284" t="s">
        <v>93</v>
      </c>
      <c r="AD284">
        <v>2.2000000000000002</v>
      </c>
      <c r="AE284" t="s">
        <v>95</v>
      </c>
      <c r="AF284" t="s">
        <v>93</v>
      </c>
      <c r="AR284">
        <v>0.66</v>
      </c>
      <c r="BM284">
        <v>0.33</v>
      </c>
      <c r="CR284">
        <f t="shared" si="40"/>
        <v>-222.75730311069233</v>
      </c>
      <c r="CS284">
        <f t="shared" si="41"/>
        <v>-222.03948737868242</v>
      </c>
      <c r="CT284">
        <f t="shared" si="42"/>
        <v>-183.89348627155334</v>
      </c>
      <c r="CU284" s="7">
        <f t="shared" si="43"/>
        <v>-209.56342558697602</v>
      </c>
      <c r="CV284" s="9">
        <f t="shared" si="45"/>
        <v>244.16307999999901</v>
      </c>
      <c r="CW284" t="str">
        <f t="shared" si="44"/>
        <v>Al2Os</v>
      </c>
    </row>
    <row r="285" spans="1:101" ht="15.75" thickBot="1" x14ac:dyDescent="0.3">
      <c r="A285" t="s">
        <v>91</v>
      </c>
      <c r="B285" t="s">
        <v>1174</v>
      </c>
      <c r="C285" t="s">
        <v>3144</v>
      </c>
      <c r="E285" t="s">
        <v>3145</v>
      </c>
      <c r="F285" t="s">
        <v>93</v>
      </c>
      <c r="G285" t="s">
        <v>1175</v>
      </c>
      <c r="H285">
        <v>131.88612000000001</v>
      </c>
      <c r="I285">
        <v>461</v>
      </c>
      <c r="J285">
        <v>0</v>
      </c>
      <c r="K285" t="s">
        <v>95</v>
      </c>
      <c r="L285">
        <v>-27.85378193</v>
      </c>
      <c r="M285">
        <f t="shared" si="37"/>
        <v>-211.1957037632163</v>
      </c>
      <c r="N285" t="s">
        <v>95</v>
      </c>
      <c r="O285" t="s">
        <v>1176</v>
      </c>
      <c r="P285" t="s">
        <v>93</v>
      </c>
      <c r="Q285">
        <v>0</v>
      </c>
      <c r="R285" t="s">
        <v>95</v>
      </c>
      <c r="S285">
        <v>-27.239676150000001</v>
      </c>
      <c r="T285">
        <f t="shared" si="38"/>
        <v>-206.53937010202438</v>
      </c>
      <c r="U285" t="s">
        <v>95</v>
      </c>
      <c r="V285">
        <v>10604</v>
      </c>
      <c r="W285" t="s">
        <v>870</v>
      </c>
      <c r="X285">
        <v>298</v>
      </c>
      <c r="Y285" t="s">
        <v>98</v>
      </c>
      <c r="Z285">
        <v>-27.8</v>
      </c>
      <c r="AA285" t="s">
        <v>95</v>
      </c>
      <c r="AB285">
        <f t="shared" si="39"/>
        <v>-210.7879130874424</v>
      </c>
      <c r="AC285" t="s">
        <v>93</v>
      </c>
      <c r="AD285">
        <v>0.9</v>
      </c>
      <c r="AE285" t="s">
        <v>95</v>
      </c>
      <c r="AF285" t="s">
        <v>93</v>
      </c>
      <c r="AR285">
        <v>0.75</v>
      </c>
      <c r="BD285">
        <v>0.25</v>
      </c>
      <c r="CR285">
        <f t="shared" si="40"/>
        <v>-211.1957037632163</v>
      </c>
      <c r="CS285">
        <f t="shared" si="41"/>
        <v>-206.53937010202438</v>
      </c>
      <c r="CT285">
        <f t="shared" si="42"/>
        <v>-210.7879130874424</v>
      </c>
      <c r="CU285" s="7">
        <f t="shared" si="43"/>
        <v>-209.50766231756106</v>
      </c>
      <c r="CV285" s="9">
        <f t="shared" si="45"/>
        <v>131.88612000000001</v>
      </c>
      <c r="CW285" t="str">
        <f t="shared" si="44"/>
        <v>Al3V</v>
      </c>
    </row>
    <row r="286" spans="1:101" ht="15.75" thickBot="1" x14ac:dyDescent="0.3">
      <c r="A286" t="s">
        <v>91</v>
      </c>
      <c r="B286" t="s">
        <v>93</v>
      </c>
      <c r="C286" t="s">
        <v>3144</v>
      </c>
      <c r="E286" t="s">
        <v>3145</v>
      </c>
      <c r="F286" t="s">
        <v>93</v>
      </c>
      <c r="G286" t="s">
        <v>1949</v>
      </c>
      <c r="H286">
        <v>167.24307999999999</v>
      </c>
      <c r="I286">
        <v>752</v>
      </c>
      <c r="M286">
        <f t="shared" si="37"/>
        <v>0</v>
      </c>
      <c r="O286" t="s">
        <v>93</v>
      </c>
      <c r="P286" t="s">
        <v>93</v>
      </c>
      <c r="T286">
        <f t="shared" si="38"/>
        <v>0</v>
      </c>
      <c r="V286" t="s">
        <v>93</v>
      </c>
      <c r="W286" t="s">
        <v>194</v>
      </c>
      <c r="X286">
        <v>300</v>
      </c>
      <c r="Y286" t="s">
        <v>103</v>
      </c>
      <c r="Z286">
        <v>-35</v>
      </c>
      <c r="AA286" t="s">
        <v>95</v>
      </c>
      <c r="AB286">
        <f t="shared" si="39"/>
        <v>-209.27622237045622</v>
      </c>
      <c r="AF286" t="s">
        <v>93</v>
      </c>
      <c r="AH286" t="s">
        <v>93</v>
      </c>
      <c r="AI286" t="s">
        <v>93</v>
      </c>
      <c r="AJ286" t="s">
        <v>93</v>
      </c>
      <c r="AK286" t="s">
        <v>93</v>
      </c>
      <c r="AR286">
        <v>0.5</v>
      </c>
      <c r="BA286">
        <v>0.25</v>
      </c>
      <c r="CB286">
        <v>0.25</v>
      </c>
      <c r="CC286">
        <v>1</v>
      </c>
      <c r="CD286" t="s">
        <v>95</v>
      </c>
      <c r="CE286" t="s">
        <v>93</v>
      </c>
      <c r="CR286">
        <f t="shared" si="40"/>
        <v>0</v>
      </c>
      <c r="CS286">
        <f t="shared" si="41"/>
        <v>0</v>
      </c>
      <c r="CT286">
        <f t="shared" si="42"/>
        <v>-209.27622237045622</v>
      </c>
      <c r="CU286" s="7">
        <f t="shared" si="43"/>
        <v>-209.27622237045622</v>
      </c>
      <c r="CV286" s="9">
        <f t="shared" si="45"/>
        <v>167.24307999999999</v>
      </c>
      <c r="CW286" t="str">
        <f t="shared" si="44"/>
        <v>Al2TiZn</v>
      </c>
    </row>
    <row r="287" spans="1:101" ht="15.75" thickBot="1" x14ac:dyDescent="0.3">
      <c r="A287" t="s">
        <v>91</v>
      </c>
      <c r="B287" t="s">
        <v>1029</v>
      </c>
      <c r="C287" t="s">
        <v>3144</v>
      </c>
      <c r="E287" t="s">
        <v>3145</v>
      </c>
      <c r="F287" t="s">
        <v>93</v>
      </c>
      <c r="G287" t="s">
        <v>1030</v>
      </c>
      <c r="H287">
        <v>162.82229999999899</v>
      </c>
      <c r="I287">
        <v>412</v>
      </c>
      <c r="J287">
        <v>0</v>
      </c>
      <c r="K287" t="s">
        <v>95</v>
      </c>
      <c r="L287">
        <v>-33.792339259999999</v>
      </c>
      <c r="M287">
        <f t="shared" si="37"/>
        <v>-207.54122291602692</v>
      </c>
      <c r="N287" t="s">
        <v>95</v>
      </c>
      <c r="O287" t="s">
        <v>1031</v>
      </c>
      <c r="P287" t="s">
        <v>93</v>
      </c>
      <c r="Q287">
        <v>0</v>
      </c>
      <c r="R287" t="s">
        <v>95</v>
      </c>
      <c r="S287">
        <v>-34.917446529999999</v>
      </c>
      <c r="T287">
        <f t="shared" si="38"/>
        <v>-214.451254711426</v>
      </c>
      <c r="U287" t="s">
        <v>95</v>
      </c>
      <c r="V287">
        <v>19393</v>
      </c>
      <c r="W287" t="s">
        <v>159</v>
      </c>
      <c r="X287">
        <v>298</v>
      </c>
      <c r="Y287" t="s">
        <v>160</v>
      </c>
      <c r="Z287">
        <v>-32.5</v>
      </c>
      <c r="AA287" t="s">
        <v>95</v>
      </c>
      <c r="AB287">
        <f t="shared" si="39"/>
        <v>-199.60410828246623</v>
      </c>
      <c r="AC287" t="s">
        <v>93</v>
      </c>
      <c r="AD287">
        <v>2.1</v>
      </c>
      <c r="AE287" t="s">
        <v>95</v>
      </c>
      <c r="AF287" t="s">
        <v>93</v>
      </c>
      <c r="AW287">
        <v>0.66</v>
      </c>
      <c r="CR287">
        <f t="shared" si="40"/>
        <v>-207.54122291602692</v>
      </c>
      <c r="CS287">
        <f t="shared" si="41"/>
        <v>-214.451254711426</v>
      </c>
      <c r="CT287">
        <f t="shared" si="42"/>
        <v>-199.60410828246623</v>
      </c>
      <c r="CU287" s="7">
        <f t="shared" si="43"/>
        <v>-207.19886196997302</v>
      </c>
      <c r="CV287" s="9">
        <f t="shared" si="45"/>
        <v>162.82229999999899</v>
      </c>
      <c r="CW287" t="str">
        <f t="shared" si="44"/>
        <v>ScCo2</v>
      </c>
    </row>
    <row r="288" spans="1:101" ht="15.75" thickBot="1" x14ac:dyDescent="0.3">
      <c r="A288" t="s">
        <v>91</v>
      </c>
      <c r="B288" t="s">
        <v>923</v>
      </c>
      <c r="C288" t="s">
        <v>3144</v>
      </c>
      <c r="E288" t="s">
        <v>3145</v>
      </c>
      <c r="F288" t="s">
        <v>93</v>
      </c>
      <c r="G288" t="s">
        <v>924</v>
      </c>
      <c r="H288">
        <v>410.42</v>
      </c>
      <c r="I288">
        <v>368</v>
      </c>
      <c r="M288">
        <f t="shared" si="37"/>
        <v>0</v>
      </c>
      <c r="O288" t="s">
        <v>93</v>
      </c>
      <c r="P288" t="s">
        <v>93</v>
      </c>
      <c r="T288">
        <f t="shared" si="38"/>
        <v>0</v>
      </c>
      <c r="V288" t="s">
        <v>93</v>
      </c>
      <c r="W288" t="s">
        <v>93</v>
      </c>
      <c r="X288">
        <v>298</v>
      </c>
      <c r="Y288" t="s">
        <v>93</v>
      </c>
      <c r="Z288">
        <v>-84.4</v>
      </c>
      <c r="AA288" t="s">
        <v>95</v>
      </c>
      <c r="AB288">
        <f t="shared" si="39"/>
        <v>-205.64299985380828</v>
      </c>
      <c r="AC288" t="s">
        <v>93</v>
      </c>
      <c r="AD288">
        <v>1.7</v>
      </c>
      <c r="AE288" t="s">
        <v>95</v>
      </c>
      <c r="AF288" t="s">
        <v>93</v>
      </c>
      <c r="AH288" t="s">
        <v>93</v>
      </c>
      <c r="AI288" t="s">
        <v>93</v>
      </c>
      <c r="AJ288" t="s">
        <v>93</v>
      </c>
      <c r="AK288" t="s">
        <v>93</v>
      </c>
      <c r="AP288">
        <v>0.25</v>
      </c>
      <c r="AZ288">
        <v>0.75</v>
      </c>
      <c r="CR288">
        <f t="shared" si="40"/>
        <v>0</v>
      </c>
      <c r="CS288">
        <f t="shared" si="41"/>
        <v>0</v>
      </c>
      <c r="CT288">
        <f t="shared" si="42"/>
        <v>-205.64299985380828</v>
      </c>
      <c r="CU288" s="7">
        <f t="shared" si="43"/>
        <v>-205.64299985380828</v>
      </c>
      <c r="CV288" s="9">
        <f t="shared" si="45"/>
        <v>410.42</v>
      </c>
      <c r="CW288" t="str">
        <f t="shared" si="44"/>
        <v>Pd3Zr</v>
      </c>
    </row>
    <row r="289" spans="1:101" ht="15.75" thickBot="1" x14ac:dyDescent="0.3">
      <c r="A289" t="s">
        <v>91</v>
      </c>
      <c r="B289" t="s">
        <v>1580</v>
      </c>
      <c r="C289" t="s">
        <v>3144</v>
      </c>
      <c r="E289" t="s">
        <v>3145</v>
      </c>
      <c r="G289" t="s">
        <v>1581</v>
      </c>
      <c r="H289">
        <v>286.3965</v>
      </c>
      <c r="I289">
        <v>817</v>
      </c>
      <c r="J289">
        <v>2.0949818499999999</v>
      </c>
      <c r="K289" t="s">
        <v>95</v>
      </c>
      <c r="L289">
        <v>-59.399438109999998</v>
      </c>
      <c r="M289">
        <f t="shared" si="37"/>
        <v>-207.4028073317935</v>
      </c>
      <c r="N289" t="s">
        <v>95</v>
      </c>
      <c r="O289" t="s">
        <v>2073</v>
      </c>
      <c r="P289" t="s">
        <v>121</v>
      </c>
      <c r="Q289">
        <v>2.1332460800000002</v>
      </c>
      <c r="R289" t="s">
        <v>95</v>
      </c>
      <c r="S289">
        <v>-58.13812969</v>
      </c>
      <c r="T289">
        <f t="shared" si="38"/>
        <v>-202.99874366481433</v>
      </c>
      <c r="U289" t="s">
        <v>95</v>
      </c>
      <c r="V289">
        <v>16443</v>
      </c>
      <c r="W289" t="s">
        <v>1100</v>
      </c>
      <c r="X289">
        <v>1704</v>
      </c>
      <c r="Y289" t="s">
        <v>2063</v>
      </c>
      <c r="AB289">
        <f t="shared" si="39"/>
        <v>0</v>
      </c>
      <c r="AC289" t="s">
        <v>93</v>
      </c>
      <c r="AD289">
        <v>1</v>
      </c>
      <c r="AE289" t="s">
        <v>95</v>
      </c>
      <c r="AF289" t="s">
        <v>93</v>
      </c>
      <c r="AV289">
        <v>0.4</v>
      </c>
      <c r="BX289">
        <v>0.6</v>
      </c>
      <c r="CG289">
        <v>-80.400000000000006</v>
      </c>
      <c r="CH289" t="s">
        <v>95</v>
      </c>
      <c r="CI289" t="s">
        <v>93</v>
      </c>
      <c r="CR289">
        <f t="shared" si="40"/>
        <v>-207.4028073317935</v>
      </c>
      <c r="CS289">
        <f t="shared" si="41"/>
        <v>-202.99874366481433</v>
      </c>
      <c r="CT289">
        <f t="shared" si="42"/>
        <v>0</v>
      </c>
      <c r="CU289" s="7">
        <f t="shared" si="43"/>
        <v>-205.20077549830393</v>
      </c>
      <c r="CV289" s="9">
        <f t="shared" si="45"/>
        <v>286.3965</v>
      </c>
      <c r="CW289" t="str">
        <f t="shared" si="44"/>
        <v>Si3Ru2</v>
      </c>
    </row>
    <row r="290" spans="1:101" ht="15.75" thickBot="1" x14ac:dyDescent="0.3">
      <c r="A290" t="s">
        <v>91</v>
      </c>
      <c r="B290" t="s">
        <v>366</v>
      </c>
      <c r="C290" t="s">
        <v>3144</v>
      </c>
      <c r="E290" t="s">
        <v>3145</v>
      </c>
      <c r="F290" t="s">
        <v>93</v>
      </c>
      <c r="G290" t="s">
        <v>367</v>
      </c>
      <c r="H290">
        <v>337.0865</v>
      </c>
      <c r="I290">
        <v>153</v>
      </c>
      <c r="M290">
        <f t="shared" si="37"/>
        <v>0</v>
      </c>
      <c r="O290" t="s">
        <v>93</v>
      </c>
      <c r="P290" t="s">
        <v>93</v>
      </c>
      <c r="Q290">
        <v>0</v>
      </c>
      <c r="R290" t="s">
        <v>95</v>
      </c>
      <c r="S290">
        <v>-75.308693230000003</v>
      </c>
      <c r="T290">
        <f t="shared" si="38"/>
        <v>-223.41058817247207</v>
      </c>
      <c r="U290" t="s">
        <v>95</v>
      </c>
      <c r="V290">
        <v>28133</v>
      </c>
      <c r="W290" t="s">
        <v>358</v>
      </c>
      <c r="X290">
        <v>298</v>
      </c>
      <c r="Y290" t="s">
        <v>359</v>
      </c>
      <c r="Z290">
        <v>-62.8</v>
      </c>
      <c r="AA290" t="s">
        <v>95</v>
      </c>
      <c r="AB290">
        <f t="shared" si="39"/>
        <v>-186.30232892744147</v>
      </c>
      <c r="AC290" t="s">
        <v>93</v>
      </c>
      <c r="AD290">
        <v>4.2</v>
      </c>
      <c r="AE290" t="s">
        <v>95</v>
      </c>
      <c r="AF290" t="s">
        <v>93</v>
      </c>
      <c r="AH290" t="s">
        <v>93</v>
      </c>
      <c r="AI290" t="s">
        <v>93</v>
      </c>
      <c r="AM290">
        <v>0.5</v>
      </c>
      <c r="BC290">
        <v>0.5</v>
      </c>
      <c r="CR290">
        <f t="shared" si="40"/>
        <v>0</v>
      </c>
      <c r="CS290">
        <f t="shared" si="41"/>
        <v>-223.41058817247207</v>
      </c>
      <c r="CT290">
        <f t="shared" si="42"/>
        <v>-186.30232892744147</v>
      </c>
      <c r="CU290" s="7">
        <f t="shared" si="43"/>
        <v>-204.85645854995676</v>
      </c>
      <c r="CV290" s="9">
        <f t="shared" si="45"/>
        <v>337.0865</v>
      </c>
      <c r="CW290" t="str">
        <f t="shared" si="44"/>
        <v>CeAu</v>
      </c>
    </row>
    <row r="291" spans="1:101" ht="15.75" thickBot="1" x14ac:dyDescent="0.3">
      <c r="A291" t="s">
        <v>91</v>
      </c>
      <c r="B291" t="s">
        <v>1122</v>
      </c>
      <c r="C291" t="s">
        <v>3144</v>
      </c>
      <c r="E291" t="s">
        <v>3145</v>
      </c>
      <c r="F291" t="s">
        <v>93</v>
      </c>
      <c r="G291" t="s">
        <v>1123</v>
      </c>
      <c r="H291">
        <v>471.12461999999999</v>
      </c>
      <c r="I291">
        <v>444</v>
      </c>
      <c r="J291">
        <v>0</v>
      </c>
      <c r="K291" t="s">
        <v>95</v>
      </c>
      <c r="L291">
        <v>-96.269382879999995</v>
      </c>
      <c r="M291">
        <f t="shared" si="37"/>
        <v>-204.33952884907606</v>
      </c>
      <c r="N291" t="s">
        <v>95</v>
      </c>
      <c r="O291" t="s">
        <v>1124</v>
      </c>
      <c r="P291" t="s">
        <v>93</v>
      </c>
      <c r="Q291">
        <v>0</v>
      </c>
      <c r="R291" t="s">
        <v>95</v>
      </c>
      <c r="S291">
        <v>-96.495971269999998</v>
      </c>
      <c r="T291">
        <f t="shared" si="38"/>
        <v>-204.82048098017037</v>
      </c>
      <c r="U291" t="s">
        <v>95</v>
      </c>
      <c r="V291">
        <v>10565</v>
      </c>
      <c r="W291" t="s">
        <v>297</v>
      </c>
      <c r="X291">
        <v>298</v>
      </c>
      <c r="Y291" t="s">
        <v>298</v>
      </c>
      <c r="Z291">
        <v>-96.5</v>
      </c>
      <c r="AA291" t="s">
        <v>95</v>
      </c>
      <c r="AB291">
        <f t="shared" si="39"/>
        <v>-204.82903228449408</v>
      </c>
      <c r="AC291" t="s">
        <v>93</v>
      </c>
      <c r="AD291">
        <v>1.2</v>
      </c>
      <c r="AE291" t="s">
        <v>95</v>
      </c>
      <c r="AF291" t="s">
        <v>93</v>
      </c>
      <c r="AR291">
        <v>0.6</v>
      </c>
      <c r="AY291">
        <v>0.4</v>
      </c>
      <c r="CR291">
        <f t="shared" si="40"/>
        <v>-204.33952884907606</v>
      </c>
      <c r="CS291">
        <f t="shared" si="41"/>
        <v>-204.82048098017037</v>
      </c>
      <c r="CT291">
        <f t="shared" si="42"/>
        <v>-204.82903228449408</v>
      </c>
      <c r="CU291" s="7">
        <f t="shared" si="43"/>
        <v>-204.66301403791348</v>
      </c>
      <c r="CV291" s="9">
        <f t="shared" si="45"/>
        <v>471.12461999999999</v>
      </c>
      <c r="CW291" t="str">
        <f t="shared" si="44"/>
        <v>Al3Pt2</v>
      </c>
    </row>
    <row r="292" spans="1:101" ht="15.75" thickBot="1" x14ac:dyDescent="0.3">
      <c r="A292" t="s">
        <v>91</v>
      </c>
      <c r="B292" t="s">
        <v>634</v>
      </c>
      <c r="C292" t="s">
        <v>3144</v>
      </c>
      <c r="E292" t="s">
        <v>3145</v>
      </c>
      <c r="F292" t="s">
        <v>93</v>
      </c>
      <c r="G292" t="s">
        <v>635</v>
      </c>
      <c r="H292">
        <v>237.19</v>
      </c>
      <c r="I292">
        <v>257</v>
      </c>
      <c r="M292">
        <f t="shared" si="37"/>
        <v>0</v>
      </c>
      <c r="O292" t="s">
        <v>93</v>
      </c>
      <c r="P292" t="s">
        <v>93</v>
      </c>
      <c r="T292">
        <f t="shared" si="38"/>
        <v>0</v>
      </c>
      <c r="V292" t="s">
        <v>93</v>
      </c>
      <c r="W292" t="s">
        <v>93</v>
      </c>
      <c r="X292">
        <v>298</v>
      </c>
      <c r="Y292" t="s">
        <v>93</v>
      </c>
      <c r="Z292">
        <v>-48.3</v>
      </c>
      <c r="AA292" t="s">
        <v>95</v>
      </c>
      <c r="AB292">
        <f t="shared" si="39"/>
        <v>-203.63421729415234</v>
      </c>
      <c r="AC292" t="s">
        <v>93</v>
      </c>
      <c r="AD292">
        <v>1</v>
      </c>
      <c r="AE292" t="s">
        <v>95</v>
      </c>
      <c r="AF292" t="s">
        <v>93</v>
      </c>
      <c r="AH292" t="s">
        <v>93</v>
      </c>
      <c r="AI292" t="s">
        <v>93</v>
      </c>
      <c r="AJ292" t="s">
        <v>93</v>
      </c>
      <c r="AK292" t="s">
        <v>93</v>
      </c>
      <c r="AQ292">
        <v>0.5</v>
      </c>
      <c r="AS292">
        <v>0.5</v>
      </c>
      <c r="CR292">
        <f t="shared" si="40"/>
        <v>0</v>
      </c>
      <c r="CS292">
        <f t="shared" si="41"/>
        <v>0</v>
      </c>
      <c r="CT292">
        <f t="shared" si="42"/>
        <v>-203.63421729415234</v>
      </c>
      <c r="CU292" s="7">
        <f t="shared" si="43"/>
        <v>-203.63421729415234</v>
      </c>
      <c r="CV292" s="9">
        <f t="shared" si="45"/>
        <v>237.19</v>
      </c>
      <c r="CW292" t="str">
        <f t="shared" si="44"/>
        <v>HfNi</v>
      </c>
    </row>
    <row r="293" spans="1:101" ht="15.75" thickBot="1" x14ac:dyDescent="0.3">
      <c r="A293" t="s">
        <v>91</v>
      </c>
      <c r="B293" t="s">
        <v>856</v>
      </c>
      <c r="C293" t="s">
        <v>3144</v>
      </c>
      <c r="E293" t="s">
        <v>3145</v>
      </c>
      <c r="F293" t="s">
        <v>93</v>
      </c>
      <c r="G293" t="s">
        <v>857</v>
      </c>
      <c r="H293">
        <v>224</v>
      </c>
      <c r="I293">
        <v>340</v>
      </c>
      <c r="J293">
        <v>0</v>
      </c>
      <c r="K293" t="s">
        <v>95</v>
      </c>
      <c r="L293">
        <v>-46.721159219999997</v>
      </c>
      <c r="M293">
        <f t="shared" si="37"/>
        <v>-208.57660366071428</v>
      </c>
      <c r="N293" t="s">
        <v>95</v>
      </c>
      <c r="O293" t="s">
        <v>858</v>
      </c>
      <c r="P293" t="s">
        <v>93</v>
      </c>
      <c r="Q293">
        <v>0</v>
      </c>
      <c r="R293" t="s">
        <v>95</v>
      </c>
      <c r="S293">
        <v>-47.75139867</v>
      </c>
      <c r="T293">
        <f t="shared" si="38"/>
        <v>-213.17588691964286</v>
      </c>
      <c r="U293" t="s">
        <v>95</v>
      </c>
      <c r="V293">
        <v>5776</v>
      </c>
      <c r="W293" t="s">
        <v>339</v>
      </c>
      <c r="X293">
        <v>298</v>
      </c>
      <c r="Y293" t="s">
        <v>179</v>
      </c>
      <c r="Z293">
        <v>-42.2</v>
      </c>
      <c r="AA293" t="s">
        <v>95</v>
      </c>
      <c r="AB293">
        <f t="shared" si="39"/>
        <v>-188.39285714285717</v>
      </c>
      <c r="AC293" t="s">
        <v>93</v>
      </c>
      <c r="AD293">
        <v>1.2</v>
      </c>
      <c r="AE293" t="s">
        <v>95</v>
      </c>
      <c r="AF293" t="s">
        <v>93</v>
      </c>
      <c r="AS293">
        <v>0.75</v>
      </c>
      <c r="BA293">
        <v>0.25</v>
      </c>
      <c r="CR293">
        <f t="shared" si="40"/>
        <v>-208.57660366071428</v>
      </c>
      <c r="CS293">
        <f t="shared" si="41"/>
        <v>-213.17588691964286</v>
      </c>
      <c r="CT293">
        <f t="shared" si="42"/>
        <v>-188.39285714285717</v>
      </c>
      <c r="CU293" s="7">
        <f t="shared" si="43"/>
        <v>-203.38178257440481</v>
      </c>
      <c r="CV293" s="9">
        <f t="shared" si="45"/>
        <v>224</v>
      </c>
      <c r="CW293" t="str">
        <f t="shared" si="44"/>
        <v>TiNi3</v>
      </c>
    </row>
    <row r="294" spans="1:101" ht="15.75" thickBot="1" x14ac:dyDescent="0.3">
      <c r="A294" t="s">
        <v>91</v>
      </c>
      <c r="B294" t="s">
        <v>2348</v>
      </c>
      <c r="C294" t="s">
        <v>3144</v>
      </c>
      <c r="E294" t="s">
        <v>3145</v>
      </c>
      <c r="F294" t="s">
        <v>93</v>
      </c>
      <c r="G294" t="s">
        <v>2349</v>
      </c>
      <c r="H294">
        <v>195.32303999999999</v>
      </c>
      <c r="I294">
        <v>954</v>
      </c>
      <c r="M294">
        <f t="shared" si="37"/>
        <v>0</v>
      </c>
      <c r="O294" t="s">
        <v>93</v>
      </c>
      <c r="P294" t="s">
        <v>93</v>
      </c>
      <c r="T294">
        <f t="shared" si="38"/>
        <v>0</v>
      </c>
      <c r="V294" t="s">
        <v>93</v>
      </c>
      <c r="W294" t="s">
        <v>102</v>
      </c>
      <c r="X294">
        <v>298</v>
      </c>
      <c r="Y294" t="s">
        <v>103</v>
      </c>
      <c r="Z294">
        <v>-39.700000000000003</v>
      </c>
      <c r="AA294" t="s">
        <v>95</v>
      </c>
      <c r="AB294">
        <f t="shared" si="39"/>
        <v>-203.25303149080622</v>
      </c>
      <c r="AC294" t="s">
        <v>93</v>
      </c>
      <c r="AD294">
        <v>0.5</v>
      </c>
      <c r="AE294" t="s">
        <v>95</v>
      </c>
      <c r="AF294" t="s">
        <v>93</v>
      </c>
      <c r="AH294" t="s">
        <v>93</v>
      </c>
      <c r="AI294" t="s">
        <v>93</v>
      </c>
      <c r="AJ294" t="s">
        <v>93</v>
      </c>
      <c r="AK294" t="s">
        <v>93</v>
      </c>
      <c r="AR294">
        <v>0.25</v>
      </c>
      <c r="AS294">
        <v>0.5</v>
      </c>
      <c r="BD294">
        <v>0.25</v>
      </c>
      <c r="CR294">
        <f t="shared" si="40"/>
        <v>0</v>
      </c>
      <c r="CS294">
        <f t="shared" si="41"/>
        <v>0</v>
      </c>
      <c r="CT294">
        <f t="shared" si="42"/>
        <v>-203.25303149080622</v>
      </c>
      <c r="CU294" s="7">
        <f t="shared" si="43"/>
        <v>-203.25303149080622</v>
      </c>
      <c r="CV294" s="9">
        <f t="shared" si="45"/>
        <v>195.32303999999999</v>
      </c>
      <c r="CW294" t="str">
        <f t="shared" si="44"/>
        <v>AlNi2V</v>
      </c>
    </row>
    <row r="295" spans="1:101" ht="15.75" thickBot="1" x14ac:dyDescent="0.3">
      <c r="A295" t="s">
        <v>91</v>
      </c>
      <c r="B295" t="s">
        <v>473</v>
      </c>
      <c r="C295" t="s">
        <v>3144</v>
      </c>
      <c r="E295" t="s">
        <v>3145</v>
      </c>
      <c r="F295" t="s">
        <v>93</v>
      </c>
      <c r="G295" t="s">
        <v>474</v>
      </c>
      <c r="H295">
        <v>150.1532</v>
      </c>
      <c r="I295">
        <v>193</v>
      </c>
      <c r="J295">
        <v>0</v>
      </c>
      <c r="K295" t="s">
        <v>95</v>
      </c>
      <c r="L295">
        <v>-27.196975519999999</v>
      </c>
      <c r="M295">
        <f t="shared" si="37"/>
        <v>-181.12817788765074</v>
      </c>
      <c r="N295" t="s">
        <v>95</v>
      </c>
      <c r="O295" t="s">
        <v>475</v>
      </c>
      <c r="P295" t="s">
        <v>93</v>
      </c>
      <c r="Q295">
        <v>4.2670176199999998</v>
      </c>
      <c r="R295" t="s">
        <v>95</v>
      </c>
      <c r="S295">
        <v>-27.778022830000001</v>
      </c>
      <c r="T295">
        <f t="shared" si="38"/>
        <v>-184.99787437097581</v>
      </c>
      <c r="U295" t="s">
        <v>95</v>
      </c>
      <c r="V295">
        <v>29537</v>
      </c>
      <c r="W295" t="s">
        <v>102</v>
      </c>
      <c r="X295">
        <v>298</v>
      </c>
      <c r="Y295" t="s">
        <v>103</v>
      </c>
      <c r="Z295">
        <v>-35.799999999999997</v>
      </c>
      <c r="AA295" t="s">
        <v>95</v>
      </c>
      <c r="AB295">
        <f t="shared" si="39"/>
        <v>-238.42315714883199</v>
      </c>
      <c r="AC295" t="s">
        <v>93</v>
      </c>
      <c r="AD295">
        <v>0.7</v>
      </c>
      <c r="AE295" t="s">
        <v>95</v>
      </c>
      <c r="AF295" t="s">
        <v>93</v>
      </c>
      <c r="AP295">
        <v>0.5</v>
      </c>
      <c r="AW295">
        <v>0.5</v>
      </c>
      <c r="CR295">
        <f t="shared" si="40"/>
        <v>-181.12817788765074</v>
      </c>
      <c r="CS295">
        <f t="shared" si="41"/>
        <v>-184.99787437097581</v>
      </c>
      <c r="CT295">
        <f t="shared" si="42"/>
        <v>-238.42315714883199</v>
      </c>
      <c r="CU295" s="7">
        <f t="shared" si="43"/>
        <v>-201.5164031358195</v>
      </c>
      <c r="CV295" s="9">
        <f t="shared" si="45"/>
        <v>150.1532</v>
      </c>
      <c r="CW295" t="str">
        <f t="shared" si="44"/>
        <v>ZrCo</v>
      </c>
    </row>
    <row r="296" spans="1:101" ht="15.75" thickBot="1" x14ac:dyDescent="0.3">
      <c r="A296" t="s">
        <v>91</v>
      </c>
      <c r="B296" t="s">
        <v>564</v>
      </c>
      <c r="C296" t="s">
        <v>3144</v>
      </c>
      <c r="E296" t="s">
        <v>3145</v>
      </c>
      <c r="F296" t="s">
        <v>93</v>
      </c>
      <c r="G296" t="s">
        <v>565</v>
      </c>
      <c r="H296">
        <v>225.95999999999901</v>
      </c>
      <c r="I296">
        <v>231</v>
      </c>
      <c r="J296">
        <v>0</v>
      </c>
      <c r="K296" t="s">
        <v>95</v>
      </c>
      <c r="L296">
        <v>-46.843018989999997</v>
      </c>
      <c r="M296">
        <f t="shared" si="37"/>
        <v>-207.30668697999738</v>
      </c>
      <c r="N296" t="s">
        <v>95</v>
      </c>
      <c r="O296" t="s">
        <v>566</v>
      </c>
      <c r="P296" t="s">
        <v>93</v>
      </c>
      <c r="Q296">
        <v>0</v>
      </c>
      <c r="R296" t="s">
        <v>95</v>
      </c>
      <c r="S296">
        <v>-47.600468739999997</v>
      </c>
      <c r="T296">
        <f t="shared" si="38"/>
        <v>-210.65882784563732</v>
      </c>
      <c r="U296" t="s">
        <v>95</v>
      </c>
      <c r="V296">
        <v>30015</v>
      </c>
      <c r="W296" t="s">
        <v>358</v>
      </c>
      <c r="X296">
        <v>298</v>
      </c>
      <c r="Y296" t="s">
        <v>359</v>
      </c>
      <c r="Z296">
        <v>-42.1</v>
      </c>
      <c r="AA296" t="s">
        <v>95</v>
      </c>
      <c r="AB296">
        <f t="shared" si="39"/>
        <v>-186.31616215259422</v>
      </c>
      <c r="AC296" t="s">
        <v>93</v>
      </c>
      <c r="AD296">
        <v>1.8</v>
      </c>
      <c r="AE296" t="s">
        <v>95</v>
      </c>
      <c r="AF296" t="s">
        <v>93</v>
      </c>
      <c r="AS296">
        <v>0.5</v>
      </c>
      <c r="BH296">
        <v>0.5</v>
      </c>
      <c r="CR296">
        <f t="shared" si="40"/>
        <v>-207.30668697999738</v>
      </c>
      <c r="CS296">
        <f t="shared" si="41"/>
        <v>-210.65882784563732</v>
      </c>
      <c r="CT296">
        <f t="shared" si="42"/>
        <v>-186.31616215259422</v>
      </c>
      <c r="CU296" s="7">
        <f t="shared" si="43"/>
        <v>-201.42722565940963</v>
      </c>
      <c r="CV296" s="9">
        <f t="shared" si="45"/>
        <v>225.95999999999901</v>
      </c>
      <c r="CW296" t="str">
        <f t="shared" si="44"/>
        <v>ErNi</v>
      </c>
    </row>
    <row r="297" spans="1:101" ht="15.75" thickBot="1" x14ac:dyDescent="0.3">
      <c r="A297" t="s">
        <v>91</v>
      </c>
      <c r="B297" t="s">
        <v>93</v>
      </c>
      <c r="C297" t="s">
        <v>3144</v>
      </c>
      <c r="E297" t="s">
        <v>3145</v>
      </c>
      <c r="F297" t="s">
        <v>93</v>
      </c>
      <c r="G297" t="s">
        <v>2759</v>
      </c>
      <c r="H297">
        <v>320.34154000000001</v>
      </c>
      <c r="I297">
        <v>1128</v>
      </c>
      <c r="M297">
        <f t="shared" si="37"/>
        <v>0</v>
      </c>
      <c r="O297" t="s">
        <v>93</v>
      </c>
      <c r="P297" t="s">
        <v>93</v>
      </c>
      <c r="T297">
        <f t="shared" si="38"/>
        <v>0</v>
      </c>
      <c r="V297" t="s">
        <v>93</v>
      </c>
      <c r="W297" t="s">
        <v>102</v>
      </c>
      <c r="X297">
        <v>298</v>
      </c>
      <c r="Y297" t="s">
        <v>103</v>
      </c>
      <c r="Z297">
        <v>-64.5</v>
      </c>
      <c r="AA297" t="s">
        <v>95</v>
      </c>
      <c r="AB297">
        <f t="shared" si="39"/>
        <v>-201.34759919053894</v>
      </c>
      <c r="AC297" t="s">
        <v>93</v>
      </c>
      <c r="AD297">
        <v>1.5</v>
      </c>
      <c r="AE297" t="s">
        <v>95</v>
      </c>
      <c r="AF297" t="s">
        <v>93</v>
      </c>
      <c r="AH297" t="s">
        <v>93</v>
      </c>
      <c r="AI297" t="s">
        <v>93</v>
      </c>
      <c r="AJ297" t="s">
        <v>93</v>
      </c>
      <c r="AK297" t="s">
        <v>93</v>
      </c>
      <c r="AP297">
        <v>0.25</v>
      </c>
      <c r="AR297">
        <v>0.25</v>
      </c>
      <c r="AV297">
        <v>0.5</v>
      </c>
      <c r="CR297">
        <f t="shared" si="40"/>
        <v>0</v>
      </c>
      <c r="CS297">
        <f t="shared" si="41"/>
        <v>0</v>
      </c>
      <c r="CT297">
        <f t="shared" si="42"/>
        <v>-201.34759919053894</v>
      </c>
      <c r="CU297" s="7">
        <f t="shared" si="43"/>
        <v>-201.34759919053894</v>
      </c>
      <c r="CV297" s="9">
        <f t="shared" si="45"/>
        <v>320.34154000000001</v>
      </c>
      <c r="CW297" t="str">
        <f t="shared" si="44"/>
        <v>Ru2ZrAl</v>
      </c>
    </row>
    <row r="298" spans="1:101" ht="15.75" thickBot="1" x14ac:dyDescent="0.3">
      <c r="A298" t="s">
        <v>91</v>
      </c>
      <c r="B298" t="s">
        <v>2808</v>
      </c>
      <c r="C298" t="s">
        <v>3144</v>
      </c>
      <c r="E298" t="s">
        <v>3145</v>
      </c>
      <c r="F298" t="s">
        <v>93</v>
      </c>
      <c r="G298" t="s">
        <v>2809</v>
      </c>
      <c r="H298">
        <v>372.40100000000001</v>
      </c>
      <c r="I298">
        <v>1148</v>
      </c>
      <c r="M298">
        <f t="shared" si="37"/>
        <v>0</v>
      </c>
      <c r="O298" t="s">
        <v>93</v>
      </c>
      <c r="P298" t="s">
        <v>93</v>
      </c>
      <c r="T298">
        <f t="shared" si="38"/>
        <v>0</v>
      </c>
      <c r="V298" t="s">
        <v>93</v>
      </c>
      <c r="W298" t="s">
        <v>870</v>
      </c>
      <c r="X298">
        <v>298</v>
      </c>
      <c r="Y298" t="s">
        <v>98</v>
      </c>
      <c r="Z298">
        <v>-74.7</v>
      </c>
      <c r="AA298" t="s">
        <v>95</v>
      </c>
      <c r="AB298">
        <f t="shared" si="39"/>
        <v>-200.59022397899039</v>
      </c>
      <c r="AC298" t="s">
        <v>93</v>
      </c>
      <c r="AD298">
        <v>3.1</v>
      </c>
      <c r="AE298" t="s">
        <v>95</v>
      </c>
      <c r="AF298" t="s">
        <v>93</v>
      </c>
      <c r="AH298" t="s">
        <v>93</v>
      </c>
      <c r="AI298" t="s">
        <v>93</v>
      </c>
      <c r="AJ298" t="s">
        <v>93</v>
      </c>
      <c r="AK298" t="s">
        <v>93</v>
      </c>
      <c r="BA298">
        <v>0.25</v>
      </c>
      <c r="BF298">
        <v>0.5</v>
      </c>
      <c r="CF298">
        <v>0.25</v>
      </c>
      <c r="CR298">
        <f t="shared" si="40"/>
        <v>0</v>
      </c>
      <c r="CS298">
        <f t="shared" si="41"/>
        <v>0</v>
      </c>
      <c r="CT298">
        <f t="shared" si="42"/>
        <v>-200.59022397899039</v>
      </c>
      <c r="CU298" s="7">
        <f t="shared" si="43"/>
        <v>-200.59022397899039</v>
      </c>
      <c r="CV298" s="9">
        <f t="shared" si="45"/>
        <v>372.40100000000001</v>
      </c>
      <c r="CW298" t="str">
        <f t="shared" si="44"/>
        <v>Rh2TiSn</v>
      </c>
    </row>
    <row r="299" spans="1:101" ht="15.75" thickBot="1" x14ac:dyDescent="0.3">
      <c r="A299" t="s">
        <v>91</v>
      </c>
      <c r="B299" t="s">
        <v>906</v>
      </c>
      <c r="C299" t="s">
        <v>3144</v>
      </c>
      <c r="E299" t="s">
        <v>3145</v>
      </c>
      <c r="F299" t="s">
        <v>93</v>
      </c>
      <c r="G299" t="s">
        <v>907</v>
      </c>
      <c r="H299">
        <v>408.10590000000002</v>
      </c>
      <c r="I299">
        <v>361</v>
      </c>
      <c r="J299">
        <v>0</v>
      </c>
      <c r="K299" t="s">
        <v>95</v>
      </c>
      <c r="L299">
        <v>-83.546885829999994</v>
      </c>
      <c r="M299">
        <f t="shared" si="37"/>
        <v>-204.71864246510523</v>
      </c>
      <c r="N299" t="s">
        <v>95</v>
      </c>
      <c r="O299" t="s">
        <v>908</v>
      </c>
      <c r="P299" t="s">
        <v>93</v>
      </c>
      <c r="Q299">
        <v>0</v>
      </c>
      <c r="R299" t="s">
        <v>95</v>
      </c>
      <c r="S299">
        <v>-82.911345749999995</v>
      </c>
      <c r="T299">
        <f t="shared" si="38"/>
        <v>-203.16135039949188</v>
      </c>
      <c r="U299" t="s">
        <v>95</v>
      </c>
      <c r="V299">
        <v>17986</v>
      </c>
      <c r="W299" t="s">
        <v>194</v>
      </c>
      <c r="X299">
        <v>298</v>
      </c>
      <c r="Y299" t="s">
        <v>103</v>
      </c>
      <c r="Z299">
        <v>-79</v>
      </c>
      <c r="AA299" t="s">
        <v>95</v>
      </c>
      <c r="AB299">
        <f t="shared" si="39"/>
        <v>-193.57720630846063</v>
      </c>
      <c r="AC299" t="s">
        <v>93</v>
      </c>
      <c r="AD299">
        <v>6.5</v>
      </c>
      <c r="AE299" t="s">
        <v>95</v>
      </c>
      <c r="AF299" t="s">
        <v>93</v>
      </c>
      <c r="AG299">
        <v>0.25</v>
      </c>
      <c r="AZ299">
        <v>0.75</v>
      </c>
      <c r="CR299">
        <f t="shared" si="40"/>
        <v>-204.71864246510523</v>
      </c>
      <c r="CS299">
        <f t="shared" si="41"/>
        <v>-203.16135039949188</v>
      </c>
      <c r="CT299">
        <f t="shared" si="42"/>
        <v>-193.57720630846063</v>
      </c>
      <c r="CU299" s="7">
        <f t="shared" si="43"/>
        <v>-200.48573305768591</v>
      </c>
      <c r="CV299" s="9">
        <f t="shared" si="45"/>
        <v>408.10590000000002</v>
      </c>
      <c r="CW299" t="str">
        <f t="shared" si="44"/>
        <v>YPd3</v>
      </c>
    </row>
    <row r="300" spans="1:101" ht="15.75" thickBot="1" x14ac:dyDescent="0.3">
      <c r="A300" t="s">
        <v>91</v>
      </c>
      <c r="B300" t="s">
        <v>657</v>
      </c>
      <c r="C300" t="s">
        <v>3144</v>
      </c>
      <c r="E300" t="s">
        <v>3145</v>
      </c>
      <c r="F300" t="s">
        <v>93</v>
      </c>
      <c r="G300" t="s">
        <v>658</v>
      </c>
      <c r="H300">
        <v>223.63040000000001</v>
      </c>
      <c r="I300">
        <v>266</v>
      </c>
      <c r="J300">
        <v>0</v>
      </c>
      <c r="K300" t="s">
        <v>95</v>
      </c>
      <c r="L300">
        <v>-45.56418025</v>
      </c>
      <c r="M300">
        <f t="shared" si="37"/>
        <v>-203.74770268264064</v>
      </c>
      <c r="N300" t="s">
        <v>95</v>
      </c>
      <c r="O300" t="s">
        <v>659</v>
      </c>
      <c r="P300" t="s">
        <v>93</v>
      </c>
      <c r="Q300">
        <v>0</v>
      </c>
      <c r="R300" t="s">
        <v>95</v>
      </c>
      <c r="S300">
        <v>-45.906725639999998</v>
      </c>
      <c r="T300">
        <f t="shared" si="38"/>
        <v>-205.27945055770593</v>
      </c>
      <c r="U300" t="s">
        <v>95</v>
      </c>
      <c r="V300">
        <v>18379</v>
      </c>
      <c r="W300" t="s">
        <v>358</v>
      </c>
      <c r="X300">
        <v>298</v>
      </c>
      <c r="Y300" t="s">
        <v>359</v>
      </c>
      <c r="Z300">
        <v>-41.7</v>
      </c>
      <c r="AA300" t="s">
        <v>95</v>
      </c>
      <c r="AB300">
        <f t="shared" si="39"/>
        <v>-186.46838712446967</v>
      </c>
      <c r="AC300" t="s">
        <v>93</v>
      </c>
      <c r="AD300">
        <v>1.4</v>
      </c>
      <c r="AE300" t="s">
        <v>95</v>
      </c>
      <c r="AF300" t="s">
        <v>93</v>
      </c>
      <c r="AS300">
        <v>0.5</v>
      </c>
      <c r="BJ300">
        <v>0.5</v>
      </c>
      <c r="CR300">
        <f t="shared" si="40"/>
        <v>-203.74770268264064</v>
      </c>
      <c r="CS300">
        <f t="shared" si="41"/>
        <v>-205.27945055770593</v>
      </c>
      <c r="CT300">
        <f t="shared" si="42"/>
        <v>-186.46838712446967</v>
      </c>
      <c r="CU300" s="7">
        <f t="shared" si="43"/>
        <v>-198.49851345493877</v>
      </c>
      <c r="CV300" s="9">
        <f t="shared" si="45"/>
        <v>223.63040000000001</v>
      </c>
      <c r="CW300" t="str">
        <f t="shared" si="44"/>
        <v>HoNi</v>
      </c>
    </row>
    <row r="301" spans="1:101" ht="15.75" thickBot="1" x14ac:dyDescent="0.3">
      <c r="A301" t="s">
        <v>91</v>
      </c>
      <c r="B301" t="s">
        <v>2274</v>
      </c>
      <c r="C301" t="s">
        <v>3144</v>
      </c>
      <c r="E301" t="s">
        <v>3145</v>
      </c>
      <c r="F301" t="s">
        <v>93</v>
      </c>
      <c r="G301" t="s">
        <v>2275</v>
      </c>
      <c r="H301">
        <v>219.85012</v>
      </c>
      <c r="I301">
        <v>909</v>
      </c>
      <c r="J301">
        <v>0</v>
      </c>
      <c r="K301" t="s">
        <v>95</v>
      </c>
      <c r="L301">
        <v>-43.110297690000003</v>
      </c>
      <c r="M301">
        <f t="shared" si="37"/>
        <v>-196.08948901187773</v>
      </c>
      <c r="N301" t="s">
        <v>95</v>
      </c>
      <c r="O301" t="s">
        <v>2276</v>
      </c>
      <c r="P301" t="s">
        <v>93</v>
      </c>
      <c r="Q301">
        <v>1.601752E-2</v>
      </c>
      <c r="R301" t="s">
        <v>95</v>
      </c>
      <c r="S301">
        <v>-43.240232229999997</v>
      </c>
      <c r="T301">
        <f t="shared" si="38"/>
        <v>-196.6805031991795</v>
      </c>
      <c r="U301" t="s">
        <v>95</v>
      </c>
      <c r="V301">
        <v>10484</v>
      </c>
      <c r="W301" t="s">
        <v>1313</v>
      </c>
      <c r="X301">
        <v>300</v>
      </c>
      <c r="Y301" t="s">
        <v>179</v>
      </c>
      <c r="Z301">
        <v>-44</v>
      </c>
      <c r="AA301" t="s">
        <v>95</v>
      </c>
      <c r="AB301">
        <f t="shared" si="39"/>
        <v>-200.13634743524361</v>
      </c>
      <c r="AF301" t="s">
        <v>93</v>
      </c>
      <c r="AL301">
        <v>0.25</v>
      </c>
      <c r="AR301">
        <v>0.75</v>
      </c>
      <c r="CC301">
        <v>2</v>
      </c>
      <c r="CD301" t="s">
        <v>95</v>
      </c>
      <c r="CE301" t="s">
        <v>93</v>
      </c>
      <c r="CR301">
        <f t="shared" si="40"/>
        <v>-196.08948901187773</v>
      </c>
      <c r="CS301">
        <f t="shared" si="41"/>
        <v>-196.6805031991795</v>
      </c>
      <c r="CT301">
        <f t="shared" si="42"/>
        <v>-200.13634743524361</v>
      </c>
      <c r="CU301" s="7">
        <f t="shared" si="43"/>
        <v>-197.63544654876694</v>
      </c>
      <c r="CV301" s="9">
        <f t="shared" si="45"/>
        <v>219.85012</v>
      </c>
      <c r="CW301" t="str">
        <f t="shared" si="44"/>
        <v>LaAl3</v>
      </c>
    </row>
    <row r="302" spans="1:101" ht="15.75" thickBot="1" x14ac:dyDescent="0.3">
      <c r="A302" t="s">
        <v>91</v>
      </c>
      <c r="B302" t="s">
        <v>991</v>
      </c>
      <c r="C302" t="s">
        <v>3144</v>
      </c>
      <c r="E302" t="s">
        <v>3145</v>
      </c>
      <c r="F302" t="s">
        <v>93</v>
      </c>
      <c r="G302" t="s">
        <v>992</v>
      </c>
      <c r="H302">
        <v>374.74520000000001</v>
      </c>
      <c r="I302">
        <v>396</v>
      </c>
      <c r="J302">
        <v>0</v>
      </c>
      <c r="K302" t="s">
        <v>95</v>
      </c>
      <c r="L302">
        <v>-74.558441779999995</v>
      </c>
      <c r="M302">
        <f t="shared" si="37"/>
        <v>-198.95769653620644</v>
      </c>
      <c r="N302" t="s">
        <v>95</v>
      </c>
      <c r="O302" t="s">
        <v>993</v>
      </c>
      <c r="P302" t="s">
        <v>93</v>
      </c>
      <c r="Q302">
        <v>0</v>
      </c>
      <c r="R302" t="s">
        <v>95</v>
      </c>
      <c r="S302">
        <v>-74.336350370000005</v>
      </c>
      <c r="T302">
        <f t="shared" si="38"/>
        <v>-198.365050092703</v>
      </c>
      <c r="U302" t="s">
        <v>95</v>
      </c>
      <c r="V302">
        <v>18077</v>
      </c>
      <c r="W302" t="s">
        <v>159</v>
      </c>
      <c r="X302">
        <v>298</v>
      </c>
      <c r="Y302" t="s">
        <v>160</v>
      </c>
      <c r="Z302">
        <v>-73</v>
      </c>
      <c r="AA302" t="s">
        <v>95</v>
      </c>
      <c r="AB302">
        <f t="shared" si="39"/>
        <v>-194.79902611160861</v>
      </c>
      <c r="AC302" t="s">
        <v>93</v>
      </c>
      <c r="AD302">
        <v>2</v>
      </c>
      <c r="AE302" t="s">
        <v>95</v>
      </c>
      <c r="AF302" t="s">
        <v>93</v>
      </c>
      <c r="BF302">
        <v>0.66</v>
      </c>
      <c r="BO302">
        <v>0.33</v>
      </c>
      <c r="CR302">
        <f t="shared" si="40"/>
        <v>-198.95769653620644</v>
      </c>
      <c r="CS302">
        <f t="shared" si="41"/>
        <v>-198.365050092703</v>
      </c>
      <c r="CT302">
        <f t="shared" si="42"/>
        <v>-194.79902611160861</v>
      </c>
      <c r="CU302" s="7">
        <f t="shared" si="43"/>
        <v>-197.37392424683935</v>
      </c>
      <c r="CV302" s="9">
        <f t="shared" si="45"/>
        <v>374.74520000000001</v>
      </c>
      <c r="CW302" t="str">
        <f t="shared" si="44"/>
        <v>TmRh2</v>
      </c>
    </row>
    <row r="303" spans="1:101" ht="15.75" thickBot="1" x14ac:dyDescent="0.3">
      <c r="A303" t="s">
        <v>91</v>
      </c>
      <c r="B303" t="s">
        <v>2751</v>
      </c>
      <c r="C303" t="s">
        <v>3144</v>
      </c>
      <c r="E303" t="s">
        <v>3145</v>
      </c>
      <c r="F303" t="s">
        <v>93</v>
      </c>
      <c r="G303" t="s">
        <v>2752</v>
      </c>
      <c r="H303">
        <v>281.16699999999997</v>
      </c>
      <c r="I303">
        <v>1125</v>
      </c>
      <c r="J303">
        <v>0</v>
      </c>
      <c r="K303" t="s">
        <v>95</v>
      </c>
      <c r="L303">
        <v>-54.946725559999997</v>
      </c>
      <c r="M303">
        <f t="shared" si="37"/>
        <v>-195.42380706128387</v>
      </c>
      <c r="N303" t="s">
        <v>95</v>
      </c>
      <c r="O303" t="s">
        <v>2753</v>
      </c>
      <c r="P303" t="s">
        <v>93</v>
      </c>
      <c r="Q303">
        <v>4.7953199999999996E-3</v>
      </c>
      <c r="R303" t="s">
        <v>95</v>
      </c>
      <c r="S303">
        <v>-54.558212439999998</v>
      </c>
      <c r="T303">
        <f t="shared" si="38"/>
        <v>-194.04201929813956</v>
      </c>
      <c r="U303" t="s">
        <v>95</v>
      </c>
      <c r="V303">
        <v>502753</v>
      </c>
      <c r="W303" t="s">
        <v>184</v>
      </c>
      <c r="X303">
        <v>298</v>
      </c>
      <c r="Y303" t="s">
        <v>185</v>
      </c>
      <c r="Z303">
        <v>-55.9</v>
      </c>
      <c r="AA303" t="s">
        <v>95</v>
      </c>
      <c r="AB303">
        <f t="shared" si="39"/>
        <v>-198.81422784323908</v>
      </c>
      <c r="AC303" t="s">
        <v>93</v>
      </c>
      <c r="AD303">
        <v>1.7</v>
      </c>
      <c r="AE303" t="s">
        <v>95</v>
      </c>
      <c r="AF303" t="s">
        <v>93</v>
      </c>
      <c r="AV303">
        <v>0.5</v>
      </c>
      <c r="BD303">
        <v>0.25</v>
      </c>
      <c r="BX303">
        <v>0.25</v>
      </c>
      <c r="CR303">
        <f t="shared" si="40"/>
        <v>-195.42380706128387</v>
      </c>
      <c r="CS303">
        <f t="shared" si="41"/>
        <v>-194.04201929813956</v>
      </c>
      <c r="CT303">
        <f t="shared" si="42"/>
        <v>-198.81422784323908</v>
      </c>
      <c r="CU303" s="7">
        <f t="shared" si="43"/>
        <v>-196.09335140088751</v>
      </c>
      <c r="CV303" s="9">
        <f t="shared" si="45"/>
        <v>281.16699999999997</v>
      </c>
      <c r="CW303" t="str">
        <f t="shared" si="44"/>
        <v>VSiRu2</v>
      </c>
    </row>
    <row r="304" spans="1:101" ht="15.75" thickBot="1" x14ac:dyDescent="0.3">
      <c r="A304" t="s">
        <v>91</v>
      </c>
      <c r="B304" t="s">
        <v>2292</v>
      </c>
      <c r="C304" t="s">
        <v>3144</v>
      </c>
      <c r="E304" t="s">
        <v>3145</v>
      </c>
      <c r="F304" t="s">
        <v>93</v>
      </c>
      <c r="G304" t="s">
        <v>2293</v>
      </c>
      <c r="H304">
        <v>231.34461999999999</v>
      </c>
      <c r="I304">
        <v>916</v>
      </c>
      <c r="J304">
        <v>0</v>
      </c>
      <c r="K304" t="s">
        <v>95</v>
      </c>
      <c r="L304">
        <v>-42.532759259999999</v>
      </c>
      <c r="M304">
        <f t="shared" si="37"/>
        <v>-183.85021990137483</v>
      </c>
      <c r="N304" t="s">
        <v>95</v>
      </c>
      <c r="O304" t="s">
        <v>2294</v>
      </c>
      <c r="P304" t="s">
        <v>93</v>
      </c>
      <c r="T304">
        <f t="shared" si="38"/>
        <v>0</v>
      </c>
      <c r="V304" t="s">
        <v>93</v>
      </c>
      <c r="W304" t="s">
        <v>1313</v>
      </c>
      <c r="X304">
        <v>300</v>
      </c>
      <c r="Y304" t="s">
        <v>179</v>
      </c>
      <c r="Z304">
        <v>-48</v>
      </c>
      <c r="AA304" t="s">
        <v>95</v>
      </c>
      <c r="AB304">
        <f t="shared" si="39"/>
        <v>-207.48267238719447</v>
      </c>
      <c r="AF304" t="s">
        <v>93</v>
      </c>
      <c r="AJ304" t="s">
        <v>93</v>
      </c>
      <c r="AK304" t="s">
        <v>93</v>
      </c>
      <c r="AR304">
        <v>0.75</v>
      </c>
      <c r="BN304">
        <v>0.25</v>
      </c>
      <c r="CC304">
        <v>2</v>
      </c>
      <c r="CD304" t="s">
        <v>95</v>
      </c>
      <c r="CE304" t="s">
        <v>93</v>
      </c>
      <c r="CR304">
        <f t="shared" si="40"/>
        <v>-183.85021990137483</v>
      </c>
      <c r="CS304">
        <f t="shared" si="41"/>
        <v>0</v>
      </c>
      <c r="CT304">
        <f t="shared" si="42"/>
        <v>-207.48267238719447</v>
      </c>
      <c r="CU304" s="7">
        <f t="shared" si="43"/>
        <v>-195.66644614428463</v>
      </c>
      <c r="CV304" s="9">
        <f t="shared" si="45"/>
        <v>231.34461999999999</v>
      </c>
      <c r="CW304" t="str">
        <f t="shared" si="44"/>
        <v>SmAl3</v>
      </c>
    </row>
    <row r="305" spans="1:101" ht="15.75" thickBot="1" x14ac:dyDescent="0.3">
      <c r="A305" t="s">
        <v>91</v>
      </c>
      <c r="B305" t="s">
        <v>2695</v>
      </c>
      <c r="C305" t="s">
        <v>3144</v>
      </c>
      <c r="E305" t="s">
        <v>3145</v>
      </c>
      <c r="F305" t="s">
        <v>93</v>
      </c>
      <c r="G305" t="s">
        <v>2696</v>
      </c>
      <c r="H305">
        <v>330.42</v>
      </c>
      <c r="I305">
        <v>1102</v>
      </c>
      <c r="J305">
        <v>0</v>
      </c>
      <c r="K305" t="s">
        <v>95</v>
      </c>
      <c r="L305">
        <v>-63.714653519999999</v>
      </c>
      <c r="M305">
        <f t="shared" si="37"/>
        <v>-192.82928854185582</v>
      </c>
      <c r="N305" t="s">
        <v>95</v>
      </c>
      <c r="O305" t="s">
        <v>2697</v>
      </c>
      <c r="P305" t="s">
        <v>93</v>
      </c>
      <c r="Q305">
        <v>0</v>
      </c>
      <c r="R305" t="s">
        <v>95</v>
      </c>
      <c r="S305">
        <v>-64.341401289999993</v>
      </c>
      <c r="T305">
        <f t="shared" si="38"/>
        <v>-194.72611007202951</v>
      </c>
      <c r="U305" t="s">
        <v>95</v>
      </c>
      <c r="V305">
        <v>463385</v>
      </c>
      <c r="W305" t="s">
        <v>184</v>
      </c>
      <c r="X305">
        <v>298</v>
      </c>
      <c r="Y305" t="s">
        <v>185</v>
      </c>
      <c r="Z305">
        <v>-65.599999999999994</v>
      </c>
      <c r="AA305" t="s">
        <v>95</v>
      </c>
      <c r="AB305">
        <f t="shared" si="39"/>
        <v>-198.53519762726225</v>
      </c>
      <c r="AC305" t="s">
        <v>93</v>
      </c>
      <c r="AD305">
        <v>3.6</v>
      </c>
      <c r="AE305" t="s">
        <v>95</v>
      </c>
      <c r="AF305" t="s">
        <v>93</v>
      </c>
      <c r="AZ305">
        <v>0.5</v>
      </c>
      <c r="BA305">
        <v>0.25</v>
      </c>
      <c r="BY305">
        <v>0.25</v>
      </c>
      <c r="CR305">
        <f t="shared" si="40"/>
        <v>-192.82928854185582</v>
      </c>
      <c r="CS305">
        <f t="shared" si="41"/>
        <v>-194.72611007202951</v>
      </c>
      <c r="CT305">
        <f t="shared" si="42"/>
        <v>-198.53519762726225</v>
      </c>
      <c r="CU305" s="7">
        <f t="shared" si="43"/>
        <v>-195.36353208038256</v>
      </c>
      <c r="CV305" s="9">
        <f t="shared" si="45"/>
        <v>330.42</v>
      </c>
      <c r="CW305" t="str">
        <f t="shared" si="44"/>
        <v>TiGaPd2</v>
      </c>
    </row>
    <row r="306" spans="1:101" ht="15.75" thickBot="1" x14ac:dyDescent="0.3">
      <c r="A306" t="s">
        <v>91</v>
      </c>
      <c r="B306" t="s">
        <v>668</v>
      </c>
      <c r="C306" t="s">
        <v>3144</v>
      </c>
      <c r="E306" t="s">
        <v>3145</v>
      </c>
      <c r="F306" t="s">
        <v>93</v>
      </c>
      <c r="G306" t="s">
        <v>669</v>
      </c>
      <c r="H306">
        <v>370.7414</v>
      </c>
      <c r="I306">
        <v>270</v>
      </c>
      <c r="J306">
        <v>0</v>
      </c>
      <c r="K306" t="s">
        <v>95</v>
      </c>
      <c r="L306">
        <v>-73.563962189999998</v>
      </c>
      <c r="M306">
        <f t="shared" si="37"/>
        <v>-198.42392079762334</v>
      </c>
      <c r="N306" t="s">
        <v>95</v>
      </c>
      <c r="O306" t="s">
        <v>670</v>
      </c>
      <c r="P306" t="s">
        <v>121</v>
      </c>
      <c r="Q306">
        <v>0</v>
      </c>
      <c r="R306" t="s">
        <v>95</v>
      </c>
      <c r="S306">
        <v>-73.211854430000002</v>
      </c>
      <c r="T306">
        <f t="shared" si="38"/>
        <v>-197.47418127568164</v>
      </c>
      <c r="U306" t="s">
        <v>95</v>
      </c>
      <c r="V306">
        <v>17475</v>
      </c>
      <c r="W306" t="s">
        <v>159</v>
      </c>
      <c r="X306">
        <v>298</v>
      </c>
      <c r="Y306" t="s">
        <v>160</v>
      </c>
      <c r="Z306">
        <v>-70.400000000000006</v>
      </c>
      <c r="AA306" t="s">
        <v>95</v>
      </c>
      <c r="AB306">
        <f t="shared" si="39"/>
        <v>-189.88977222398145</v>
      </c>
      <c r="AC306" t="s">
        <v>93</v>
      </c>
      <c r="AD306">
        <v>1.5</v>
      </c>
      <c r="AE306" t="s">
        <v>95</v>
      </c>
      <c r="AF306" t="s">
        <v>93</v>
      </c>
      <c r="BF306">
        <v>0.66</v>
      </c>
      <c r="BJ306">
        <v>0.33</v>
      </c>
      <c r="CR306">
        <f t="shared" si="40"/>
        <v>-198.42392079762334</v>
      </c>
      <c r="CS306">
        <f t="shared" si="41"/>
        <v>-197.47418127568164</v>
      </c>
      <c r="CT306">
        <f t="shared" si="42"/>
        <v>-189.88977222398145</v>
      </c>
      <c r="CU306" s="7">
        <f t="shared" si="43"/>
        <v>-195.26262476576213</v>
      </c>
      <c r="CV306" s="9">
        <f t="shared" si="45"/>
        <v>370.7414</v>
      </c>
      <c r="CW306" t="str">
        <f t="shared" si="44"/>
        <v>HoRh2</v>
      </c>
    </row>
    <row r="307" spans="1:101" ht="15.75" thickBot="1" x14ac:dyDescent="0.3">
      <c r="A307" t="s">
        <v>91</v>
      </c>
      <c r="B307" t="s">
        <v>2868</v>
      </c>
      <c r="C307" t="s">
        <v>3144</v>
      </c>
      <c r="E307" t="s">
        <v>3145</v>
      </c>
      <c r="F307" t="s">
        <v>93</v>
      </c>
      <c r="G307" t="s">
        <v>2869</v>
      </c>
      <c r="H307">
        <v>402.13</v>
      </c>
      <c r="I307">
        <v>1175</v>
      </c>
      <c r="J307">
        <v>0</v>
      </c>
      <c r="K307" t="s">
        <v>95</v>
      </c>
      <c r="L307">
        <v>-71.240920259999996</v>
      </c>
      <c r="M307">
        <f t="shared" si="37"/>
        <v>-177.15892935120485</v>
      </c>
      <c r="N307" t="s">
        <v>95</v>
      </c>
      <c r="O307" t="s">
        <v>2870</v>
      </c>
      <c r="P307" t="s">
        <v>121</v>
      </c>
      <c r="Q307">
        <v>0</v>
      </c>
      <c r="R307" t="s">
        <v>95</v>
      </c>
      <c r="S307">
        <v>-74.623222589999997</v>
      </c>
      <c r="T307">
        <f t="shared" si="38"/>
        <v>-185.56989677467487</v>
      </c>
      <c r="U307" t="s">
        <v>95</v>
      </c>
      <c r="V307">
        <v>24958</v>
      </c>
      <c r="W307" t="s">
        <v>169</v>
      </c>
      <c r="X307">
        <v>298</v>
      </c>
      <c r="Y307" t="s">
        <v>2871</v>
      </c>
      <c r="Z307">
        <v>-89.1</v>
      </c>
      <c r="AA307" t="s">
        <v>95</v>
      </c>
      <c r="AB307">
        <f t="shared" si="39"/>
        <v>-221.57013900977296</v>
      </c>
      <c r="AC307" t="s">
        <v>93</v>
      </c>
      <c r="AD307">
        <v>2.6</v>
      </c>
      <c r="AE307" t="s">
        <v>95</v>
      </c>
      <c r="AF307" t="s">
        <v>93</v>
      </c>
      <c r="AP307">
        <v>0.33300000000000002</v>
      </c>
      <c r="BB307">
        <v>0.33300000000000002</v>
      </c>
      <c r="CF307">
        <v>0.33300000000000002</v>
      </c>
      <c r="CR307">
        <f t="shared" si="40"/>
        <v>-177.15892935120485</v>
      </c>
      <c r="CS307">
        <f t="shared" si="41"/>
        <v>-185.56989677467487</v>
      </c>
      <c r="CT307">
        <f t="shared" si="42"/>
        <v>-221.57013900977296</v>
      </c>
      <c r="CU307" s="7">
        <f t="shared" si="43"/>
        <v>-194.76632171188422</v>
      </c>
      <c r="CV307" s="9">
        <f t="shared" si="45"/>
        <v>402.13</v>
      </c>
      <c r="CW307" t="str">
        <f t="shared" si="44"/>
        <v>ZrSnIr</v>
      </c>
    </row>
    <row r="308" spans="1:101" ht="15.75" thickBot="1" x14ac:dyDescent="0.3">
      <c r="A308" t="s">
        <v>91</v>
      </c>
      <c r="B308" t="s">
        <v>954</v>
      </c>
      <c r="C308" t="s">
        <v>3144</v>
      </c>
      <c r="E308" t="s">
        <v>3145</v>
      </c>
      <c r="F308" t="s">
        <v>93</v>
      </c>
      <c r="G308" t="s">
        <v>955</v>
      </c>
      <c r="H308">
        <v>559.11419999999998</v>
      </c>
      <c r="I308">
        <v>381</v>
      </c>
      <c r="J308">
        <v>0</v>
      </c>
      <c r="K308" t="s">
        <v>95</v>
      </c>
      <c r="L308">
        <v>-107.1606317</v>
      </c>
      <c r="M308">
        <f t="shared" si="37"/>
        <v>-191.66143821780952</v>
      </c>
      <c r="N308" t="s">
        <v>95</v>
      </c>
      <c r="O308" t="s">
        <v>956</v>
      </c>
      <c r="P308" t="s">
        <v>93</v>
      </c>
      <c r="Q308">
        <v>3.1041087699999999</v>
      </c>
      <c r="R308" t="s">
        <v>95</v>
      </c>
      <c r="S308">
        <v>-106.9862651</v>
      </c>
      <c r="T308">
        <f t="shared" si="38"/>
        <v>-191.34957599002135</v>
      </c>
      <c r="U308" t="s">
        <v>95</v>
      </c>
      <c r="V308">
        <v>18020</v>
      </c>
      <c r="W308" t="s">
        <v>159</v>
      </c>
      <c r="X308">
        <v>298</v>
      </c>
      <c r="Y308" t="s">
        <v>160</v>
      </c>
      <c r="Z308">
        <v>-112.4</v>
      </c>
      <c r="AA308" t="s">
        <v>95</v>
      </c>
      <c r="AB308">
        <f t="shared" si="39"/>
        <v>-201.03227569609214</v>
      </c>
      <c r="AC308" t="s">
        <v>93</v>
      </c>
      <c r="AD308">
        <v>3.1</v>
      </c>
      <c r="AE308" t="s">
        <v>95</v>
      </c>
      <c r="AF308" t="s">
        <v>93</v>
      </c>
      <c r="AY308">
        <v>0.66</v>
      </c>
      <c r="BO308">
        <v>0.33</v>
      </c>
      <c r="CR308">
        <f t="shared" si="40"/>
        <v>-191.66143821780952</v>
      </c>
      <c r="CS308">
        <f t="shared" si="41"/>
        <v>-191.34957599002135</v>
      </c>
      <c r="CT308">
        <f t="shared" si="42"/>
        <v>-201.03227569609214</v>
      </c>
      <c r="CU308" s="7">
        <f t="shared" si="43"/>
        <v>-194.68109663464099</v>
      </c>
      <c r="CV308" s="9">
        <f t="shared" si="45"/>
        <v>559.11419999999998</v>
      </c>
      <c r="CW308" t="str">
        <f t="shared" si="44"/>
        <v>TmPt2</v>
      </c>
    </row>
    <row r="309" spans="1:101" ht="15.75" thickBot="1" x14ac:dyDescent="0.3">
      <c r="A309" t="s">
        <v>91</v>
      </c>
      <c r="B309" t="s">
        <v>576</v>
      </c>
      <c r="C309" t="s">
        <v>3144</v>
      </c>
      <c r="E309" t="s">
        <v>3145</v>
      </c>
      <c r="F309" t="s">
        <v>93</v>
      </c>
      <c r="G309" t="s">
        <v>577</v>
      </c>
      <c r="H309">
        <v>373.07100000000003</v>
      </c>
      <c r="I309">
        <v>235</v>
      </c>
      <c r="J309">
        <v>0</v>
      </c>
      <c r="K309" t="s">
        <v>95</v>
      </c>
      <c r="L309">
        <v>-74.071958460000005</v>
      </c>
      <c r="M309">
        <f t="shared" si="37"/>
        <v>-198.54654599258586</v>
      </c>
      <c r="N309" t="s">
        <v>95</v>
      </c>
      <c r="O309" t="s">
        <v>578</v>
      </c>
      <c r="P309" t="s">
        <v>93</v>
      </c>
      <c r="Q309">
        <v>0</v>
      </c>
      <c r="R309" t="s">
        <v>95</v>
      </c>
      <c r="S309">
        <v>-73.894753069999993</v>
      </c>
      <c r="T309">
        <f t="shared" si="38"/>
        <v>-198.07155493190302</v>
      </c>
      <c r="U309" t="s">
        <v>95</v>
      </c>
      <c r="V309">
        <v>30042</v>
      </c>
      <c r="W309" t="s">
        <v>159</v>
      </c>
      <c r="X309">
        <v>298</v>
      </c>
      <c r="Y309" t="s">
        <v>160</v>
      </c>
      <c r="Z309">
        <v>-69.8</v>
      </c>
      <c r="AA309" t="s">
        <v>95</v>
      </c>
      <c r="AB309">
        <f t="shared" si="39"/>
        <v>-187.09575389135043</v>
      </c>
      <c r="AC309" t="s">
        <v>93</v>
      </c>
      <c r="AD309">
        <v>2</v>
      </c>
      <c r="AE309" t="s">
        <v>95</v>
      </c>
      <c r="AF309" t="s">
        <v>93</v>
      </c>
      <c r="BF309">
        <v>0.66</v>
      </c>
      <c r="BH309">
        <v>0.33</v>
      </c>
      <c r="CR309">
        <f t="shared" si="40"/>
        <v>-198.54654599258586</v>
      </c>
      <c r="CS309">
        <f t="shared" si="41"/>
        <v>-198.07155493190302</v>
      </c>
      <c r="CT309">
        <f t="shared" si="42"/>
        <v>-187.09575389135043</v>
      </c>
      <c r="CU309" s="7">
        <f t="shared" si="43"/>
        <v>-194.5712849386131</v>
      </c>
      <c r="CV309" s="9">
        <f t="shared" si="45"/>
        <v>373.07100000000003</v>
      </c>
      <c r="CW309" t="str">
        <f t="shared" si="44"/>
        <v>ErRh2</v>
      </c>
    </row>
    <row r="310" spans="1:101" ht="15.75" thickBot="1" x14ac:dyDescent="0.3">
      <c r="A310" t="s">
        <v>91</v>
      </c>
      <c r="B310" t="s">
        <v>1641</v>
      </c>
      <c r="C310" t="s">
        <v>3144</v>
      </c>
      <c r="E310" t="s">
        <v>3145</v>
      </c>
      <c r="F310" t="s">
        <v>93</v>
      </c>
      <c r="G310" t="s">
        <v>1642</v>
      </c>
      <c r="H310">
        <v>237.1189</v>
      </c>
      <c r="I310">
        <v>631</v>
      </c>
      <c r="J310" s="1">
        <v>6.3999999999999997E-5</v>
      </c>
      <c r="K310" t="s">
        <v>95</v>
      </c>
      <c r="L310">
        <v>-46.192879040000001</v>
      </c>
      <c r="M310">
        <f t="shared" si="37"/>
        <v>-194.80892935991184</v>
      </c>
      <c r="N310" t="s">
        <v>95</v>
      </c>
      <c r="O310" t="s">
        <v>1643</v>
      </c>
      <c r="P310" t="s">
        <v>93</v>
      </c>
      <c r="Q310">
        <v>0</v>
      </c>
      <c r="R310" t="s">
        <v>95</v>
      </c>
      <c r="S310">
        <v>-46.105250419999997</v>
      </c>
      <c r="T310">
        <f t="shared" si="38"/>
        <v>-194.43937374878172</v>
      </c>
      <c r="U310" t="s">
        <v>95</v>
      </c>
      <c r="V310">
        <v>8153</v>
      </c>
      <c r="W310" t="s">
        <v>164</v>
      </c>
      <c r="X310">
        <v>298</v>
      </c>
      <c r="Y310" t="s">
        <v>1380</v>
      </c>
      <c r="Z310">
        <v>-46</v>
      </c>
      <c r="AA310" t="s">
        <v>95</v>
      </c>
      <c r="AB310">
        <f t="shared" si="39"/>
        <v>-193.99550183473355</v>
      </c>
      <c r="AC310" t="s">
        <v>93</v>
      </c>
      <c r="AD310">
        <v>2.5</v>
      </c>
      <c r="AE310" t="s">
        <v>95</v>
      </c>
      <c r="AF310" t="s">
        <v>93</v>
      </c>
      <c r="BE310">
        <v>0.33</v>
      </c>
      <c r="BX310">
        <v>0.66</v>
      </c>
      <c r="CR310">
        <f t="shared" si="40"/>
        <v>-194.80892935991184</v>
      </c>
      <c r="CS310">
        <f t="shared" si="41"/>
        <v>-194.43937374878172</v>
      </c>
      <c r="CT310">
        <f t="shared" si="42"/>
        <v>-193.99550183473355</v>
      </c>
      <c r="CU310" s="7">
        <f t="shared" si="43"/>
        <v>-194.41460164780904</v>
      </c>
      <c r="CV310" s="9">
        <f t="shared" si="45"/>
        <v>237.1189</v>
      </c>
      <c r="CW310" t="str">
        <f t="shared" si="44"/>
        <v>TaSi2</v>
      </c>
    </row>
    <row r="311" spans="1:101" ht="15.75" thickBot="1" x14ac:dyDescent="0.3">
      <c r="A311" t="s">
        <v>484</v>
      </c>
      <c r="B311" t="s">
        <v>2170</v>
      </c>
      <c r="C311" t="s">
        <v>3138</v>
      </c>
      <c r="D311" t="s">
        <v>3139</v>
      </c>
      <c r="F311" t="s">
        <v>3140</v>
      </c>
      <c r="G311" t="s">
        <v>2171</v>
      </c>
      <c r="H311">
        <v>442.549499999999</v>
      </c>
      <c r="I311">
        <v>864</v>
      </c>
      <c r="J311">
        <v>0</v>
      </c>
      <c r="K311" t="s">
        <v>95</v>
      </c>
      <c r="L311">
        <v>-81.474045820000001</v>
      </c>
      <c r="M311">
        <f t="shared" si="37"/>
        <v>-184.10154303642912</v>
      </c>
      <c r="N311" t="s">
        <v>95</v>
      </c>
      <c r="O311" t="s">
        <v>2172</v>
      </c>
      <c r="P311" t="s">
        <v>93</v>
      </c>
      <c r="Q311">
        <v>0</v>
      </c>
      <c r="R311" t="s">
        <v>95</v>
      </c>
      <c r="S311">
        <v>-81.517455620000007</v>
      </c>
      <c r="T311">
        <f t="shared" si="38"/>
        <v>-184.1996333065571</v>
      </c>
      <c r="U311" t="s">
        <v>95</v>
      </c>
      <c r="V311">
        <v>647319</v>
      </c>
      <c r="W311" t="s">
        <v>339</v>
      </c>
      <c r="X311">
        <v>298</v>
      </c>
      <c r="Y311" t="s">
        <v>1403</v>
      </c>
      <c r="Z311">
        <v>-93.4</v>
      </c>
      <c r="AA311" t="s">
        <v>95</v>
      </c>
      <c r="AB311">
        <f t="shared" si="39"/>
        <v>-211.04983736282657</v>
      </c>
      <c r="AC311" t="s">
        <v>93</v>
      </c>
      <c r="AD311">
        <v>3.8</v>
      </c>
      <c r="AE311" t="s">
        <v>95</v>
      </c>
      <c r="AF311" t="s">
        <v>93</v>
      </c>
      <c r="CA311">
        <v>0.375</v>
      </c>
      <c r="CR311">
        <f t="shared" si="40"/>
        <v>-184.10154303642912</v>
      </c>
      <c r="CS311">
        <f t="shared" si="41"/>
        <v>-184.1996333065571</v>
      </c>
      <c r="CT311">
        <f t="shared" si="42"/>
        <v>-211.04983736282657</v>
      </c>
      <c r="CU311" s="7">
        <f t="shared" si="43"/>
        <v>-193.11700456860424</v>
      </c>
      <c r="CV311" s="9">
        <f t="shared" si="45"/>
        <v>442.549499999999</v>
      </c>
      <c r="CW311" t="str">
        <f t="shared" si="44"/>
        <v>Sc5Ge3</v>
      </c>
    </row>
    <row r="312" spans="1:101" ht="15.75" thickBot="1" x14ac:dyDescent="0.3">
      <c r="A312" t="s">
        <v>91</v>
      </c>
      <c r="B312" t="s">
        <v>923</v>
      </c>
      <c r="C312" t="s">
        <v>3144</v>
      </c>
      <c r="E312" t="s">
        <v>3145</v>
      </c>
      <c r="G312" t="s">
        <v>1998</v>
      </c>
      <c r="H312">
        <v>410.42</v>
      </c>
      <c r="I312">
        <v>780</v>
      </c>
      <c r="J312">
        <v>0</v>
      </c>
      <c r="K312" t="s">
        <v>95</v>
      </c>
      <c r="L312">
        <v>-79.440661349999999</v>
      </c>
      <c r="M312">
        <f t="shared" si="37"/>
        <v>-193.55943021782562</v>
      </c>
      <c r="N312" t="s">
        <v>95</v>
      </c>
      <c r="O312" t="s">
        <v>1999</v>
      </c>
      <c r="P312" t="s">
        <v>93</v>
      </c>
      <c r="Q312">
        <v>0</v>
      </c>
      <c r="R312" t="s">
        <v>95</v>
      </c>
      <c r="S312">
        <v>-78.905919650000001</v>
      </c>
      <c r="T312">
        <f t="shared" si="38"/>
        <v>-192.25651686077674</v>
      </c>
      <c r="U312" t="s">
        <v>95</v>
      </c>
      <c r="V312">
        <v>17991</v>
      </c>
      <c r="W312" t="s">
        <v>339</v>
      </c>
      <c r="X312">
        <v>1573</v>
      </c>
      <c r="Y312" t="s">
        <v>179</v>
      </c>
      <c r="AB312">
        <f t="shared" si="39"/>
        <v>0</v>
      </c>
      <c r="AC312" t="s">
        <v>93</v>
      </c>
      <c r="AD312">
        <v>5</v>
      </c>
      <c r="AE312" t="s">
        <v>95</v>
      </c>
      <c r="AF312" t="s">
        <v>93</v>
      </c>
      <c r="AP312">
        <v>0.25</v>
      </c>
      <c r="AZ312">
        <v>0.75</v>
      </c>
      <c r="CG312">
        <v>-82.8</v>
      </c>
      <c r="CH312" t="s">
        <v>95</v>
      </c>
      <c r="CI312" t="s">
        <v>93</v>
      </c>
      <c r="CR312">
        <f t="shared" si="40"/>
        <v>-193.55943021782562</v>
      </c>
      <c r="CS312">
        <f t="shared" si="41"/>
        <v>-192.25651686077674</v>
      </c>
      <c r="CT312">
        <f t="shared" si="42"/>
        <v>0</v>
      </c>
      <c r="CU312" s="7">
        <f t="shared" si="43"/>
        <v>-192.90797353930117</v>
      </c>
      <c r="CV312" s="9">
        <f t="shared" si="45"/>
        <v>410.42</v>
      </c>
      <c r="CW312" t="str">
        <f t="shared" si="44"/>
        <v>ZrPd3</v>
      </c>
    </row>
    <row r="313" spans="1:101" ht="15.75" thickBot="1" x14ac:dyDescent="0.3">
      <c r="A313" t="s">
        <v>91</v>
      </c>
      <c r="B313" t="s">
        <v>2674</v>
      </c>
      <c r="C313" t="s">
        <v>3144</v>
      </c>
      <c r="E313" t="s">
        <v>3145</v>
      </c>
      <c r="F313" t="s">
        <v>93</v>
      </c>
      <c r="G313" t="s">
        <v>2675</v>
      </c>
      <c r="H313">
        <v>418.27154000000002</v>
      </c>
      <c r="I313">
        <v>1093</v>
      </c>
      <c r="J313">
        <v>0</v>
      </c>
      <c r="K313" t="s">
        <v>95</v>
      </c>
      <c r="L313">
        <v>-80.233374350000005</v>
      </c>
      <c r="M313">
        <f t="shared" si="37"/>
        <v>-191.82126125530797</v>
      </c>
      <c r="N313" t="s">
        <v>95</v>
      </c>
      <c r="O313" t="s">
        <v>2676</v>
      </c>
      <c r="P313" t="s">
        <v>121</v>
      </c>
      <c r="Q313">
        <v>5.411349E-2</v>
      </c>
      <c r="R313" t="s">
        <v>95</v>
      </c>
      <c r="S313">
        <v>-80.041294010000001</v>
      </c>
      <c r="T313">
        <f t="shared" si="38"/>
        <v>-191.36203723064688</v>
      </c>
      <c r="U313" t="s">
        <v>95</v>
      </c>
      <c r="V313">
        <v>10474</v>
      </c>
      <c r="W313" t="s">
        <v>184</v>
      </c>
      <c r="X313">
        <v>298</v>
      </c>
      <c r="Y313" t="s">
        <v>185</v>
      </c>
      <c r="Z313">
        <v>-81.599999999999994</v>
      </c>
      <c r="AA313" t="s">
        <v>95</v>
      </c>
      <c r="AB313">
        <f t="shared" si="39"/>
        <v>-195.08857810407085</v>
      </c>
      <c r="AC313" t="s">
        <v>93</v>
      </c>
      <c r="AD313">
        <v>2.4</v>
      </c>
      <c r="AE313" t="s">
        <v>95</v>
      </c>
      <c r="AF313" t="s">
        <v>93</v>
      </c>
      <c r="AQ313">
        <v>0.25</v>
      </c>
      <c r="AR313">
        <v>0.25</v>
      </c>
      <c r="AZ313">
        <v>0.5</v>
      </c>
      <c r="CR313">
        <f t="shared" si="40"/>
        <v>-191.82126125530797</v>
      </c>
      <c r="CS313">
        <f t="shared" si="41"/>
        <v>-191.36203723064688</v>
      </c>
      <c r="CT313">
        <f t="shared" si="42"/>
        <v>-195.08857810407085</v>
      </c>
      <c r="CU313" s="7">
        <f t="shared" si="43"/>
        <v>-192.75729219667525</v>
      </c>
      <c r="CV313" s="9">
        <f t="shared" si="45"/>
        <v>418.27154000000002</v>
      </c>
      <c r="CW313" t="str">
        <f t="shared" si="44"/>
        <v>HfAlPd2</v>
      </c>
    </row>
    <row r="314" spans="1:101" ht="15.75" thickBot="1" x14ac:dyDescent="0.3">
      <c r="A314" t="s">
        <v>91</v>
      </c>
      <c r="B314" t="s">
        <v>685</v>
      </c>
      <c r="C314" t="s">
        <v>3144</v>
      </c>
      <c r="E314" t="s">
        <v>3145</v>
      </c>
      <c r="F314" t="s">
        <v>93</v>
      </c>
      <c r="G314" t="s">
        <v>686</v>
      </c>
      <c r="H314">
        <v>555.11040000000003</v>
      </c>
      <c r="I314">
        <v>277</v>
      </c>
      <c r="J314">
        <v>0</v>
      </c>
      <c r="K314" t="s">
        <v>95</v>
      </c>
      <c r="L314">
        <v>-107.3439697</v>
      </c>
      <c r="M314">
        <f t="shared" si="37"/>
        <v>-193.3740922526402</v>
      </c>
      <c r="N314" t="s">
        <v>95</v>
      </c>
      <c r="O314" t="s">
        <v>687</v>
      </c>
      <c r="P314" t="s">
        <v>93</v>
      </c>
      <c r="Q314">
        <v>1.66507239</v>
      </c>
      <c r="R314" t="s">
        <v>95</v>
      </c>
      <c r="S314">
        <v>-107.0222737</v>
      </c>
      <c r="T314">
        <f t="shared" si="38"/>
        <v>-192.79457509713384</v>
      </c>
      <c r="U314" t="s">
        <v>95</v>
      </c>
      <c r="V314">
        <v>17471</v>
      </c>
      <c r="W314" t="s">
        <v>159</v>
      </c>
      <c r="X314">
        <v>298</v>
      </c>
      <c r="Y314" t="s">
        <v>160</v>
      </c>
      <c r="Z314">
        <v>-106.6</v>
      </c>
      <c r="AA314" t="s">
        <v>95</v>
      </c>
      <c r="AB314">
        <f t="shared" si="39"/>
        <v>-192.03387290167865</v>
      </c>
      <c r="AC314" t="s">
        <v>93</v>
      </c>
      <c r="AD314">
        <v>4.8</v>
      </c>
      <c r="AE314" t="s">
        <v>95</v>
      </c>
      <c r="AF314" t="s">
        <v>93</v>
      </c>
      <c r="AY314">
        <v>0.66</v>
      </c>
      <c r="BJ314">
        <v>0.33</v>
      </c>
      <c r="CR314">
        <f t="shared" si="40"/>
        <v>-193.3740922526402</v>
      </c>
      <c r="CS314">
        <f t="shared" si="41"/>
        <v>-192.79457509713384</v>
      </c>
      <c r="CT314">
        <f t="shared" si="42"/>
        <v>-192.03387290167865</v>
      </c>
      <c r="CU314" s="7">
        <f t="shared" si="43"/>
        <v>-192.73418008381759</v>
      </c>
      <c r="CV314" s="9">
        <f t="shared" si="45"/>
        <v>555.11040000000003</v>
      </c>
      <c r="CW314" t="str">
        <f t="shared" si="44"/>
        <v>HoPt2</v>
      </c>
    </row>
    <row r="315" spans="1:101" ht="15.75" thickBot="1" x14ac:dyDescent="0.3">
      <c r="A315" t="s">
        <v>91</v>
      </c>
      <c r="B315" t="s">
        <v>593</v>
      </c>
      <c r="C315" t="s">
        <v>3144</v>
      </c>
      <c r="E315" t="s">
        <v>3145</v>
      </c>
      <c r="F315" t="s">
        <v>93</v>
      </c>
      <c r="G315" t="s">
        <v>594</v>
      </c>
      <c r="H315">
        <v>557.44000000000005</v>
      </c>
      <c r="I315">
        <v>241</v>
      </c>
      <c r="J315">
        <v>0</v>
      </c>
      <c r="K315" t="s">
        <v>95</v>
      </c>
      <c r="L315">
        <v>-107.3565559</v>
      </c>
      <c r="M315">
        <f t="shared" si="37"/>
        <v>-192.58854029133178</v>
      </c>
      <c r="N315" t="s">
        <v>95</v>
      </c>
      <c r="O315" t="s">
        <v>595</v>
      </c>
      <c r="P315" t="s">
        <v>93</v>
      </c>
      <c r="Q315">
        <v>3.9142316699999999</v>
      </c>
      <c r="R315" t="s">
        <v>95</v>
      </c>
      <c r="S315">
        <v>-107.0894108</v>
      </c>
      <c r="T315">
        <f t="shared" si="38"/>
        <v>-192.10930467853041</v>
      </c>
      <c r="U315" t="s">
        <v>95</v>
      </c>
      <c r="V315">
        <v>30034</v>
      </c>
      <c r="W315" t="s">
        <v>159</v>
      </c>
      <c r="X315">
        <v>298</v>
      </c>
      <c r="Y315" t="s">
        <v>160</v>
      </c>
      <c r="Z315">
        <v>-107.8</v>
      </c>
      <c r="AA315" t="s">
        <v>95</v>
      </c>
      <c r="AB315">
        <f t="shared" si="39"/>
        <v>-193.38404133180251</v>
      </c>
      <c r="AC315" t="s">
        <v>93</v>
      </c>
      <c r="AD315">
        <v>2.8</v>
      </c>
      <c r="AE315" t="s">
        <v>95</v>
      </c>
      <c r="AF315" t="s">
        <v>93</v>
      </c>
      <c r="AY315">
        <v>0.66</v>
      </c>
      <c r="BH315">
        <v>0.33</v>
      </c>
      <c r="CR315">
        <f t="shared" si="40"/>
        <v>-192.58854029133178</v>
      </c>
      <c r="CS315">
        <f t="shared" si="41"/>
        <v>-192.10930467853041</v>
      </c>
      <c r="CT315">
        <f t="shared" si="42"/>
        <v>-193.38404133180251</v>
      </c>
      <c r="CU315" s="7">
        <f t="shared" si="43"/>
        <v>-192.69396210055493</v>
      </c>
      <c r="CV315" s="9">
        <f t="shared" si="45"/>
        <v>557.44000000000005</v>
      </c>
      <c r="CW315" t="str">
        <f t="shared" si="44"/>
        <v>ErPt2</v>
      </c>
    </row>
    <row r="316" spans="1:101" ht="15.75" thickBot="1" x14ac:dyDescent="0.3">
      <c r="A316" t="s">
        <v>91</v>
      </c>
      <c r="B316" t="s">
        <v>2707</v>
      </c>
      <c r="C316" t="s">
        <v>3144</v>
      </c>
      <c r="E316" t="s">
        <v>3145</v>
      </c>
      <c r="F316" t="s">
        <v>93</v>
      </c>
      <c r="G316" t="s">
        <v>2708</v>
      </c>
      <c r="H316">
        <v>373.74</v>
      </c>
      <c r="I316">
        <v>1106</v>
      </c>
      <c r="J316">
        <v>2.168604E-2</v>
      </c>
      <c r="K316" t="s">
        <v>95</v>
      </c>
      <c r="L316">
        <v>-69.959483750000004</v>
      </c>
      <c r="M316">
        <f t="shared" si="37"/>
        <v>-187.18757358056402</v>
      </c>
      <c r="N316" t="s">
        <v>95</v>
      </c>
      <c r="O316" t="s">
        <v>2709</v>
      </c>
      <c r="P316" t="s">
        <v>93</v>
      </c>
      <c r="Q316">
        <v>1.0395913800000001</v>
      </c>
      <c r="R316" t="s">
        <v>95</v>
      </c>
      <c r="S316">
        <v>-69.784083409999994</v>
      </c>
      <c r="T316">
        <f t="shared" si="38"/>
        <v>-186.71826245518272</v>
      </c>
      <c r="U316" t="s">
        <v>95</v>
      </c>
      <c r="V316">
        <v>463371</v>
      </c>
      <c r="W316" t="s">
        <v>184</v>
      </c>
      <c r="X316">
        <v>298</v>
      </c>
      <c r="Y316" t="s">
        <v>185</v>
      </c>
      <c r="Z316">
        <v>-76.2</v>
      </c>
      <c r="AA316" t="s">
        <v>95</v>
      </c>
      <c r="AB316">
        <f t="shared" si="39"/>
        <v>-203.88505378070317</v>
      </c>
      <c r="AC316" t="s">
        <v>93</v>
      </c>
      <c r="AD316">
        <v>1.9</v>
      </c>
      <c r="AE316" t="s">
        <v>95</v>
      </c>
      <c r="AF316" t="s">
        <v>93</v>
      </c>
      <c r="AP316">
        <v>0.25</v>
      </c>
      <c r="AZ316">
        <v>0.5</v>
      </c>
      <c r="BY316">
        <v>0.25</v>
      </c>
      <c r="CR316">
        <f t="shared" si="40"/>
        <v>-187.18757358056402</v>
      </c>
      <c r="CS316">
        <f t="shared" si="41"/>
        <v>-186.71826245518272</v>
      </c>
      <c r="CT316">
        <f t="shared" si="42"/>
        <v>-203.88505378070317</v>
      </c>
      <c r="CU316" s="7">
        <f t="shared" si="43"/>
        <v>-192.59696327214996</v>
      </c>
      <c r="CV316" s="9">
        <f t="shared" si="45"/>
        <v>373.74</v>
      </c>
      <c r="CW316" t="str">
        <f t="shared" si="44"/>
        <v>ZrGaPd2</v>
      </c>
    </row>
    <row r="317" spans="1:101" ht="15.75" thickBot="1" x14ac:dyDescent="0.3">
      <c r="A317" t="s">
        <v>91</v>
      </c>
      <c r="B317" t="s">
        <v>93</v>
      </c>
      <c r="C317" t="s">
        <v>3144</v>
      </c>
      <c r="E317" t="s">
        <v>3145</v>
      </c>
      <c r="F317" t="s">
        <v>93</v>
      </c>
      <c r="G317" t="s">
        <v>250</v>
      </c>
      <c r="H317">
        <v>230.29628</v>
      </c>
      <c r="I317">
        <v>71</v>
      </c>
      <c r="M317">
        <f t="shared" si="37"/>
        <v>0</v>
      </c>
      <c r="O317" t="s">
        <v>93</v>
      </c>
      <c r="P317" t="s">
        <v>93</v>
      </c>
      <c r="T317">
        <f t="shared" si="38"/>
        <v>0</v>
      </c>
      <c r="V317" t="s">
        <v>93</v>
      </c>
      <c r="W317" t="s">
        <v>102</v>
      </c>
      <c r="X317">
        <v>298</v>
      </c>
      <c r="Y317" t="s">
        <v>103</v>
      </c>
      <c r="Z317">
        <v>-44.17</v>
      </c>
      <c r="AA317" t="s">
        <v>95</v>
      </c>
      <c r="AB317">
        <f t="shared" si="39"/>
        <v>-191.79641112743982</v>
      </c>
      <c r="AC317" t="s">
        <v>93</v>
      </c>
      <c r="AD317">
        <v>0.67</v>
      </c>
      <c r="AE317" t="s">
        <v>95</v>
      </c>
      <c r="AF317" t="s">
        <v>93</v>
      </c>
      <c r="AH317" t="s">
        <v>93</v>
      </c>
      <c r="AI317" t="s">
        <v>93</v>
      </c>
      <c r="AJ317" t="s">
        <v>93</v>
      </c>
      <c r="AK317" t="s">
        <v>93</v>
      </c>
      <c r="AR317">
        <v>0.4</v>
      </c>
      <c r="AS317">
        <v>0.4</v>
      </c>
      <c r="AW317">
        <v>0.2</v>
      </c>
      <c r="CR317">
        <f t="shared" si="40"/>
        <v>0</v>
      </c>
      <c r="CS317">
        <f t="shared" si="41"/>
        <v>0</v>
      </c>
      <c r="CT317">
        <f t="shared" si="42"/>
        <v>-191.79641112743982</v>
      </c>
      <c r="CU317" s="7">
        <f t="shared" si="43"/>
        <v>-191.79641112743982</v>
      </c>
      <c r="CV317" s="9">
        <f t="shared" si="45"/>
        <v>230.29628</v>
      </c>
      <c r="CW317" t="str">
        <f t="shared" si="44"/>
        <v>Al2CoNi2</v>
      </c>
    </row>
    <row r="318" spans="1:101" ht="15.75" thickBot="1" x14ac:dyDescent="0.3">
      <c r="A318" t="s">
        <v>91</v>
      </c>
      <c r="B318" t="s">
        <v>1102</v>
      </c>
      <c r="C318" t="s">
        <v>3144</v>
      </c>
      <c r="E318" t="s">
        <v>3145</v>
      </c>
      <c r="F318" t="s">
        <v>93</v>
      </c>
      <c r="G318" t="s">
        <v>1103</v>
      </c>
      <c r="H318">
        <v>205.47154</v>
      </c>
      <c r="I318">
        <v>436</v>
      </c>
      <c r="J318">
        <v>0</v>
      </c>
      <c r="K318" t="s">
        <v>95</v>
      </c>
      <c r="L318">
        <v>-39.036454740000003</v>
      </c>
      <c r="M318">
        <f t="shared" si="37"/>
        <v>-189.98472849329889</v>
      </c>
      <c r="N318" t="s">
        <v>95</v>
      </c>
      <c r="O318" t="s">
        <v>1104</v>
      </c>
      <c r="P318" t="s">
        <v>93</v>
      </c>
      <c r="Q318">
        <v>0.52803115</v>
      </c>
      <c r="R318" t="s">
        <v>95</v>
      </c>
      <c r="S318">
        <v>-38.773759030000001</v>
      </c>
      <c r="T318">
        <f t="shared" si="38"/>
        <v>-188.70622680883201</v>
      </c>
      <c r="U318" t="s">
        <v>95</v>
      </c>
      <c r="V318">
        <v>18706</v>
      </c>
      <c r="W318" t="s">
        <v>430</v>
      </c>
      <c r="X318">
        <v>298</v>
      </c>
      <c r="Y318" t="s">
        <v>147</v>
      </c>
      <c r="Z318">
        <v>-39.9</v>
      </c>
      <c r="AA318" t="s">
        <v>95</v>
      </c>
      <c r="AB318">
        <f t="shared" si="39"/>
        <v>-194.18747725354081</v>
      </c>
      <c r="AC318" t="s">
        <v>93</v>
      </c>
      <c r="AD318">
        <v>2</v>
      </c>
      <c r="AE318" t="s">
        <v>95</v>
      </c>
      <c r="AF318" t="s">
        <v>93</v>
      </c>
      <c r="AQ318">
        <v>0.5</v>
      </c>
      <c r="AR318">
        <v>0.5</v>
      </c>
      <c r="CR318">
        <f t="shared" si="40"/>
        <v>-189.98472849329889</v>
      </c>
      <c r="CS318">
        <f t="shared" si="41"/>
        <v>-188.70622680883201</v>
      </c>
      <c r="CT318">
        <f t="shared" si="42"/>
        <v>-194.18747725354081</v>
      </c>
      <c r="CU318" s="7">
        <f t="shared" si="43"/>
        <v>-190.95947751855724</v>
      </c>
      <c r="CV318" s="9">
        <f t="shared" si="45"/>
        <v>205.47154</v>
      </c>
      <c r="CW318" t="str">
        <f t="shared" si="44"/>
        <v>HfAl</v>
      </c>
    </row>
    <row r="319" spans="1:101" ht="15.75" thickBot="1" x14ac:dyDescent="0.3">
      <c r="A319" t="s">
        <v>91</v>
      </c>
      <c r="B319" t="s">
        <v>761</v>
      </c>
      <c r="C319" t="s">
        <v>3144</v>
      </c>
      <c r="E319" t="s">
        <v>3145</v>
      </c>
      <c r="F319" t="s">
        <v>93</v>
      </c>
      <c r="G319" t="s">
        <v>762</v>
      </c>
      <c r="H319">
        <v>380.77800000000002</v>
      </c>
      <c r="I319">
        <v>304</v>
      </c>
      <c r="J319">
        <v>0</v>
      </c>
      <c r="K319" t="s">
        <v>95</v>
      </c>
      <c r="L319">
        <v>-74.826392740000003</v>
      </c>
      <c r="M319">
        <f t="shared" si="37"/>
        <v>-196.50923304392583</v>
      </c>
      <c r="N319" t="s">
        <v>95</v>
      </c>
      <c r="O319" t="s">
        <v>763</v>
      </c>
      <c r="P319" t="s">
        <v>93</v>
      </c>
      <c r="Q319">
        <v>0</v>
      </c>
      <c r="R319" t="s">
        <v>95</v>
      </c>
      <c r="S319">
        <v>-74.553431779999997</v>
      </c>
      <c r="T319">
        <f t="shared" si="38"/>
        <v>-195.79238238553694</v>
      </c>
      <c r="U319" t="s">
        <v>95</v>
      </c>
      <c r="V319">
        <v>17626</v>
      </c>
      <c r="W319" t="s">
        <v>159</v>
      </c>
      <c r="X319">
        <v>298</v>
      </c>
      <c r="Y319" t="s">
        <v>160</v>
      </c>
      <c r="Z319">
        <v>-68.099999999999994</v>
      </c>
      <c r="AA319" t="s">
        <v>95</v>
      </c>
      <c r="AB319">
        <f t="shared" si="39"/>
        <v>-178.84436600854036</v>
      </c>
      <c r="AC319" t="s">
        <v>93</v>
      </c>
      <c r="AD319">
        <v>3.2</v>
      </c>
      <c r="AE319" t="s">
        <v>95</v>
      </c>
      <c r="AF319" t="s">
        <v>93</v>
      </c>
      <c r="BF319">
        <v>0.66</v>
      </c>
      <c r="BL319">
        <v>0.33</v>
      </c>
      <c r="CR319">
        <f t="shared" si="40"/>
        <v>-196.50923304392583</v>
      </c>
      <c r="CS319">
        <f t="shared" si="41"/>
        <v>-195.79238238553694</v>
      </c>
      <c r="CT319">
        <f t="shared" si="42"/>
        <v>-178.84436600854036</v>
      </c>
      <c r="CU319" s="7">
        <f t="shared" si="43"/>
        <v>-190.38199381266773</v>
      </c>
      <c r="CV319" s="9">
        <f t="shared" si="45"/>
        <v>380.77800000000002</v>
      </c>
      <c r="CW319" t="str">
        <f t="shared" si="44"/>
        <v>LuRh2</v>
      </c>
    </row>
    <row r="320" spans="1:101" ht="15.75" thickBot="1" x14ac:dyDescent="0.3">
      <c r="A320" t="s">
        <v>91</v>
      </c>
      <c r="B320" t="s">
        <v>628</v>
      </c>
      <c r="C320" t="s">
        <v>3144</v>
      </c>
      <c r="E320" t="s">
        <v>3145</v>
      </c>
      <c r="F320" t="s">
        <v>93</v>
      </c>
      <c r="G320" t="s">
        <v>629</v>
      </c>
      <c r="H320">
        <v>547.42999999999995</v>
      </c>
      <c r="I320">
        <v>254</v>
      </c>
      <c r="J320">
        <v>0</v>
      </c>
      <c r="K320" t="s">
        <v>95</v>
      </c>
      <c r="L320">
        <v>-105.54273670000001</v>
      </c>
      <c r="M320">
        <f t="shared" si="37"/>
        <v>-192.79677164203645</v>
      </c>
      <c r="N320" t="s">
        <v>95</v>
      </c>
      <c r="O320" t="s">
        <v>630</v>
      </c>
      <c r="P320" t="s">
        <v>93</v>
      </c>
      <c r="Q320">
        <v>0</v>
      </c>
      <c r="R320" t="s">
        <v>95</v>
      </c>
      <c r="S320">
        <v>-105.775929</v>
      </c>
      <c r="T320">
        <f t="shared" si="38"/>
        <v>-193.22274811391412</v>
      </c>
      <c r="U320" t="s">
        <v>95</v>
      </c>
      <c r="V320">
        <v>19392</v>
      </c>
      <c r="W320" t="s">
        <v>159</v>
      </c>
      <c r="X320">
        <v>298</v>
      </c>
      <c r="Y320" t="s">
        <v>160</v>
      </c>
      <c r="Z320">
        <v>-100</v>
      </c>
      <c r="AA320" t="s">
        <v>95</v>
      </c>
      <c r="AB320">
        <f t="shared" si="39"/>
        <v>-182.67175711963176</v>
      </c>
      <c r="AC320" t="s">
        <v>93</v>
      </c>
      <c r="AD320">
        <v>2.6</v>
      </c>
      <c r="AE320" t="s">
        <v>95</v>
      </c>
      <c r="AF320" t="s">
        <v>93</v>
      </c>
      <c r="AY320">
        <v>0.66</v>
      </c>
      <c r="BI320">
        <v>0.33</v>
      </c>
      <c r="CR320">
        <f t="shared" si="40"/>
        <v>-192.79677164203645</v>
      </c>
      <c r="CS320">
        <f t="shared" si="41"/>
        <v>-193.22274811391412</v>
      </c>
      <c r="CT320">
        <f t="shared" si="42"/>
        <v>-182.67175711963176</v>
      </c>
      <c r="CU320" s="7">
        <f t="shared" si="43"/>
        <v>-189.56375895852747</v>
      </c>
      <c r="CV320" s="9">
        <f t="shared" si="45"/>
        <v>547.42999999999995</v>
      </c>
      <c r="CW320" t="str">
        <f t="shared" si="44"/>
        <v>GdPt2</v>
      </c>
    </row>
    <row r="321" spans="1:101" ht="15.75" thickBot="1" x14ac:dyDescent="0.3">
      <c r="A321" t="s">
        <v>91</v>
      </c>
      <c r="B321" t="s">
        <v>1972</v>
      </c>
      <c r="C321" t="s">
        <v>3144</v>
      </c>
      <c r="E321" t="s">
        <v>3145</v>
      </c>
      <c r="G321" t="s">
        <v>1973</v>
      </c>
      <c r="H321">
        <v>165.7664</v>
      </c>
      <c r="I321">
        <v>764</v>
      </c>
      <c r="M321">
        <f t="shared" si="37"/>
        <v>0</v>
      </c>
      <c r="O321" t="s">
        <v>93</v>
      </c>
      <c r="P321" t="s">
        <v>93</v>
      </c>
      <c r="Q321">
        <v>0</v>
      </c>
      <c r="R321" t="s">
        <v>95</v>
      </c>
      <c r="S321">
        <v>-31.420880140000001</v>
      </c>
      <c r="T321">
        <f t="shared" si="38"/>
        <v>-189.54914952608007</v>
      </c>
      <c r="U321" t="s">
        <v>95</v>
      </c>
      <c r="V321">
        <v>29519</v>
      </c>
      <c r="W321" t="s">
        <v>178</v>
      </c>
      <c r="X321">
        <v>1432</v>
      </c>
      <c r="Y321" t="s">
        <v>179</v>
      </c>
      <c r="AB321">
        <f t="shared" si="39"/>
        <v>0</v>
      </c>
      <c r="AC321" t="s">
        <v>93</v>
      </c>
      <c r="AD321">
        <v>0.6</v>
      </c>
      <c r="AE321" t="s">
        <v>95</v>
      </c>
      <c r="AF321" t="s">
        <v>93</v>
      </c>
      <c r="AH321" t="s">
        <v>93</v>
      </c>
      <c r="AI321" t="s">
        <v>93</v>
      </c>
      <c r="AW321">
        <v>0.67</v>
      </c>
      <c r="BA321">
        <v>0.33</v>
      </c>
      <c r="CG321">
        <v>-34.1</v>
      </c>
      <c r="CH321" t="s">
        <v>95</v>
      </c>
      <c r="CI321" t="s">
        <v>93</v>
      </c>
      <c r="CR321">
        <f t="shared" si="40"/>
        <v>0</v>
      </c>
      <c r="CS321">
        <f t="shared" si="41"/>
        <v>-189.54914952608007</v>
      </c>
      <c r="CT321">
        <f t="shared" si="42"/>
        <v>0</v>
      </c>
      <c r="CU321" s="7">
        <f t="shared" si="43"/>
        <v>-189.54914952608007</v>
      </c>
      <c r="CV321" s="9">
        <f t="shared" si="45"/>
        <v>165.7664</v>
      </c>
      <c r="CW321" t="str">
        <f t="shared" si="44"/>
        <v>TiCo2</v>
      </c>
    </row>
    <row r="322" spans="1:101" ht="15.75" thickBot="1" x14ac:dyDescent="0.3">
      <c r="A322" t="s">
        <v>91</v>
      </c>
      <c r="B322" t="s">
        <v>942</v>
      </c>
      <c r="C322" t="s">
        <v>3144</v>
      </c>
      <c r="E322" t="s">
        <v>3145</v>
      </c>
      <c r="F322" t="s">
        <v>93</v>
      </c>
      <c r="G322" t="s">
        <v>943</v>
      </c>
      <c r="H322">
        <v>540.58000000000004</v>
      </c>
      <c r="I322">
        <v>376</v>
      </c>
      <c r="J322">
        <v>0</v>
      </c>
      <c r="K322" t="s">
        <v>95</v>
      </c>
      <c r="L322">
        <v>-103.7278238</v>
      </c>
      <c r="M322">
        <f t="shared" ref="M322:M385" si="46">(1000/H322)*L322</f>
        <v>-191.88246660993744</v>
      </c>
      <c r="N322" t="s">
        <v>95</v>
      </c>
      <c r="O322" t="s">
        <v>944</v>
      </c>
      <c r="P322" t="s">
        <v>93</v>
      </c>
      <c r="Q322">
        <v>0</v>
      </c>
      <c r="R322" t="s">
        <v>95</v>
      </c>
      <c r="S322">
        <v>-103.43692609999999</v>
      </c>
      <c r="T322">
        <f t="shared" ref="T322:T385" si="47">(1000/H322)*S322</f>
        <v>-191.34434514780418</v>
      </c>
      <c r="U322" t="s">
        <v>95</v>
      </c>
      <c r="V322">
        <v>17999</v>
      </c>
      <c r="W322" t="s">
        <v>159</v>
      </c>
      <c r="X322">
        <v>298</v>
      </c>
      <c r="Y322" t="s">
        <v>160</v>
      </c>
      <c r="Z322">
        <v>-100.2</v>
      </c>
      <c r="AA322" t="s">
        <v>95</v>
      </c>
      <c r="AB322">
        <f t="shared" ref="AB322:AB385" si="48">(1000/H322)*Z322</f>
        <v>-185.35646897776462</v>
      </c>
      <c r="AC322" t="s">
        <v>93</v>
      </c>
      <c r="AD322">
        <v>2.6</v>
      </c>
      <c r="AE322" t="s">
        <v>95</v>
      </c>
      <c r="AF322" t="s">
        <v>93</v>
      </c>
      <c r="AY322">
        <v>0.66</v>
      </c>
      <c r="BN322">
        <v>0.33</v>
      </c>
      <c r="CR322">
        <f t="shared" ref="CR322:CR385" si="49">VALUE(M322)</f>
        <v>-191.88246660993744</v>
      </c>
      <c r="CS322">
        <f t="shared" ref="CS322:CS385" si="50">VALUE(T322)</f>
        <v>-191.34434514780418</v>
      </c>
      <c r="CT322">
        <f t="shared" ref="CT322:CT385" si="51">VALUE(AB322)</f>
        <v>-185.35646897776462</v>
      </c>
      <c r="CU322" s="7">
        <f t="shared" ref="CU322:CU385" si="52">SUM(CR322:CT322)/(COUNTIF(CR322:CT322,"&lt;&gt;0")-COUNTBLANK(CR322:CT322)-(COUNTA(CR322:CT322)-COUNT(CR322:CT322)))</f>
        <v>-189.52776024516876</v>
      </c>
      <c r="CV322" s="9">
        <f t="shared" si="45"/>
        <v>540.58000000000004</v>
      </c>
      <c r="CW322" t="str">
        <f t="shared" ref="CW322:CW385" si="53">G322</f>
        <v>SmPt2</v>
      </c>
    </row>
    <row r="323" spans="1:101" ht="15.75" thickBot="1" x14ac:dyDescent="0.3">
      <c r="A323" t="s">
        <v>91</v>
      </c>
      <c r="B323" t="s">
        <v>1428</v>
      </c>
      <c r="C323" t="s">
        <v>3144</v>
      </c>
      <c r="E323" t="s">
        <v>3145</v>
      </c>
      <c r="F323" t="s">
        <v>93</v>
      </c>
      <c r="G323" t="s">
        <v>1429</v>
      </c>
      <c r="H323">
        <v>252.16</v>
      </c>
      <c r="I323">
        <v>550</v>
      </c>
      <c r="J323">
        <v>0</v>
      </c>
      <c r="K323" t="s">
        <v>95</v>
      </c>
      <c r="L323">
        <v>-44.978908330000003</v>
      </c>
      <c r="M323">
        <f t="shared" si="46"/>
        <v>-178.37447783153556</v>
      </c>
      <c r="N323" t="s">
        <v>95</v>
      </c>
      <c r="O323" t="s">
        <v>1430</v>
      </c>
      <c r="P323" t="s">
        <v>93</v>
      </c>
      <c r="Q323">
        <v>0</v>
      </c>
      <c r="R323" t="s">
        <v>95</v>
      </c>
      <c r="S323">
        <v>-44.962361780000002</v>
      </c>
      <c r="T323">
        <f t="shared" si="47"/>
        <v>-178.3088585818528</v>
      </c>
      <c r="U323" t="s">
        <v>95</v>
      </c>
      <c r="V323">
        <v>17131</v>
      </c>
      <c r="W323" t="s">
        <v>479</v>
      </c>
      <c r="X323">
        <v>298</v>
      </c>
      <c r="Y323" t="s">
        <v>480</v>
      </c>
      <c r="Z323">
        <v>-53.4</v>
      </c>
      <c r="AA323" t="s">
        <v>95</v>
      </c>
      <c r="AB323">
        <f t="shared" si="48"/>
        <v>-211.77030456852791</v>
      </c>
      <c r="AC323" t="s">
        <v>93</v>
      </c>
      <c r="AD323">
        <v>2.1</v>
      </c>
      <c r="AE323" t="s">
        <v>95</v>
      </c>
      <c r="AF323" t="s">
        <v>93</v>
      </c>
      <c r="AP323">
        <v>0.66</v>
      </c>
      <c r="BY323">
        <v>0.33</v>
      </c>
      <c r="CR323">
        <f t="shared" si="49"/>
        <v>-178.37447783153556</v>
      </c>
      <c r="CS323">
        <f t="shared" si="50"/>
        <v>-178.3088585818528</v>
      </c>
      <c r="CT323">
        <f t="shared" si="51"/>
        <v>-211.77030456852791</v>
      </c>
      <c r="CU323" s="7">
        <f t="shared" si="52"/>
        <v>-189.48454699397209</v>
      </c>
      <c r="CV323" s="9">
        <f t="shared" ref="CV323:CV386" si="54">H323</f>
        <v>252.16</v>
      </c>
      <c r="CW323" t="str">
        <f t="shared" si="53"/>
        <v>Zr2Ga</v>
      </c>
    </row>
    <row r="324" spans="1:101" ht="15.75" thickBot="1" x14ac:dyDescent="0.3">
      <c r="A324" t="s">
        <v>91</v>
      </c>
      <c r="B324" t="s">
        <v>93</v>
      </c>
      <c r="C324" t="s">
        <v>3144</v>
      </c>
      <c r="E324" t="s">
        <v>3145</v>
      </c>
      <c r="F324" t="s">
        <v>93</v>
      </c>
      <c r="G324" t="s">
        <v>234</v>
      </c>
      <c r="H324">
        <v>272.43308000000002</v>
      </c>
      <c r="I324">
        <v>57</v>
      </c>
      <c r="M324">
        <f t="shared" si="46"/>
        <v>0</v>
      </c>
      <c r="O324" t="s">
        <v>93</v>
      </c>
      <c r="P324" t="s">
        <v>93</v>
      </c>
      <c r="T324">
        <f t="shared" si="47"/>
        <v>0</v>
      </c>
      <c r="V324" t="s">
        <v>93</v>
      </c>
      <c r="W324" t="s">
        <v>102</v>
      </c>
      <c r="X324">
        <v>298</v>
      </c>
      <c r="Y324" t="s">
        <v>103</v>
      </c>
      <c r="Z324">
        <v>-51.61</v>
      </c>
      <c r="AA324" t="s">
        <v>95</v>
      </c>
      <c r="AB324">
        <f t="shared" si="48"/>
        <v>-189.44101795567556</v>
      </c>
      <c r="AC324" t="s">
        <v>93</v>
      </c>
      <c r="AD324">
        <v>1</v>
      </c>
      <c r="AE324" t="s">
        <v>95</v>
      </c>
      <c r="AF324" t="s">
        <v>93</v>
      </c>
      <c r="AH324" t="s">
        <v>93</v>
      </c>
      <c r="AI324" t="s">
        <v>93</v>
      </c>
      <c r="AJ324" t="s">
        <v>93</v>
      </c>
      <c r="AK324" t="s">
        <v>93</v>
      </c>
      <c r="AR324">
        <v>0.4</v>
      </c>
      <c r="AS324">
        <v>0.4</v>
      </c>
      <c r="AV324">
        <v>0.2</v>
      </c>
      <c r="CR324">
        <f t="shared" si="49"/>
        <v>0</v>
      </c>
      <c r="CS324">
        <f t="shared" si="50"/>
        <v>0</v>
      </c>
      <c r="CT324">
        <f t="shared" si="51"/>
        <v>-189.44101795567556</v>
      </c>
      <c r="CU324" s="7">
        <f t="shared" si="52"/>
        <v>-189.44101795567556</v>
      </c>
      <c r="CV324" s="9">
        <f t="shared" si="54"/>
        <v>272.43308000000002</v>
      </c>
      <c r="CW324" t="str">
        <f t="shared" si="53"/>
        <v>Al2Ni2Ru</v>
      </c>
    </row>
    <row r="325" spans="1:101" ht="15.75" thickBot="1" x14ac:dyDescent="0.3">
      <c r="A325" t="s">
        <v>91</v>
      </c>
      <c r="B325" t="s">
        <v>613</v>
      </c>
      <c r="C325" t="s">
        <v>3144</v>
      </c>
      <c r="E325" t="s">
        <v>3145</v>
      </c>
      <c r="F325" t="s">
        <v>93</v>
      </c>
      <c r="G325" t="s">
        <v>614</v>
      </c>
      <c r="H325">
        <v>363.06099999999998</v>
      </c>
      <c r="I325">
        <v>248</v>
      </c>
      <c r="J325">
        <v>0</v>
      </c>
      <c r="K325" t="s">
        <v>95</v>
      </c>
      <c r="L325">
        <v>-69.865778770000006</v>
      </c>
      <c r="M325">
        <f t="shared" si="46"/>
        <v>-192.4353724856154</v>
      </c>
      <c r="N325" t="s">
        <v>95</v>
      </c>
      <c r="O325" t="s">
        <v>615</v>
      </c>
      <c r="P325" t="s">
        <v>93</v>
      </c>
      <c r="Q325">
        <v>0</v>
      </c>
      <c r="R325" t="s">
        <v>95</v>
      </c>
      <c r="S325">
        <v>-70.529061850000005</v>
      </c>
      <c r="T325">
        <f t="shared" si="47"/>
        <v>-194.26229159838158</v>
      </c>
      <c r="U325" t="s">
        <v>95</v>
      </c>
      <c r="V325">
        <v>18849</v>
      </c>
      <c r="W325" t="s">
        <v>159</v>
      </c>
      <c r="X325">
        <v>298</v>
      </c>
      <c r="Y325" t="s">
        <v>160</v>
      </c>
      <c r="Z325">
        <v>-65.400000000000006</v>
      </c>
      <c r="AA325" t="s">
        <v>95</v>
      </c>
      <c r="AB325">
        <f t="shared" si="48"/>
        <v>-180.13501863323248</v>
      </c>
      <c r="AC325" t="s">
        <v>93</v>
      </c>
      <c r="AD325">
        <v>1.6</v>
      </c>
      <c r="AE325" t="s">
        <v>95</v>
      </c>
      <c r="AF325" t="s">
        <v>93</v>
      </c>
      <c r="BF325">
        <v>0.66</v>
      </c>
      <c r="BI325">
        <v>0.33</v>
      </c>
      <c r="CR325">
        <f t="shared" si="49"/>
        <v>-192.4353724856154</v>
      </c>
      <c r="CS325">
        <f t="shared" si="50"/>
        <v>-194.26229159838158</v>
      </c>
      <c r="CT325">
        <f t="shared" si="51"/>
        <v>-180.13501863323248</v>
      </c>
      <c r="CU325" s="7">
        <f t="shared" si="52"/>
        <v>-188.9442275724098</v>
      </c>
      <c r="CV325" s="9">
        <f t="shared" si="54"/>
        <v>363.06099999999998</v>
      </c>
      <c r="CW325" t="str">
        <f t="shared" si="53"/>
        <v>GdRh2</v>
      </c>
    </row>
    <row r="326" spans="1:101" ht="15.75" thickBot="1" x14ac:dyDescent="0.3">
      <c r="A326" t="s">
        <v>91</v>
      </c>
      <c r="B326" t="s">
        <v>750</v>
      </c>
      <c r="C326" t="s">
        <v>3144</v>
      </c>
      <c r="E326" t="s">
        <v>3145</v>
      </c>
      <c r="F326" t="s">
        <v>93</v>
      </c>
      <c r="G326" t="s">
        <v>751</v>
      </c>
      <c r="H326">
        <v>529.08550000000002</v>
      </c>
      <c r="I326">
        <v>299</v>
      </c>
      <c r="J326">
        <v>0</v>
      </c>
      <c r="K326" t="s">
        <v>95</v>
      </c>
      <c r="L326">
        <v>-105.0383633</v>
      </c>
      <c r="M326">
        <f t="shared" si="46"/>
        <v>-198.52814582898228</v>
      </c>
      <c r="N326" t="s">
        <v>95</v>
      </c>
      <c r="O326" t="s">
        <v>752</v>
      </c>
      <c r="P326" t="s">
        <v>93</v>
      </c>
      <c r="Q326">
        <v>0</v>
      </c>
      <c r="R326" t="s">
        <v>95</v>
      </c>
      <c r="S326">
        <v>-104.3292812</v>
      </c>
      <c r="T326">
        <f t="shared" si="47"/>
        <v>-197.18794259150928</v>
      </c>
      <c r="U326" t="s">
        <v>95</v>
      </c>
      <c r="V326">
        <v>17572</v>
      </c>
      <c r="W326" t="s">
        <v>159</v>
      </c>
      <c r="X326">
        <v>298</v>
      </c>
      <c r="Y326" t="s">
        <v>160</v>
      </c>
      <c r="Z326">
        <v>-90</v>
      </c>
      <c r="AA326" t="s">
        <v>95</v>
      </c>
      <c r="AB326">
        <f t="shared" si="48"/>
        <v>-170.10483182774806</v>
      </c>
      <c r="AC326" t="s">
        <v>93</v>
      </c>
      <c r="AD326">
        <v>2.9</v>
      </c>
      <c r="AE326" t="s">
        <v>95</v>
      </c>
      <c r="AF326" t="s">
        <v>93</v>
      </c>
      <c r="AL326">
        <v>0.33</v>
      </c>
      <c r="AY326">
        <v>0.66</v>
      </c>
      <c r="CR326">
        <f t="shared" si="49"/>
        <v>-198.52814582898228</v>
      </c>
      <c r="CS326">
        <f t="shared" si="50"/>
        <v>-197.18794259150928</v>
      </c>
      <c r="CT326">
        <f t="shared" si="51"/>
        <v>-170.10483182774806</v>
      </c>
      <c r="CU326" s="7">
        <f t="shared" si="52"/>
        <v>-188.60697341607988</v>
      </c>
      <c r="CV326" s="9">
        <f t="shared" si="54"/>
        <v>529.08550000000002</v>
      </c>
      <c r="CW326" t="str">
        <f t="shared" si="53"/>
        <v>LaPt2</v>
      </c>
    </row>
    <row r="327" spans="1:101" ht="15.75" thickBot="1" x14ac:dyDescent="0.3">
      <c r="A327" t="s">
        <v>91</v>
      </c>
      <c r="B327" t="s">
        <v>93</v>
      </c>
      <c r="C327" t="s">
        <v>3144</v>
      </c>
      <c r="E327" t="s">
        <v>3145</v>
      </c>
      <c r="F327" t="s">
        <v>93</v>
      </c>
      <c r="G327" t="s">
        <v>210</v>
      </c>
      <c r="H327">
        <v>227.21008</v>
      </c>
      <c r="I327">
        <v>43</v>
      </c>
      <c r="M327">
        <f t="shared" si="46"/>
        <v>0</v>
      </c>
      <c r="O327" t="s">
        <v>93</v>
      </c>
      <c r="P327" t="s">
        <v>93</v>
      </c>
      <c r="T327">
        <f t="shared" si="47"/>
        <v>0</v>
      </c>
      <c r="V327" t="s">
        <v>93</v>
      </c>
      <c r="W327" t="s">
        <v>102</v>
      </c>
      <c r="X327">
        <v>298</v>
      </c>
      <c r="Y327" t="s">
        <v>103</v>
      </c>
      <c r="Z327">
        <v>-42.8</v>
      </c>
      <c r="AA327" t="s">
        <v>95</v>
      </c>
      <c r="AB327">
        <f t="shared" si="48"/>
        <v>-188.3719243442016</v>
      </c>
      <c r="AC327" t="s">
        <v>93</v>
      </c>
      <c r="AD327">
        <v>1.9</v>
      </c>
      <c r="AE327" t="s">
        <v>95</v>
      </c>
      <c r="AF327" t="s">
        <v>93</v>
      </c>
      <c r="AH327" t="s">
        <v>93</v>
      </c>
      <c r="AI327" t="s">
        <v>93</v>
      </c>
      <c r="AJ327" t="s">
        <v>93</v>
      </c>
      <c r="AK327" t="s">
        <v>93</v>
      </c>
      <c r="AR327">
        <v>0.4</v>
      </c>
      <c r="AS327">
        <v>0.4</v>
      </c>
      <c r="AT327">
        <v>0.2</v>
      </c>
      <c r="CR327">
        <f t="shared" si="49"/>
        <v>0</v>
      </c>
      <c r="CS327">
        <f t="shared" si="50"/>
        <v>0</v>
      </c>
      <c r="CT327">
        <f t="shared" si="51"/>
        <v>-188.3719243442016</v>
      </c>
      <c r="CU327" s="7">
        <f t="shared" si="52"/>
        <v>-188.3719243442016</v>
      </c>
      <c r="CV327" s="9">
        <f t="shared" si="54"/>
        <v>227.21008</v>
      </c>
      <c r="CW327" t="str">
        <f t="shared" si="53"/>
        <v>Al2FeNi2</v>
      </c>
    </row>
    <row r="328" spans="1:101" ht="15.75" thickBot="1" x14ac:dyDescent="0.3">
      <c r="A328" t="s">
        <v>91</v>
      </c>
      <c r="B328" t="s">
        <v>2447</v>
      </c>
      <c r="C328" t="s">
        <v>3144</v>
      </c>
      <c r="E328" t="s">
        <v>3145</v>
      </c>
      <c r="F328" t="s">
        <v>93</v>
      </c>
      <c r="G328" t="s">
        <v>2473</v>
      </c>
      <c r="H328">
        <v>198.71270000000001</v>
      </c>
      <c r="I328">
        <v>1005</v>
      </c>
      <c r="M328">
        <f t="shared" si="46"/>
        <v>0</v>
      </c>
      <c r="O328" t="s">
        <v>93</v>
      </c>
      <c r="P328" t="s">
        <v>93</v>
      </c>
      <c r="T328">
        <f t="shared" si="47"/>
        <v>0</v>
      </c>
      <c r="V328" t="s">
        <v>93</v>
      </c>
      <c r="W328" t="s">
        <v>184</v>
      </c>
      <c r="X328">
        <v>298</v>
      </c>
      <c r="Y328" t="s">
        <v>1983</v>
      </c>
      <c r="Z328">
        <v>-37.4</v>
      </c>
      <c r="AA328" t="s">
        <v>95</v>
      </c>
      <c r="AB328">
        <f t="shared" si="48"/>
        <v>-188.21142282300022</v>
      </c>
      <c r="AC328" t="s">
        <v>93</v>
      </c>
      <c r="AD328">
        <v>1.8</v>
      </c>
      <c r="AE328" t="s">
        <v>95</v>
      </c>
      <c r="AF328" t="s">
        <v>93</v>
      </c>
      <c r="AH328" t="s">
        <v>93</v>
      </c>
      <c r="AI328" t="s">
        <v>93</v>
      </c>
      <c r="AJ328" t="s">
        <v>93</v>
      </c>
      <c r="AK328" t="s">
        <v>93</v>
      </c>
      <c r="AT328">
        <v>0.5</v>
      </c>
      <c r="AW328">
        <v>0.25</v>
      </c>
      <c r="BX328">
        <v>0.25</v>
      </c>
      <c r="CR328">
        <f t="shared" si="49"/>
        <v>0</v>
      </c>
      <c r="CS328">
        <f t="shared" si="50"/>
        <v>0</v>
      </c>
      <c r="CT328">
        <f t="shared" si="51"/>
        <v>-188.21142282300022</v>
      </c>
      <c r="CU328" s="7">
        <f t="shared" si="52"/>
        <v>-188.21142282300022</v>
      </c>
      <c r="CV328" s="9">
        <f t="shared" si="54"/>
        <v>198.71270000000001</v>
      </c>
      <c r="CW328" t="str">
        <f t="shared" si="53"/>
        <v>CoFe2Si</v>
      </c>
    </row>
    <row r="329" spans="1:101" ht="15.75" thickBot="1" x14ac:dyDescent="0.3">
      <c r="A329" t="s">
        <v>91</v>
      </c>
      <c r="B329" t="s">
        <v>545</v>
      </c>
      <c r="C329" t="s">
        <v>3144</v>
      </c>
      <c r="E329" t="s">
        <v>3145</v>
      </c>
      <c r="F329" t="s">
        <v>93</v>
      </c>
      <c r="G329" t="s">
        <v>546</v>
      </c>
      <c r="H329">
        <v>368.31099999999998</v>
      </c>
      <c r="I329">
        <v>222</v>
      </c>
      <c r="J329">
        <v>0</v>
      </c>
      <c r="K329" t="s">
        <v>95</v>
      </c>
      <c r="L329">
        <v>-73.067418160000003</v>
      </c>
      <c r="M329">
        <f t="shared" si="46"/>
        <v>-198.38510975778624</v>
      </c>
      <c r="N329" t="s">
        <v>95</v>
      </c>
      <c r="O329" t="s">
        <v>547</v>
      </c>
      <c r="P329" t="s">
        <v>93</v>
      </c>
      <c r="Q329">
        <v>0</v>
      </c>
      <c r="R329" t="s">
        <v>95</v>
      </c>
      <c r="S329">
        <v>-72.535378339999994</v>
      </c>
      <c r="T329">
        <f t="shared" si="47"/>
        <v>-196.94057017031804</v>
      </c>
      <c r="U329" t="s">
        <v>95</v>
      </c>
      <c r="V329">
        <v>29923</v>
      </c>
      <c r="W329" t="s">
        <v>159</v>
      </c>
      <c r="X329">
        <v>298</v>
      </c>
      <c r="Y329" t="s">
        <v>160</v>
      </c>
      <c r="Z329">
        <v>-62.3</v>
      </c>
      <c r="AA329" t="s">
        <v>95</v>
      </c>
      <c r="AB329">
        <f t="shared" si="48"/>
        <v>-169.15052767905385</v>
      </c>
      <c r="AC329" t="s">
        <v>93</v>
      </c>
      <c r="AD329">
        <v>0.8</v>
      </c>
      <c r="AE329" t="s">
        <v>95</v>
      </c>
      <c r="AF329" t="s">
        <v>93</v>
      </c>
      <c r="BF329">
        <v>0.66</v>
      </c>
      <c r="BG329">
        <v>0.33</v>
      </c>
      <c r="CR329">
        <f t="shared" si="49"/>
        <v>-198.38510975778624</v>
      </c>
      <c r="CS329">
        <f t="shared" si="50"/>
        <v>-196.94057017031804</v>
      </c>
      <c r="CT329">
        <f t="shared" si="51"/>
        <v>-169.15052767905385</v>
      </c>
      <c r="CU329" s="7">
        <f t="shared" si="52"/>
        <v>-188.15873586905272</v>
      </c>
      <c r="CV329" s="9">
        <f t="shared" si="54"/>
        <v>368.31099999999998</v>
      </c>
      <c r="CW329" t="str">
        <f t="shared" si="53"/>
        <v>DyRh2</v>
      </c>
    </row>
    <row r="330" spans="1:101" ht="15.75" thickBot="1" x14ac:dyDescent="0.3">
      <c r="A330" t="s">
        <v>91</v>
      </c>
      <c r="B330" t="s">
        <v>180</v>
      </c>
      <c r="C330" t="s">
        <v>3144</v>
      </c>
      <c r="E330" t="s">
        <v>3145</v>
      </c>
      <c r="F330" t="s">
        <v>93</v>
      </c>
      <c r="G330" t="s">
        <v>182</v>
      </c>
      <c r="H330">
        <v>322.87153999999998</v>
      </c>
      <c r="I330">
        <v>27</v>
      </c>
      <c r="J330">
        <v>0</v>
      </c>
      <c r="K330" t="s">
        <v>95</v>
      </c>
      <c r="L330">
        <v>-61.505061609999998</v>
      </c>
      <c r="M330">
        <f t="shared" si="46"/>
        <v>-190.49390853712285</v>
      </c>
      <c r="N330" t="s">
        <v>95</v>
      </c>
      <c r="O330" t="s">
        <v>183</v>
      </c>
      <c r="P330" t="s">
        <v>93</v>
      </c>
      <c r="Q330">
        <v>0</v>
      </c>
      <c r="R330" t="s">
        <v>95</v>
      </c>
      <c r="S330">
        <v>-62.267959779999998</v>
      </c>
      <c r="T330">
        <f t="shared" si="47"/>
        <v>-192.85676210421025</v>
      </c>
      <c r="U330" t="s">
        <v>95</v>
      </c>
      <c r="V330">
        <v>10473</v>
      </c>
      <c r="W330" t="s">
        <v>184</v>
      </c>
      <c r="X330">
        <v>298</v>
      </c>
      <c r="Y330" t="s">
        <v>185</v>
      </c>
      <c r="Z330">
        <v>-58.2</v>
      </c>
      <c r="AA330" t="s">
        <v>95</v>
      </c>
      <c r="AB330">
        <f t="shared" si="48"/>
        <v>-180.25744851961869</v>
      </c>
      <c r="AC330" t="s">
        <v>93</v>
      </c>
      <c r="AD330">
        <v>1.7</v>
      </c>
      <c r="AE330" t="s">
        <v>95</v>
      </c>
      <c r="AF330" t="s">
        <v>93</v>
      </c>
      <c r="AQ330">
        <v>0.25</v>
      </c>
      <c r="AR330">
        <v>0.25</v>
      </c>
      <c r="AS330">
        <v>0.5</v>
      </c>
      <c r="CR330">
        <f t="shared" si="49"/>
        <v>-190.49390853712285</v>
      </c>
      <c r="CS330">
        <f t="shared" si="50"/>
        <v>-192.85676210421025</v>
      </c>
      <c r="CT330">
        <f t="shared" si="51"/>
        <v>-180.25744851961869</v>
      </c>
      <c r="CU330" s="7">
        <f t="shared" si="52"/>
        <v>-187.86937305365061</v>
      </c>
      <c r="CV330" s="9">
        <f t="shared" si="54"/>
        <v>322.87153999999998</v>
      </c>
      <c r="CW330" t="str">
        <f t="shared" si="53"/>
        <v>HfAlNi2</v>
      </c>
    </row>
    <row r="331" spans="1:101" ht="15.75" thickBot="1" x14ac:dyDescent="0.3">
      <c r="A331" t="s">
        <v>91</v>
      </c>
      <c r="B331" t="s">
        <v>978</v>
      </c>
      <c r="C331" t="s">
        <v>3144</v>
      </c>
      <c r="E331" t="s">
        <v>3145</v>
      </c>
      <c r="F331" t="s">
        <v>93</v>
      </c>
      <c r="G331" t="s">
        <v>979</v>
      </c>
      <c r="H331">
        <v>356.21100000000001</v>
      </c>
      <c r="I331">
        <v>391</v>
      </c>
      <c r="J331">
        <v>0</v>
      </c>
      <c r="K331" t="s">
        <v>95</v>
      </c>
      <c r="L331">
        <v>-67.65770689</v>
      </c>
      <c r="M331">
        <f t="shared" si="46"/>
        <v>-189.93716333858302</v>
      </c>
      <c r="N331" t="s">
        <v>95</v>
      </c>
      <c r="O331" t="s">
        <v>980</v>
      </c>
      <c r="P331" t="s">
        <v>93</v>
      </c>
      <c r="Q331">
        <v>0</v>
      </c>
      <c r="R331" t="s">
        <v>95</v>
      </c>
      <c r="S331">
        <v>-66.984105290000002</v>
      </c>
      <c r="T331">
        <f t="shared" si="47"/>
        <v>-188.0461448130462</v>
      </c>
      <c r="U331" t="s">
        <v>95</v>
      </c>
      <c r="V331">
        <v>18058</v>
      </c>
      <c r="W331" t="s">
        <v>159</v>
      </c>
      <c r="X331">
        <v>298</v>
      </c>
      <c r="Y331" t="s">
        <v>160</v>
      </c>
      <c r="Z331">
        <v>-65.5</v>
      </c>
      <c r="AA331" t="s">
        <v>95</v>
      </c>
      <c r="AB331">
        <f t="shared" si="48"/>
        <v>-183.87977911967906</v>
      </c>
      <c r="AC331" t="s">
        <v>93</v>
      </c>
      <c r="AD331">
        <v>1.2</v>
      </c>
      <c r="AE331" t="s">
        <v>95</v>
      </c>
      <c r="AF331" t="s">
        <v>93</v>
      </c>
      <c r="BF331">
        <v>0.66</v>
      </c>
      <c r="BN331">
        <v>0.33</v>
      </c>
      <c r="CR331">
        <f t="shared" si="49"/>
        <v>-189.93716333858302</v>
      </c>
      <c r="CS331">
        <f t="shared" si="50"/>
        <v>-188.0461448130462</v>
      </c>
      <c r="CT331">
        <f t="shared" si="51"/>
        <v>-183.87977911967906</v>
      </c>
      <c r="CU331" s="7">
        <f t="shared" si="52"/>
        <v>-187.28769575710274</v>
      </c>
      <c r="CV331" s="9">
        <f t="shared" si="54"/>
        <v>356.21100000000001</v>
      </c>
      <c r="CW331" t="str">
        <f t="shared" si="53"/>
        <v>SmRh2</v>
      </c>
    </row>
    <row r="332" spans="1:101" ht="15.75" thickBot="1" x14ac:dyDescent="0.3">
      <c r="A332" t="s">
        <v>91</v>
      </c>
      <c r="B332" t="s">
        <v>734</v>
      </c>
      <c r="C332" t="s">
        <v>3144</v>
      </c>
      <c r="E332" t="s">
        <v>3145</v>
      </c>
      <c r="F332" t="s">
        <v>93</v>
      </c>
      <c r="G332" t="s">
        <v>740</v>
      </c>
      <c r="H332">
        <v>344.7165</v>
      </c>
      <c r="I332">
        <v>295</v>
      </c>
      <c r="J332">
        <v>0</v>
      </c>
      <c r="K332" t="s">
        <v>95</v>
      </c>
      <c r="L332">
        <v>-68.432437050000004</v>
      </c>
      <c r="M332">
        <f t="shared" si="46"/>
        <v>-198.51802002515112</v>
      </c>
      <c r="N332" t="s">
        <v>95</v>
      </c>
      <c r="O332" t="s">
        <v>741</v>
      </c>
      <c r="P332" t="s">
        <v>93</v>
      </c>
      <c r="Q332">
        <v>0</v>
      </c>
      <c r="R332" t="s">
        <v>95</v>
      </c>
      <c r="S332">
        <v>-67.625087620000002</v>
      </c>
      <c r="T332">
        <f t="shared" si="47"/>
        <v>-196.17595218099513</v>
      </c>
      <c r="U332" t="s">
        <v>95</v>
      </c>
      <c r="V332">
        <v>17575</v>
      </c>
      <c r="W332" t="s">
        <v>159</v>
      </c>
      <c r="X332">
        <v>298</v>
      </c>
      <c r="Y332" t="s">
        <v>160</v>
      </c>
      <c r="Z332">
        <v>-57.5</v>
      </c>
      <c r="AA332" t="s">
        <v>95</v>
      </c>
      <c r="AB332">
        <f t="shared" si="48"/>
        <v>-166.80373582349554</v>
      </c>
      <c r="AC332" t="s">
        <v>93</v>
      </c>
      <c r="AD332">
        <v>1.7</v>
      </c>
      <c r="AE332" t="s">
        <v>95</v>
      </c>
      <c r="AF332" t="s">
        <v>93</v>
      </c>
      <c r="AL332">
        <v>0.33</v>
      </c>
      <c r="BF332">
        <v>0.66</v>
      </c>
      <c r="CR332">
        <f t="shared" si="49"/>
        <v>-198.51802002515112</v>
      </c>
      <c r="CS332">
        <f t="shared" si="50"/>
        <v>-196.17595218099513</v>
      </c>
      <c r="CT332">
        <f t="shared" si="51"/>
        <v>-166.80373582349554</v>
      </c>
      <c r="CU332" s="7">
        <f t="shared" si="52"/>
        <v>-187.16590267654726</v>
      </c>
      <c r="CV332" s="9">
        <f t="shared" si="54"/>
        <v>344.7165</v>
      </c>
      <c r="CW332" t="str">
        <f t="shared" si="53"/>
        <v>LaRh2</v>
      </c>
    </row>
    <row r="333" spans="1:101" ht="15.75" thickBot="1" x14ac:dyDescent="0.3">
      <c r="A333" t="s">
        <v>91</v>
      </c>
      <c r="B333" t="s">
        <v>434</v>
      </c>
      <c r="C333" t="s">
        <v>3144</v>
      </c>
      <c r="E333" t="s">
        <v>3145</v>
      </c>
      <c r="F333" t="s">
        <v>93</v>
      </c>
      <c r="G333" t="s">
        <v>437</v>
      </c>
      <c r="H333">
        <v>345.93099999999998</v>
      </c>
      <c r="I333">
        <v>179</v>
      </c>
      <c r="J333">
        <v>0</v>
      </c>
      <c r="K333" t="s">
        <v>95</v>
      </c>
      <c r="L333">
        <v>-69.685123840000003</v>
      </c>
      <c r="M333">
        <f t="shared" si="46"/>
        <v>-201.44226403531343</v>
      </c>
      <c r="N333" t="s">
        <v>95</v>
      </c>
      <c r="O333" t="s">
        <v>438</v>
      </c>
      <c r="P333" t="s">
        <v>93</v>
      </c>
      <c r="Q333">
        <v>0</v>
      </c>
      <c r="R333" t="s">
        <v>95</v>
      </c>
      <c r="S333">
        <v>-58.045250430000003</v>
      </c>
      <c r="T333">
        <f t="shared" si="47"/>
        <v>-167.79430126239049</v>
      </c>
      <c r="U333" t="s">
        <v>95</v>
      </c>
      <c r="V333">
        <v>18272</v>
      </c>
      <c r="W333" t="s">
        <v>159</v>
      </c>
      <c r="X333">
        <v>298</v>
      </c>
      <c r="Y333" t="s">
        <v>160</v>
      </c>
      <c r="Z333">
        <v>-66.5</v>
      </c>
      <c r="AA333" t="s">
        <v>95</v>
      </c>
      <c r="AB333">
        <f t="shared" si="48"/>
        <v>-192.23486764701633</v>
      </c>
      <c r="AC333" t="s">
        <v>93</v>
      </c>
      <c r="AD333">
        <v>2.2999999999999998</v>
      </c>
      <c r="AE333" t="s">
        <v>95</v>
      </c>
      <c r="AF333" t="s">
        <v>93</v>
      </c>
      <c r="AM333">
        <v>0.33</v>
      </c>
      <c r="BF333">
        <v>0.66</v>
      </c>
      <c r="CR333">
        <f t="shared" si="49"/>
        <v>-201.44226403531343</v>
      </c>
      <c r="CS333">
        <f t="shared" si="50"/>
        <v>-167.79430126239049</v>
      </c>
      <c r="CT333">
        <f t="shared" si="51"/>
        <v>-192.23486764701633</v>
      </c>
      <c r="CU333" s="7">
        <f t="shared" si="52"/>
        <v>-187.15714431490676</v>
      </c>
      <c r="CV333" s="9">
        <f t="shared" si="54"/>
        <v>345.93099999999998</v>
      </c>
      <c r="CW333" t="str">
        <f t="shared" si="53"/>
        <v>CeRh2</v>
      </c>
    </row>
    <row r="334" spans="1:101" ht="15.75" thickBot="1" x14ac:dyDescent="0.3">
      <c r="A334" t="s">
        <v>91</v>
      </c>
      <c r="B334" t="s">
        <v>821</v>
      </c>
      <c r="C334" t="s">
        <v>3144</v>
      </c>
      <c r="E334" t="s">
        <v>3145</v>
      </c>
      <c r="F334" t="s">
        <v>93</v>
      </c>
      <c r="G334" t="s">
        <v>822</v>
      </c>
      <c r="H334">
        <v>534.41999999999996</v>
      </c>
      <c r="I334">
        <v>328</v>
      </c>
      <c r="J334">
        <v>0</v>
      </c>
      <c r="K334" t="s">
        <v>95</v>
      </c>
      <c r="L334">
        <v>-101.11528989999999</v>
      </c>
      <c r="M334">
        <f t="shared" si="46"/>
        <v>-189.20566202612176</v>
      </c>
      <c r="N334" t="s">
        <v>95</v>
      </c>
      <c r="O334" t="s">
        <v>823</v>
      </c>
      <c r="P334" t="s">
        <v>93</v>
      </c>
      <c r="Q334">
        <v>0</v>
      </c>
      <c r="R334" t="s">
        <v>95</v>
      </c>
      <c r="S334">
        <v>-100.72868459999999</v>
      </c>
      <c r="T334">
        <f t="shared" si="47"/>
        <v>-188.48225103850902</v>
      </c>
      <c r="U334" t="s">
        <v>95</v>
      </c>
      <c r="V334">
        <v>17768</v>
      </c>
      <c r="W334" t="s">
        <v>159</v>
      </c>
      <c r="X334">
        <v>298</v>
      </c>
      <c r="Y334" t="s">
        <v>160</v>
      </c>
      <c r="Z334">
        <v>-97.9</v>
      </c>
      <c r="AA334" t="s">
        <v>95</v>
      </c>
      <c r="AB334">
        <f t="shared" si="48"/>
        <v>-183.18925189925528</v>
      </c>
      <c r="AC334" t="s">
        <v>93</v>
      </c>
      <c r="AD334">
        <v>2.4</v>
      </c>
      <c r="AE334" t="s">
        <v>95</v>
      </c>
      <c r="AF334" t="s">
        <v>93</v>
      </c>
      <c r="AO334">
        <v>0.33</v>
      </c>
      <c r="AY334">
        <v>0.66</v>
      </c>
      <c r="CR334">
        <f t="shared" si="49"/>
        <v>-189.20566202612176</v>
      </c>
      <c r="CS334">
        <f t="shared" si="50"/>
        <v>-188.48225103850902</v>
      </c>
      <c r="CT334">
        <f t="shared" si="51"/>
        <v>-183.18925189925528</v>
      </c>
      <c r="CU334" s="7">
        <f t="shared" si="52"/>
        <v>-186.95905498796205</v>
      </c>
      <c r="CV334" s="9">
        <f t="shared" si="54"/>
        <v>534.41999999999996</v>
      </c>
      <c r="CW334" t="str">
        <f t="shared" si="53"/>
        <v>NdPt2</v>
      </c>
    </row>
    <row r="335" spans="1:101" ht="15.75" thickBot="1" x14ac:dyDescent="0.3">
      <c r="A335" t="s">
        <v>91</v>
      </c>
      <c r="B335" t="s">
        <v>2142</v>
      </c>
      <c r="C335" t="s">
        <v>3144</v>
      </c>
      <c r="E335" t="s">
        <v>3145</v>
      </c>
      <c r="F335" t="s">
        <v>93</v>
      </c>
      <c r="G335" t="s">
        <v>2143</v>
      </c>
      <c r="H335">
        <v>313.77999999999997</v>
      </c>
      <c r="I335">
        <v>852</v>
      </c>
      <c r="J335">
        <v>0</v>
      </c>
      <c r="K335" t="s">
        <v>95</v>
      </c>
      <c r="L335">
        <v>-56.566267209999999</v>
      </c>
      <c r="M335">
        <f t="shared" si="46"/>
        <v>-180.27365418446047</v>
      </c>
      <c r="N335" t="s">
        <v>95</v>
      </c>
      <c r="O335" t="s">
        <v>2144</v>
      </c>
      <c r="P335" t="s">
        <v>93</v>
      </c>
      <c r="Q335">
        <v>0</v>
      </c>
      <c r="R335" t="s">
        <v>95</v>
      </c>
      <c r="S335">
        <v>-60.580228499999997</v>
      </c>
      <c r="T335">
        <f t="shared" si="47"/>
        <v>-193.06593313786732</v>
      </c>
      <c r="U335" t="s">
        <v>95</v>
      </c>
      <c r="V335">
        <v>7829</v>
      </c>
      <c r="W335" t="s">
        <v>1212</v>
      </c>
      <c r="X335">
        <v>298</v>
      </c>
      <c r="Y335" t="s">
        <v>179</v>
      </c>
      <c r="Z335">
        <v>-58.8</v>
      </c>
      <c r="AA335" t="s">
        <v>95</v>
      </c>
      <c r="AB335">
        <f t="shared" si="48"/>
        <v>-187.39244056345211</v>
      </c>
      <c r="AC335" t="s">
        <v>93</v>
      </c>
      <c r="AD335">
        <v>2.2999999999999998</v>
      </c>
      <c r="AE335" t="s">
        <v>95</v>
      </c>
      <c r="AF335" t="s">
        <v>93</v>
      </c>
      <c r="AY335">
        <v>0.5</v>
      </c>
      <c r="CF335">
        <v>0.5</v>
      </c>
      <c r="CR335">
        <f t="shared" si="49"/>
        <v>-180.27365418446047</v>
      </c>
      <c r="CS335">
        <f t="shared" si="50"/>
        <v>-193.06593313786732</v>
      </c>
      <c r="CT335">
        <f t="shared" si="51"/>
        <v>-187.39244056345211</v>
      </c>
      <c r="CU335" s="7">
        <f t="shared" si="52"/>
        <v>-186.91067596192661</v>
      </c>
      <c r="CV335" s="9">
        <f t="shared" si="54"/>
        <v>313.77999999999997</v>
      </c>
      <c r="CW335" t="str">
        <f t="shared" si="53"/>
        <v>SnPt</v>
      </c>
    </row>
    <row r="336" spans="1:101" ht="15.75" thickBot="1" x14ac:dyDescent="0.3">
      <c r="A336" t="s">
        <v>91</v>
      </c>
      <c r="B336" t="s">
        <v>534</v>
      </c>
      <c r="C336" t="s">
        <v>3144</v>
      </c>
      <c r="E336" t="s">
        <v>3145</v>
      </c>
      <c r="F336" t="s">
        <v>93</v>
      </c>
      <c r="G336" t="s">
        <v>535</v>
      </c>
      <c r="H336">
        <v>221.2</v>
      </c>
      <c r="I336">
        <v>218</v>
      </c>
      <c r="J336">
        <v>0</v>
      </c>
      <c r="K336" t="s">
        <v>95</v>
      </c>
      <c r="L336">
        <v>-44.216569970000002</v>
      </c>
      <c r="M336">
        <f t="shared" si="46"/>
        <v>-199.8940776220615</v>
      </c>
      <c r="N336" t="s">
        <v>95</v>
      </c>
      <c r="O336" t="s">
        <v>536</v>
      </c>
      <c r="P336" t="s">
        <v>93</v>
      </c>
      <c r="Q336">
        <v>0</v>
      </c>
      <c r="R336" t="s">
        <v>95</v>
      </c>
      <c r="S336">
        <v>-44.527650540000003</v>
      </c>
      <c r="T336">
        <f t="shared" si="47"/>
        <v>-201.30040931283909</v>
      </c>
      <c r="U336" t="s">
        <v>95</v>
      </c>
      <c r="V336">
        <v>89117</v>
      </c>
      <c r="W336" t="s">
        <v>358</v>
      </c>
      <c r="X336">
        <v>298</v>
      </c>
      <c r="Y336" t="s">
        <v>359</v>
      </c>
      <c r="Z336">
        <v>-35.200000000000003</v>
      </c>
      <c r="AA336" t="s">
        <v>95</v>
      </c>
      <c r="AB336">
        <f t="shared" si="48"/>
        <v>-159.13200723327307</v>
      </c>
      <c r="AC336" t="s">
        <v>93</v>
      </c>
      <c r="AD336">
        <v>1.5</v>
      </c>
      <c r="AE336" t="s">
        <v>95</v>
      </c>
      <c r="AF336" t="s">
        <v>93</v>
      </c>
      <c r="AS336">
        <v>0.5</v>
      </c>
      <c r="BG336">
        <v>0.5</v>
      </c>
      <c r="CR336">
        <f t="shared" si="49"/>
        <v>-199.8940776220615</v>
      </c>
      <c r="CS336">
        <f t="shared" si="50"/>
        <v>-201.30040931283909</v>
      </c>
      <c r="CT336">
        <f t="shared" si="51"/>
        <v>-159.13200723327307</v>
      </c>
      <c r="CU336" s="7">
        <f t="shared" si="52"/>
        <v>-186.7754980560579</v>
      </c>
      <c r="CV336" s="9">
        <f t="shared" si="54"/>
        <v>221.2</v>
      </c>
      <c r="CW336" t="str">
        <f t="shared" si="53"/>
        <v>DyNi</v>
      </c>
    </row>
    <row r="337" spans="1:101" ht="15.75" thickBot="1" x14ac:dyDescent="0.3">
      <c r="A337" t="s">
        <v>91</v>
      </c>
      <c r="B337" t="s">
        <v>1445</v>
      </c>
      <c r="C337" t="s">
        <v>3144</v>
      </c>
      <c r="E337" t="s">
        <v>3145</v>
      </c>
      <c r="F337" t="s">
        <v>93</v>
      </c>
      <c r="G337" t="s">
        <v>1446</v>
      </c>
      <c r="H337">
        <v>170.79</v>
      </c>
      <c r="I337">
        <v>556</v>
      </c>
      <c r="J337">
        <v>0</v>
      </c>
      <c r="K337" t="s">
        <v>95</v>
      </c>
      <c r="L337">
        <v>-31.08025731</v>
      </c>
      <c r="M337">
        <f t="shared" si="46"/>
        <v>-181.97937414368525</v>
      </c>
      <c r="N337" t="s">
        <v>95</v>
      </c>
      <c r="O337" t="s">
        <v>1447</v>
      </c>
      <c r="P337" t="s">
        <v>93</v>
      </c>
      <c r="Q337">
        <v>2.7497830000000001E-2</v>
      </c>
      <c r="R337" t="s">
        <v>95</v>
      </c>
      <c r="S337">
        <v>-28.773813650000001</v>
      </c>
      <c r="T337">
        <f t="shared" si="47"/>
        <v>-168.47481497745773</v>
      </c>
      <c r="U337" t="s">
        <v>95</v>
      </c>
      <c r="V337">
        <v>17297</v>
      </c>
      <c r="W337" t="s">
        <v>102</v>
      </c>
      <c r="X337">
        <v>298</v>
      </c>
      <c r="Y337" t="s">
        <v>103</v>
      </c>
      <c r="Z337">
        <v>-35.4</v>
      </c>
      <c r="AA337" t="s">
        <v>95</v>
      </c>
      <c r="AB337">
        <f t="shared" si="48"/>
        <v>-207.27208852977341</v>
      </c>
      <c r="AC337" t="s">
        <v>93</v>
      </c>
      <c r="AD337">
        <v>2.2999999999999998</v>
      </c>
      <c r="AE337" t="s">
        <v>95</v>
      </c>
      <c r="AF337" t="s">
        <v>93</v>
      </c>
      <c r="AV337">
        <v>0.5</v>
      </c>
      <c r="BY337">
        <v>0.5</v>
      </c>
      <c r="CR337">
        <f t="shared" si="49"/>
        <v>-181.97937414368525</v>
      </c>
      <c r="CS337">
        <f t="shared" si="50"/>
        <v>-168.47481497745773</v>
      </c>
      <c r="CT337">
        <f t="shared" si="51"/>
        <v>-207.27208852977341</v>
      </c>
      <c r="CU337" s="7">
        <f t="shared" si="52"/>
        <v>-185.90875921697213</v>
      </c>
      <c r="CV337" s="9">
        <f t="shared" si="54"/>
        <v>170.79</v>
      </c>
      <c r="CW337" t="str">
        <f t="shared" si="53"/>
        <v>GaRu</v>
      </c>
    </row>
    <row r="338" spans="1:101" ht="15.75" thickBot="1" x14ac:dyDescent="0.3">
      <c r="A338" t="s">
        <v>91</v>
      </c>
      <c r="B338" t="s">
        <v>2713</v>
      </c>
      <c r="C338" t="s">
        <v>3144</v>
      </c>
      <c r="E338" t="s">
        <v>3145</v>
      </c>
      <c r="F338" t="s">
        <v>93</v>
      </c>
      <c r="G338" t="s">
        <v>2714</v>
      </c>
      <c r="H338">
        <v>422.71</v>
      </c>
      <c r="I338">
        <v>1108</v>
      </c>
      <c r="J338">
        <v>2.15147216</v>
      </c>
      <c r="K338" t="s">
        <v>95</v>
      </c>
      <c r="L338">
        <v>-70.881287999999998</v>
      </c>
      <c r="M338">
        <f t="shared" si="46"/>
        <v>-167.6830167254146</v>
      </c>
      <c r="N338" t="s">
        <v>95</v>
      </c>
      <c r="O338" t="s">
        <v>2715</v>
      </c>
      <c r="P338" t="s">
        <v>93</v>
      </c>
      <c r="Q338">
        <v>0.53888285000000002</v>
      </c>
      <c r="R338" t="s">
        <v>95</v>
      </c>
      <c r="S338">
        <v>-72.442201130000001</v>
      </c>
      <c r="T338">
        <f t="shared" si="47"/>
        <v>-171.37565028033404</v>
      </c>
      <c r="U338" t="s">
        <v>95</v>
      </c>
      <c r="V338">
        <v>463248</v>
      </c>
      <c r="W338" t="s">
        <v>184</v>
      </c>
      <c r="X338">
        <v>298</v>
      </c>
      <c r="Y338" t="s">
        <v>185</v>
      </c>
      <c r="Z338">
        <v>-92.2</v>
      </c>
      <c r="AA338" t="s">
        <v>95</v>
      </c>
      <c r="AB338">
        <f t="shared" si="48"/>
        <v>-218.11643916633156</v>
      </c>
      <c r="AC338" t="s">
        <v>93</v>
      </c>
      <c r="AD338">
        <v>3.1</v>
      </c>
      <c r="AE338" t="s">
        <v>95</v>
      </c>
      <c r="AF338" t="s">
        <v>93</v>
      </c>
      <c r="AP338">
        <v>0.25</v>
      </c>
      <c r="AZ338">
        <v>0.5</v>
      </c>
      <c r="CF338">
        <v>0.25</v>
      </c>
      <c r="CR338">
        <f t="shared" si="49"/>
        <v>-167.6830167254146</v>
      </c>
      <c r="CS338">
        <f t="shared" si="50"/>
        <v>-171.37565028033404</v>
      </c>
      <c r="CT338">
        <f t="shared" si="51"/>
        <v>-218.11643916633156</v>
      </c>
      <c r="CU338" s="7">
        <f t="shared" si="52"/>
        <v>-185.72503539069339</v>
      </c>
      <c r="CV338" s="9">
        <f t="shared" si="54"/>
        <v>422.71</v>
      </c>
      <c r="CW338" t="str">
        <f t="shared" si="53"/>
        <v>ZrSnPd2</v>
      </c>
    </row>
    <row r="339" spans="1:101" ht="15.75" thickBot="1" x14ac:dyDescent="0.3">
      <c r="A339" t="s">
        <v>91</v>
      </c>
      <c r="B339" t="s">
        <v>1133</v>
      </c>
      <c r="C339" t="s">
        <v>3144</v>
      </c>
      <c r="E339" t="s">
        <v>3145</v>
      </c>
      <c r="F339" t="s">
        <v>93</v>
      </c>
      <c r="G339" t="s">
        <v>1134</v>
      </c>
      <c r="H339">
        <v>232.45308</v>
      </c>
      <c r="I339">
        <v>448</v>
      </c>
      <c r="J339">
        <v>0</v>
      </c>
      <c r="K339" t="s">
        <v>95</v>
      </c>
      <c r="L339">
        <v>-42.788029459999997</v>
      </c>
      <c r="M339">
        <f t="shared" si="46"/>
        <v>-184.07168216484806</v>
      </c>
      <c r="N339" t="s">
        <v>95</v>
      </c>
      <c r="O339" t="s">
        <v>1135</v>
      </c>
      <c r="P339" t="s">
        <v>93</v>
      </c>
      <c r="Q339">
        <v>0</v>
      </c>
      <c r="R339" t="s">
        <v>95</v>
      </c>
      <c r="S339">
        <v>-42.84173491</v>
      </c>
      <c r="T339">
        <f t="shared" si="47"/>
        <v>-184.30271997256395</v>
      </c>
      <c r="U339" t="s">
        <v>95</v>
      </c>
      <c r="V339">
        <v>19094</v>
      </c>
      <c r="W339" t="s">
        <v>225</v>
      </c>
      <c r="X339">
        <v>298</v>
      </c>
      <c r="Y339" t="s">
        <v>179</v>
      </c>
      <c r="Z339">
        <v>-43.8</v>
      </c>
      <c r="AA339" t="s">
        <v>95</v>
      </c>
      <c r="AB339">
        <f t="shared" si="48"/>
        <v>-188.42512217949533</v>
      </c>
      <c r="AC339" t="s">
        <v>93</v>
      </c>
      <c r="AD339">
        <v>1.3</v>
      </c>
      <c r="AE339" t="s">
        <v>95</v>
      </c>
      <c r="AF339" t="s">
        <v>93</v>
      </c>
      <c r="AQ339">
        <v>0.33</v>
      </c>
      <c r="AR339">
        <v>0.66</v>
      </c>
      <c r="CR339">
        <f t="shared" si="49"/>
        <v>-184.07168216484806</v>
      </c>
      <c r="CS339">
        <f t="shared" si="50"/>
        <v>-184.30271997256395</v>
      </c>
      <c r="CT339">
        <f t="shared" si="51"/>
        <v>-188.42512217949533</v>
      </c>
      <c r="CU339" s="7">
        <f t="shared" si="52"/>
        <v>-185.59984143896909</v>
      </c>
      <c r="CV339" s="9">
        <f t="shared" si="54"/>
        <v>232.45308</v>
      </c>
      <c r="CW339" t="str">
        <f t="shared" si="53"/>
        <v>HfAl2</v>
      </c>
    </row>
    <row r="340" spans="1:101" ht="15.75" thickBot="1" x14ac:dyDescent="0.3">
      <c r="A340" t="s">
        <v>91</v>
      </c>
      <c r="B340" t="s">
        <v>2080</v>
      </c>
      <c r="C340" t="s">
        <v>3144</v>
      </c>
      <c r="E340" t="s">
        <v>3145</v>
      </c>
      <c r="G340" t="s">
        <v>2081</v>
      </c>
      <c r="H340">
        <v>368.69</v>
      </c>
      <c r="I340">
        <v>822</v>
      </c>
      <c r="J340">
        <v>0</v>
      </c>
      <c r="K340" t="s">
        <v>95</v>
      </c>
      <c r="L340">
        <v>-68.481118039999998</v>
      </c>
      <c r="M340">
        <f t="shared" si="46"/>
        <v>-185.74172893216522</v>
      </c>
      <c r="N340" t="s">
        <v>95</v>
      </c>
      <c r="O340" t="s">
        <v>2082</v>
      </c>
      <c r="P340" t="s">
        <v>93</v>
      </c>
      <c r="Q340">
        <v>6.4690499999999998E-2</v>
      </c>
      <c r="R340" t="s">
        <v>95</v>
      </c>
      <c r="S340">
        <v>-68.322989530000001</v>
      </c>
      <c r="T340">
        <f t="shared" si="47"/>
        <v>-185.31283606824161</v>
      </c>
      <c r="U340" t="s">
        <v>95</v>
      </c>
      <c r="V340">
        <v>17380</v>
      </c>
      <c r="W340" t="s">
        <v>102</v>
      </c>
      <c r="X340">
        <v>1743</v>
      </c>
      <c r="Y340" t="s">
        <v>103</v>
      </c>
      <c r="AB340">
        <f t="shared" si="48"/>
        <v>0</v>
      </c>
      <c r="AC340" t="s">
        <v>93</v>
      </c>
      <c r="AD340">
        <v>5</v>
      </c>
      <c r="AE340" t="s">
        <v>95</v>
      </c>
      <c r="AF340" t="s">
        <v>93</v>
      </c>
      <c r="AQ340">
        <v>0.5</v>
      </c>
      <c r="BM340">
        <v>0.5</v>
      </c>
      <c r="CG340">
        <v>-46.5</v>
      </c>
      <c r="CH340" t="s">
        <v>95</v>
      </c>
      <c r="CI340" t="s">
        <v>93</v>
      </c>
      <c r="CR340">
        <f t="shared" si="49"/>
        <v>-185.74172893216522</v>
      </c>
      <c r="CS340">
        <f t="shared" si="50"/>
        <v>-185.31283606824161</v>
      </c>
      <c r="CT340">
        <f t="shared" si="51"/>
        <v>0</v>
      </c>
      <c r="CU340" s="7">
        <f t="shared" si="52"/>
        <v>-185.5272825002034</v>
      </c>
      <c r="CV340" s="9">
        <f t="shared" si="54"/>
        <v>368.69</v>
      </c>
      <c r="CW340" t="str">
        <f t="shared" si="53"/>
        <v>HfOs</v>
      </c>
    </row>
    <row r="341" spans="1:101" ht="15.75" thickBot="1" x14ac:dyDescent="0.3">
      <c r="A341" t="s">
        <v>484</v>
      </c>
      <c r="B341" t="s">
        <v>93</v>
      </c>
      <c r="C341" t="s">
        <v>3138</v>
      </c>
      <c r="D341" t="s">
        <v>3139</v>
      </c>
      <c r="F341" t="s">
        <v>3140</v>
      </c>
      <c r="G341" t="s">
        <v>565</v>
      </c>
      <c r="H341">
        <v>225.95999999999901</v>
      </c>
      <c r="I341">
        <v>947</v>
      </c>
      <c r="J341">
        <v>0</v>
      </c>
      <c r="K341" t="s">
        <v>95</v>
      </c>
      <c r="L341">
        <v>-46.843018989999997</v>
      </c>
      <c r="M341">
        <f t="shared" si="46"/>
        <v>-207.30668697999738</v>
      </c>
      <c r="N341" t="s">
        <v>95</v>
      </c>
      <c r="O341" t="s">
        <v>566</v>
      </c>
      <c r="P341" t="s">
        <v>93</v>
      </c>
      <c r="Q341">
        <v>0</v>
      </c>
      <c r="R341" t="s">
        <v>95</v>
      </c>
      <c r="S341">
        <v>-47.600468739999997</v>
      </c>
      <c r="T341">
        <f t="shared" si="47"/>
        <v>-210.65882784563732</v>
      </c>
      <c r="U341" t="s">
        <v>95</v>
      </c>
      <c r="V341">
        <v>30015</v>
      </c>
      <c r="W341" t="s">
        <v>358</v>
      </c>
      <c r="X341">
        <v>298</v>
      </c>
      <c r="Y341" t="s">
        <v>359</v>
      </c>
      <c r="Z341">
        <v>-30.6</v>
      </c>
      <c r="AA341" t="s">
        <v>95</v>
      </c>
      <c r="AB341">
        <f t="shared" si="48"/>
        <v>-135.42219861922524</v>
      </c>
      <c r="AC341" t="s">
        <v>93</v>
      </c>
      <c r="AD341">
        <v>1.1000000000000001</v>
      </c>
      <c r="AE341" t="s">
        <v>95</v>
      </c>
      <c r="AF341" t="s">
        <v>93</v>
      </c>
      <c r="AS341">
        <v>0.52</v>
      </c>
      <c r="BH341">
        <v>0.48</v>
      </c>
      <c r="CR341">
        <f t="shared" si="49"/>
        <v>-207.30668697999738</v>
      </c>
      <c r="CS341">
        <f t="shared" si="50"/>
        <v>-210.65882784563732</v>
      </c>
      <c r="CT341">
        <f t="shared" si="51"/>
        <v>-135.42219861922524</v>
      </c>
      <c r="CU341" s="7">
        <f t="shared" si="52"/>
        <v>-184.46257114828666</v>
      </c>
      <c r="CV341" s="9">
        <f t="shared" si="54"/>
        <v>225.95999999999901</v>
      </c>
      <c r="CW341" t="str">
        <f t="shared" si="53"/>
        <v>ErNi</v>
      </c>
    </row>
    <row r="342" spans="1:101" ht="15.75" thickBot="1" x14ac:dyDescent="0.3">
      <c r="A342" t="s">
        <v>91</v>
      </c>
      <c r="B342" t="s">
        <v>1974</v>
      </c>
      <c r="C342" t="s">
        <v>3144</v>
      </c>
      <c r="E342" t="s">
        <v>3145</v>
      </c>
      <c r="G342" t="s">
        <v>1975</v>
      </c>
      <c r="H342">
        <v>154.5</v>
      </c>
      <c r="I342">
        <v>765</v>
      </c>
      <c r="J342">
        <v>0</v>
      </c>
      <c r="K342" t="s">
        <v>95</v>
      </c>
      <c r="L342">
        <v>-26.711448180000001</v>
      </c>
      <c r="M342">
        <f t="shared" si="46"/>
        <v>-172.88963223300973</v>
      </c>
      <c r="N342" t="s">
        <v>95</v>
      </c>
      <c r="O342" t="s">
        <v>1976</v>
      </c>
      <c r="P342" t="s">
        <v>93</v>
      </c>
      <c r="Q342">
        <v>0</v>
      </c>
      <c r="R342" t="s">
        <v>95</v>
      </c>
      <c r="S342">
        <v>-30.176308819999999</v>
      </c>
      <c r="T342">
        <f t="shared" si="47"/>
        <v>-195.31591469255665</v>
      </c>
      <c r="U342" t="s">
        <v>95</v>
      </c>
      <c r="V342">
        <v>3230</v>
      </c>
      <c r="W342" t="s">
        <v>1977</v>
      </c>
      <c r="X342">
        <v>1202</v>
      </c>
      <c r="Y342" t="s">
        <v>160</v>
      </c>
      <c r="AB342">
        <f t="shared" si="48"/>
        <v>0</v>
      </c>
      <c r="AC342" t="s">
        <v>93</v>
      </c>
      <c r="AD342">
        <v>0.5</v>
      </c>
      <c r="AE342" t="s">
        <v>95</v>
      </c>
      <c r="AF342" t="s">
        <v>93</v>
      </c>
      <c r="AS342">
        <v>0.33</v>
      </c>
      <c r="BA342">
        <v>0.67</v>
      </c>
      <c r="CG342">
        <v>-29.3</v>
      </c>
      <c r="CH342" t="s">
        <v>95</v>
      </c>
      <c r="CI342" t="s">
        <v>93</v>
      </c>
      <c r="CR342">
        <f t="shared" si="49"/>
        <v>-172.88963223300973</v>
      </c>
      <c r="CS342">
        <f t="shared" si="50"/>
        <v>-195.31591469255665</v>
      </c>
      <c r="CT342">
        <f t="shared" si="51"/>
        <v>0</v>
      </c>
      <c r="CU342" s="7">
        <f t="shared" si="52"/>
        <v>-184.1027734627832</v>
      </c>
      <c r="CV342" s="9">
        <f t="shared" si="54"/>
        <v>154.5</v>
      </c>
      <c r="CW342" t="str">
        <f t="shared" si="53"/>
        <v>Ti2Ni</v>
      </c>
    </row>
    <row r="343" spans="1:101" ht="15.75" thickBot="1" x14ac:dyDescent="0.3">
      <c r="A343" t="s">
        <v>484</v>
      </c>
      <c r="B343" t="s">
        <v>93</v>
      </c>
      <c r="C343" t="s">
        <v>3138</v>
      </c>
      <c r="D343" t="s">
        <v>3139</v>
      </c>
      <c r="F343" t="s">
        <v>3140</v>
      </c>
      <c r="G343" t="s">
        <v>535</v>
      </c>
      <c r="H343">
        <v>221.2</v>
      </c>
      <c r="I343">
        <v>942</v>
      </c>
      <c r="J343">
        <v>0</v>
      </c>
      <c r="K343" t="s">
        <v>95</v>
      </c>
      <c r="L343">
        <v>-44.216569970000002</v>
      </c>
      <c r="M343">
        <f t="shared" si="46"/>
        <v>-199.8940776220615</v>
      </c>
      <c r="N343" t="s">
        <v>95</v>
      </c>
      <c r="O343" t="s">
        <v>536</v>
      </c>
      <c r="P343" t="s">
        <v>93</v>
      </c>
      <c r="Q343">
        <v>0</v>
      </c>
      <c r="R343" t="s">
        <v>95</v>
      </c>
      <c r="S343">
        <v>-44.527650540000003</v>
      </c>
      <c r="T343">
        <f t="shared" si="47"/>
        <v>-201.30040931283909</v>
      </c>
      <c r="U343" t="s">
        <v>95</v>
      </c>
      <c r="V343">
        <v>89117</v>
      </c>
      <c r="W343" t="s">
        <v>358</v>
      </c>
      <c r="X343">
        <v>298</v>
      </c>
      <c r="Y343" t="s">
        <v>359</v>
      </c>
      <c r="Z343">
        <v>-33.4</v>
      </c>
      <c r="AA343" t="s">
        <v>95</v>
      </c>
      <c r="AB343">
        <f t="shared" si="48"/>
        <v>-150.99457504520797</v>
      </c>
      <c r="AC343" t="s">
        <v>93</v>
      </c>
      <c r="AD343">
        <v>1.9</v>
      </c>
      <c r="AE343" t="s">
        <v>95</v>
      </c>
      <c r="AF343" t="s">
        <v>93</v>
      </c>
      <c r="AS343">
        <v>0.501</v>
      </c>
      <c r="BG343">
        <v>0.499</v>
      </c>
      <c r="CR343">
        <f t="shared" si="49"/>
        <v>-199.8940776220615</v>
      </c>
      <c r="CS343">
        <f t="shared" si="50"/>
        <v>-201.30040931283909</v>
      </c>
      <c r="CT343">
        <f t="shared" si="51"/>
        <v>-150.99457504520797</v>
      </c>
      <c r="CU343" s="7">
        <f t="shared" si="52"/>
        <v>-184.06302066003619</v>
      </c>
      <c r="CV343" s="9">
        <f t="shared" si="54"/>
        <v>221.2</v>
      </c>
      <c r="CW343" t="str">
        <f t="shared" si="53"/>
        <v>DyNi</v>
      </c>
    </row>
    <row r="344" spans="1:101" ht="15.75" thickBot="1" x14ac:dyDescent="0.3">
      <c r="A344" t="s">
        <v>91</v>
      </c>
      <c r="B344" t="s">
        <v>2194</v>
      </c>
      <c r="C344" t="s">
        <v>3144</v>
      </c>
      <c r="E344" t="s">
        <v>3145</v>
      </c>
      <c r="F344" t="s">
        <v>93</v>
      </c>
      <c r="G344" t="s">
        <v>2195</v>
      </c>
      <c r="H344">
        <v>285.39</v>
      </c>
      <c r="I344">
        <v>873</v>
      </c>
      <c r="J344">
        <v>0</v>
      </c>
      <c r="K344" t="s">
        <v>95</v>
      </c>
      <c r="L344">
        <v>-52.582380780000001</v>
      </c>
      <c r="M344">
        <f t="shared" si="46"/>
        <v>-184.24745358982446</v>
      </c>
      <c r="N344" t="s">
        <v>95</v>
      </c>
      <c r="O344" t="s">
        <v>2196</v>
      </c>
      <c r="P344" t="s">
        <v>93</v>
      </c>
      <c r="Q344">
        <v>0</v>
      </c>
      <c r="R344" t="s">
        <v>95</v>
      </c>
      <c r="S344">
        <v>-52.33342622</v>
      </c>
      <c r="T344">
        <f t="shared" si="47"/>
        <v>-183.37512253407618</v>
      </c>
      <c r="U344" t="s">
        <v>95</v>
      </c>
      <c r="V344">
        <v>646837</v>
      </c>
      <c r="W344" t="s">
        <v>164</v>
      </c>
      <c r="X344">
        <v>298</v>
      </c>
      <c r="Y344" t="s">
        <v>165</v>
      </c>
      <c r="Z344">
        <v>-52.3</v>
      </c>
      <c r="AA344" t="s">
        <v>95</v>
      </c>
      <c r="AB344">
        <f t="shared" si="48"/>
        <v>-183.25799782753424</v>
      </c>
      <c r="AC344" t="s">
        <v>93</v>
      </c>
      <c r="AD344">
        <v>0.9</v>
      </c>
      <c r="AE344" t="s">
        <v>95</v>
      </c>
      <c r="AF344" t="s">
        <v>93</v>
      </c>
      <c r="AZ344">
        <v>0.66</v>
      </c>
      <c r="CA344">
        <v>0.33</v>
      </c>
      <c r="CR344">
        <f t="shared" si="49"/>
        <v>-184.24745358982446</v>
      </c>
      <c r="CS344">
        <f t="shared" si="50"/>
        <v>-183.37512253407618</v>
      </c>
      <c r="CT344">
        <f t="shared" si="51"/>
        <v>-183.25799782753424</v>
      </c>
      <c r="CU344" s="7">
        <f t="shared" si="52"/>
        <v>-183.62685798381165</v>
      </c>
      <c r="CV344" s="9">
        <f t="shared" si="54"/>
        <v>285.39</v>
      </c>
      <c r="CW344" t="str">
        <f t="shared" si="53"/>
        <v>GePd2</v>
      </c>
    </row>
    <row r="345" spans="1:101" ht="15.75" thickBot="1" x14ac:dyDescent="0.3">
      <c r="A345" t="s">
        <v>91</v>
      </c>
      <c r="B345" t="s">
        <v>1962</v>
      </c>
      <c r="C345" t="s">
        <v>3144</v>
      </c>
      <c r="E345" t="s">
        <v>3145</v>
      </c>
      <c r="G345" t="s">
        <v>474</v>
      </c>
      <c r="H345">
        <v>150.1532</v>
      </c>
      <c r="I345">
        <v>758</v>
      </c>
      <c r="J345">
        <v>0</v>
      </c>
      <c r="K345" t="s">
        <v>95</v>
      </c>
      <c r="L345">
        <v>-27.196975519999999</v>
      </c>
      <c r="M345">
        <f t="shared" si="46"/>
        <v>-181.12817788765074</v>
      </c>
      <c r="N345" t="s">
        <v>95</v>
      </c>
      <c r="O345" t="s">
        <v>475</v>
      </c>
      <c r="P345" t="s">
        <v>93</v>
      </c>
      <c r="Q345">
        <v>4.2670176199999998</v>
      </c>
      <c r="R345" t="s">
        <v>95</v>
      </c>
      <c r="S345">
        <v>-27.778022830000001</v>
      </c>
      <c r="T345">
        <f t="shared" si="47"/>
        <v>-184.99787437097581</v>
      </c>
      <c r="U345" t="s">
        <v>95</v>
      </c>
      <c r="V345">
        <v>29537</v>
      </c>
      <c r="W345" t="s">
        <v>102</v>
      </c>
      <c r="X345">
        <v>1512</v>
      </c>
      <c r="Y345" t="s">
        <v>103</v>
      </c>
      <c r="AB345">
        <f t="shared" si="48"/>
        <v>0</v>
      </c>
      <c r="AC345" t="s">
        <v>93</v>
      </c>
      <c r="AD345">
        <v>1</v>
      </c>
      <c r="AE345" t="s">
        <v>95</v>
      </c>
      <c r="AF345" t="s">
        <v>93</v>
      </c>
      <c r="AP345">
        <v>0.5</v>
      </c>
      <c r="AW345">
        <v>0.5</v>
      </c>
      <c r="CG345">
        <v>-42.2</v>
      </c>
      <c r="CH345" t="s">
        <v>95</v>
      </c>
      <c r="CI345" t="s">
        <v>93</v>
      </c>
      <c r="CR345">
        <f t="shared" si="49"/>
        <v>-181.12817788765074</v>
      </c>
      <c r="CS345">
        <f t="shared" si="50"/>
        <v>-184.99787437097581</v>
      </c>
      <c r="CT345">
        <f t="shared" si="51"/>
        <v>0</v>
      </c>
      <c r="CU345" s="7">
        <f t="shared" si="52"/>
        <v>-183.06302612931327</v>
      </c>
      <c r="CV345" s="9">
        <f t="shared" si="54"/>
        <v>150.1532</v>
      </c>
      <c r="CW345" t="str">
        <f t="shared" si="53"/>
        <v>ZrCo</v>
      </c>
    </row>
    <row r="346" spans="1:101" ht="15.75" thickBot="1" x14ac:dyDescent="0.3">
      <c r="A346" t="s">
        <v>91</v>
      </c>
      <c r="B346" t="s">
        <v>585</v>
      </c>
      <c r="C346" t="s">
        <v>3144</v>
      </c>
      <c r="E346" t="s">
        <v>3145</v>
      </c>
      <c r="F346" t="s">
        <v>93</v>
      </c>
      <c r="G346" t="s">
        <v>586</v>
      </c>
      <c r="H346">
        <v>486.46</v>
      </c>
      <c r="I346">
        <v>238</v>
      </c>
      <c r="J346">
        <v>0</v>
      </c>
      <c r="K346" t="s">
        <v>95</v>
      </c>
      <c r="L346">
        <v>-88.715085520000002</v>
      </c>
      <c r="M346">
        <f t="shared" si="46"/>
        <v>-182.3687158656416</v>
      </c>
      <c r="N346" t="s">
        <v>95</v>
      </c>
      <c r="O346" t="s">
        <v>587</v>
      </c>
      <c r="P346" t="s">
        <v>93</v>
      </c>
      <c r="Q346">
        <v>0</v>
      </c>
      <c r="R346" t="s">
        <v>95</v>
      </c>
      <c r="S346">
        <v>-88.195881040000003</v>
      </c>
      <c r="T346">
        <f t="shared" si="47"/>
        <v>-181.3014041031123</v>
      </c>
      <c r="U346" t="s">
        <v>95</v>
      </c>
      <c r="V346">
        <v>18320</v>
      </c>
      <c r="W346" t="s">
        <v>194</v>
      </c>
      <c r="X346">
        <v>298</v>
      </c>
      <c r="Y346" t="s">
        <v>103</v>
      </c>
      <c r="Z346">
        <v>-90.2</v>
      </c>
      <c r="AA346" t="s">
        <v>95</v>
      </c>
      <c r="AB346">
        <f t="shared" si="48"/>
        <v>-185.4212062656745</v>
      </c>
      <c r="AC346" t="s">
        <v>93</v>
      </c>
      <c r="AD346">
        <v>1.4</v>
      </c>
      <c r="AE346" t="s">
        <v>95</v>
      </c>
      <c r="AF346" t="s">
        <v>93</v>
      </c>
      <c r="AZ346">
        <v>0.75</v>
      </c>
      <c r="BH346">
        <v>0.25</v>
      </c>
      <c r="CR346">
        <f t="shared" si="49"/>
        <v>-182.3687158656416</v>
      </c>
      <c r="CS346">
        <f t="shared" si="50"/>
        <v>-181.3014041031123</v>
      </c>
      <c r="CT346">
        <f t="shared" si="51"/>
        <v>-185.4212062656745</v>
      </c>
      <c r="CU346" s="7">
        <f t="shared" si="52"/>
        <v>-183.03044207814278</v>
      </c>
      <c r="CV346" s="9">
        <f t="shared" si="54"/>
        <v>486.46</v>
      </c>
      <c r="CW346" t="str">
        <f t="shared" si="53"/>
        <v>ErPd3</v>
      </c>
    </row>
    <row r="347" spans="1:101" ht="15.75" thickBot="1" x14ac:dyDescent="0.3">
      <c r="A347" t="s">
        <v>91</v>
      </c>
      <c r="B347" t="s">
        <v>937</v>
      </c>
      <c r="C347" t="s">
        <v>3144</v>
      </c>
      <c r="E347" t="s">
        <v>3145</v>
      </c>
      <c r="F347" t="s">
        <v>93</v>
      </c>
      <c r="G347" t="s">
        <v>938</v>
      </c>
      <c r="H347">
        <v>531.08770000000004</v>
      </c>
      <c r="I347">
        <v>374</v>
      </c>
      <c r="J347">
        <v>0</v>
      </c>
      <c r="K347" t="s">
        <v>95</v>
      </c>
      <c r="L347">
        <v>-99.249760339999995</v>
      </c>
      <c r="M347">
        <f t="shared" si="46"/>
        <v>-186.88017127867954</v>
      </c>
      <c r="N347" t="s">
        <v>95</v>
      </c>
      <c r="O347" t="s">
        <v>939</v>
      </c>
      <c r="P347" t="s">
        <v>93</v>
      </c>
      <c r="Q347">
        <v>0</v>
      </c>
      <c r="R347" t="s">
        <v>95</v>
      </c>
      <c r="S347">
        <v>-98.837075249999998</v>
      </c>
      <c r="T347">
        <f t="shared" si="47"/>
        <v>-186.10311489044085</v>
      </c>
      <c r="U347" t="s">
        <v>95</v>
      </c>
      <c r="V347">
        <v>18883</v>
      </c>
      <c r="W347" t="s">
        <v>159</v>
      </c>
      <c r="X347">
        <v>298</v>
      </c>
      <c r="Y347" t="s">
        <v>160</v>
      </c>
      <c r="Z347">
        <v>-93.5</v>
      </c>
      <c r="AA347" t="s">
        <v>95</v>
      </c>
      <c r="AB347">
        <f t="shared" si="48"/>
        <v>-176.05378546707067</v>
      </c>
      <c r="AC347" t="s">
        <v>93</v>
      </c>
      <c r="AD347">
        <v>2.4</v>
      </c>
      <c r="AE347" t="s">
        <v>95</v>
      </c>
      <c r="AF347" t="s">
        <v>93</v>
      </c>
      <c r="AN347">
        <v>0.33</v>
      </c>
      <c r="AY347">
        <v>0.66</v>
      </c>
      <c r="CR347">
        <f t="shared" si="49"/>
        <v>-186.88017127867954</v>
      </c>
      <c r="CS347">
        <f t="shared" si="50"/>
        <v>-186.10311489044085</v>
      </c>
      <c r="CT347">
        <f t="shared" si="51"/>
        <v>-176.05378546707067</v>
      </c>
      <c r="CU347" s="7">
        <f t="shared" si="52"/>
        <v>-183.01235721206368</v>
      </c>
      <c r="CV347" s="9">
        <f t="shared" si="54"/>
        <v>531.08770000000004</v>
      </c>
      <c r="CW347" t="str">
        <f t="shared" si="53"/>
        <v>PrPt2</v>
      </c>
    </row>
    <row r="348" spans="1:101" ht="15.75" thickBot="1" x14ac:dyDescent="0.3">
      <c r="A348" t="s">
        <v>91</v>
      </c>
      <c r="B348" t="s">
        <v>1714</v>
      </c>
      <c r="C348" t="s">
        <v>3144</v>
      </c>
      <c r="E348" t="s">
        <v>3145</v>
      </c>
      <c r="F348" t="s">
        <v>93</v>
      </c>
      <c r="G348" t="s">
        <v>1715</v>
      </c>
      <c r="H348">
        <v>438.88889999999998</v>
      </c>
      <c r="I348">
        <v>657</v>
      </c>
      <c r="J348">
        <v>0</v>
      </c>
      <c r="K348" t="s">
        <v>95</v>
      </c>
      <c r="L348">
        <v>-78.776750530000001</v>
      </c>
      <c r="M348">
        <f t="shared" si="46"/>
        <v>-179.49132577743478</v>
      </c>
      <c r="N348" t="s">
        <v>95</v>
      </c>
      <c r="O348" t="s">
        <v>1716</v>
      </c>
      <c r="P348" t="s">
        <v>93</v>
      </c>
      <c r="Q348">
        <v>0</v>
      </c>
      <c r="R348" t="s">
        <v>95</v>
      </c>
      <c r="S348">
        <v>-78.756621580000001</v>
      </c>
      <c r="T348">
        <f t="shared" si="47"/>
        <v>-179.44546234821615</v>
      </c>
      <c r="U348" t="s">
        <v>95</v>
      </c>
      <c r="V348">
        <v>28211</v>
      </c>
      <c r="W348" t="s">
        <v>97</v>
      </c>
      <c r="X348">
        <v>298</v>
      </c>
      <c r="Y348" t="s">
        <v>98</v>
      </c>
      <c r="Z348">
        <v>-83.4</v>
      </c>
      <c r="AA348" t="s">
        <v>95</v>
      </c>
      <c r="AB348">
        <f t="shared" si="48"/>
        <v>-190.02531164492882</v>
      </c>
      <c r="AC348" t="s">
        <v>93</v>
      </c>
      <c r="AD348">
        <v>1.8</v>
      </c>
      <c r="AE348" t="s">
        <v>95</v>
      </c>
      <c r="AF348" t="s">
        <v>93</v>
      </c>
      <c r="BC348">
        <v>0.66</v>
      </c>
      <c r="CR348">
        <f t="shared" si="49"/>
        <v>-179.49132577743478</v>
      </c>
      <c r="CS348">
        <f t="shared" si="50"/>
        <v>-179.44546234821615</v>
      </c>
      <c r="CT348">
        <f t="shared" si="51"/>
        <v>-190.02531164492882</v>
      </c>
      <c r="CU348" s="7">
        <f t="shared" si="52"/>
        <v>-182.98736659019323</v>
      </c>
      <c r="CV348" s="9">
        <f t="shared" si="54"/>
        <v>438.88889999999998</v>
      </c>
      <c r="CW348" t="str">
        <f t="shared" si="53"/>
        <v>ScAu2</v>
      </c>
    </row>
    <row r="349" spans="1:101" ht="15.75" thickBot="1" x14ac:dyDescent="0.3">
      <c r="A349" t="s">
        <v>91</v>
      </c>
      <c r="B349" t="s">
        <v>93</v>
      </c>
      <c r="C349" t="s">
        <v>3144</v>
      </c>
      <c r="E349" t="s">
        <v>3145</v>
      </c>
      <c r="F349" t="s">
        <v>93</v>
      </c>
      <c r="G349" t="s">
        <v>254</v>
      </c>
      <c r="H349">
        <v>230.52947999999901</v>
      </c>
      <c r="I349">
        <v>74</v>
      </c>
      <c r="M349">
        <f t="shared" si="46"/>
        <v>0</v>
      </c>
      <c r="O349" t="s">
        <v>93</v>
      </c>
      <c r="P349" t="s">
        <v>93</v>
      </c>
      <c r="T349">
        <f t="shared" si="47"/>
        <v>0</v>
      </c>
      <c r="V349" t="s">
        <v>93</v>
      </c>
      <c r="W349" t="s">
        <v>102</v>
      </c>
      <c r="X349">
        <v>298</v>
      </c>
      <c r="Y349" t="s">
        <v>103</v>
      </c>
      <c r="Z349">
        <v>-42</v>
      </c>
      <c r="AA349" t="s">
        <v>95</v>
      </c>
      <c r="AB349">
        <f t="shared" si="48"/>
        <v>-182.18928008686865</v>
      </c>
      <c r="AC349" t="s">
        <v>93</v>
      </c>
      <c r="AD349">
        <v>0.93</v>
      </c>
      <c r="AE349" t="s">
        <v>95</v>
      </c>
      <c r="AF349" t="s">
        <v>93</v>
      </c>
      <c r="AH349" t="s">
        <v>93</v>
      </c>
      <c r="AI349" t="s">
        <v>93</v>
      </c>
      <c r="AJ349" t="s">
        <v>93</v>
      </c>
      <c r="AK349" t="s">
        <v>93</v>
      </c>
      <c r="AR349">
        <v>0.4</v>
      </c>
      <c r="AS349">
        <v>0.2</v>
      </c>
      <c r="AW349">
        <v>0.4</v>
      </c>
      <c r="CR349">
        <f t="shared" si="49"/>
        <v>0</v>
      </c>
      <c r="CS349">
        <f t="shared" si="50"/>
        <v>0</v>
      </c>
      <c r="CT349">
        <f t="shared" si="51"/>
        <v>-182.18928008686865</v>
      </c>
      <c r="CU349" s="7">
        <f t="shared" si="52"/>
        <v>-182.18928008686865</v>
      </c>
      <c r="CV349" s="9">
        <f t="shared" si="54"/>
        <v>230.52947999999901</v>
      </c>
      <c r="CW349" t="str">
        <f t="shared" si="53"/>
        <v>Al2Co2Ni</v>
      </c>
    </row>
    <row r="350" spans="1:101" ht="15.75" thickBot="1" x14ac:dyDescent="0.3">
      <c r="A350" t="s">
        <v>91</v>
      </c>
      <c r="B350" t="s">
        <v>2672</v>
      </c>
      <c r="C350" t="s">
        <v>3144</v>
      </c>
      <c r="E350" t="s">
        <v>3145</v>
      </c>
      <c r="F350" t="s">
        <v>93</v>
      </c>
      <c r="G350" t="s">
        <v>2673</v>
      </c>
      <c r="H350">
        <v>303.32754</v>
      </c>
      <c r="I350">
        <v>1092</v>
      </c>
      <c r="M350">
        <f t="shared" si="46"/>
        <v>0</v>
      </c>
      <c r="O350" t="s">
        <v>93</v>
      </c>
      <c r="P350" t="s">
        <v>93</v>
      </c>
      <c r="T350">
        <f t="shared" si="47"/>
        <v>0</v>
      </c>
      <c r="V350" t="s">
        <v>93</v>
      </c>
      <c r="W350" t="s">
        <v>2097</v>
      </c>
      <c r="X350">
        <v>298</v>
      </c>
      <c r="Y350" t="s">
        <v>1988</v>
      </c>
      <c r="Z350">
        <v>-55.2</v>
      </c>
      <c r="AA350" t="s">
        <v>95</v>
      </c>
      <c r="AB350">
        <f t="shared" si="48"/>
        <v>-181.98149762464695</v>
      </c>
      <c r="AC350" t="s">
        <v>93</v>
      </c>
      <c r="AD350">
        <v>3</v>
      </c>
      <c r="AE350" t="s">
        <v>95</v>
      </c>
      <c r="AF350" t="s">
        <v>93</v>
      </c>
      <c r="AH350" t="s">
        <v>93</v>
      </c>
      <c r="AI350" t="s">
        <v>93</v>
      </c>
      <c r="AJ350" t="s">
        <v>93</v>
      </c>
      <c r="AK350" t="s">
        <v>93</v>
      </c>
      <c r="AR350">
        <v>0.25</v>
      </c>
      <c r="AX350">
        <v>0.25</v>
      </c>
      <c r="AZ350">
        <v>0.5</v>
      </c>
      <c r="CR350">
        <f t="shared" si="49"/>
        <v>0</v>
      </c>
      <c r="CS350">
        <f t="shared" si="50"/>
        <v>0</v>
      </c>
      <c r="CT350">
        <f t="shared" si="51"/>
        <v>-181.98149762464695</v>
      </c>
      <c r="CU350" s="7">
        <f t="shared" si="52"/>
        <v>-181.98149762464695</v>
      </c>
      <c r="CV350" s="9">
        <f t="shared" si="54"/>
        <v>303.32754</v>
      </c>
      <c r="CW350" t="str">
        <f t="shared" si="53"/>
        <v>Pd2CuAl</v>
      </c>
    </row>
    <row r="351" spans="1:101" ht="15.75" thickBot="1" x14ac:dyDescent="0.3">
      <c r="A351" t="s">
        <v>91</v>
      </c>
      <c r="B351" t="s">
        <v>769</v>
      </c>
      <c r="C351" t="s">
        <v>3144</v>
      </c>
      <c r="E351" t="s">
        <v>3145</v>
      </c>
      <c r="F351" t="s">
        <v>93</v>
      </c>
      <c r="G351" t="s">
        <v>770</v>
      </c>
      <c r="H351">
        <v>494.16699999999997</v>
      </c>
      <c r="I351">
        <v>308</v>
      </c>
      <c r="J351">
        <v>0</v>
      </c>
      <c r="K351" t="s">
        <v>95</v>
      </c>
      <c r="L351">
        <v>-90.6818083</v>
      </c>
      <c r="M351">
        <f t="shared" si="46"/>
        <v>-183.50437868170073</v>
      </c>
      <c r="N351" t="s">
        <v>95</v>
      </c>
      <c r="O351" t="s">
        <v>771</v>
      </c>
      <c r="P351" t="s">
        <v>93</v>
      </c>
      <c r="Q351">
        <v>0</v>
      </c>
      <c r="R351" t="s">
        <v>95</v>
      </c>
      <c r="S351">
        <v>-90.219775799999994</v>
      </c>
      <c r="T351">
        <f t="shared" si="47"/>
        <v>-182.56940629382376</v>
      </c>
      <c r="U351" t="s">
        <v>95</v>
      </c>
      <c r="V351">
        <v>17622</v>
      </c>
      <c r="W351" t="s">
        <v>194</v>
      </c>
      <c r="X351">
        <v>298</v>
      </c>
      <c r="Y351" t="s">
        <v>103</v>
      </c>
      <c r="Z351">
        <v>-88.7</v>
      </c>
      <c r="AA351" t="s">
        <v>95</v>
      </c>
      <c r="AB351">
        <f t="shared" si="48"/>
        <v>-179.49397673256209</v>
      </c>
      <c r="AC351" t="s">
        <v>93</v>
      </c>
      <c r="AD351">
        <v>2.7</v>
      </c>
      <c r="AE351" t="s">
        <v>95</v>
      </c>
      <c r="AF351" t="s">
        <v>93</v>
      </c>
      <c r="AZ351">
        <v>0.75</v>
      </c>
      <c r="BL351">
        <v>0.25</v>
      </c>
      <c r="CR351">
        <f t="shared" si="49"/>
        <v>-183.50437868170073</v>
      </c>
      <c r="CS351">
        <f t="shared" si="50"/>
        <v>-182.56940629382376</v>
      </c>
      <c r="CT351">
        <f t="shared" si="51"/>
        <v>-179.49397673256209</v>
      </c>
      <c r="CU351" s="7">
        <f t="shared" si="52"/>
        <v>-181.85592056936221</v>
      </c>
      <c r="CV351" s="9">
        <f t="shared" si="54"/>
        <v>494.16699999999997</v>
      </c>
      <c r="CW351" t="str">
        <f t="shared" si="53"/>
        <v>LuPd3</v>
      </c>
    </row>
    <row r="352" spans="1:101" ht="15.75" thickBot="1" x14ac:dyDescent="0.3">
      <c r="A352" t="s">
        <v>91</v>
      </c>
      <c r="B352" t="s">
        <v>275</v>
      </c>
      <c r="C352" t="s">
        <v>3144</v>
      </c>
      <c r="E352" t="s">
        <v>3145</v>
      </c>
      <c r="F352" t="s">
        <v>93</v>
      </c>
      <c r="G352" t="s">
        <v>276</v>
      </c>
      <c r="H352">
        <v>176.20908</v>
      </c>
      <c r="I352">
        <v>89</v>
      </c>
      <c r="M352">
        <f t="shared" si="46"/>
        <v>0</v>
      </c>
      <c r="O352" t="s">
        <v>93</v>
      </c>
      <c r="P352" t="s">
        <v>93</v>
      </c>
      <c r="T352">
        <f t="shared" si="47"/>
        <v>0</v>
      </c>
      <c r="V352" t="s">
        <v>93</v>
      </c>
      <c r="W352" t="s">
        <v>102</v>
      </c>
      <c r="X352">
        <v>298</v>
      </c>
      <c r="Y352" t="s">
        <v>103</v>
      </c>
      <c r="Z352">
        <v>-32.020000000000003</v>
      </c>
      <c r="AA352" t="s">
        <v>95</v>
      </c>
      <c r="AB352">
        <f t="shared" si="48"/>
        <v>-181.71594789553413</v>
      </c>
      <c r="AC352" t="s">
        <v>93</v>
      </c>
      <c r="AD352">
        <v>2.0699999999999998</v>
      </c>
      <c r="AE352" t="s">
        <v>95</v>
      </c>
      <c r="AF352" t="s">
        <v>93</v>
      </c>
      <c r="AH352" t="s">
        <v>93</v>
      </c>
      <c r="AI352" t="s">
        <v>93</v>
      </c>
      <c r="AJ352" t="s">
        <v>93</v>
      </c>
      <c r="AK352" t="s">
        <v>93</v>
      </c>
      <c r="AR352">
        <v>0.5</v>
      </c>
      <c r="AS352">
        <v>0.25</v>
      </c>
      <c r="AX352">
        <v>0.25</v>
      </c>
      <c r="CR352">
        <f t="shared" si="49"/>
        <v>0</v>
      </c>
      <c r="CS352">
        <f t="shared" si="50"/>
        <v>0</v>
      </c>
      <c r="CT352">
        <f t="shared" si="51"/>
        <v>-181.71594789553413</v>
      </c>
      <c r="CU352" s="7">
        <f t="shared" si="52"/>
        <v>-181.71594789553413</v>
      </c>
      <c r="CV352" s="9">
        <f t="shared" si="54"/>
        <v>176.20908</v>
      </c>
      <c r="CW352" t="str">
        <f t="shared" si="53"/>
        <v>Al2CuNi</v>
      </c>
    </row>
    <row r="353" spans="1:101" ht="15.75" thickBot="1" x14ac:dyDescent="0.3">
      <c r="A353" t="s">
        <v>91</v>
      </c>
      <c r="B353" t="s">
        <v>900</v>
      </c>
      <c r="C353" t="s">
        <v>3144</v>
      </c>
      <c r="E353" t="s">
        <v>3145</v>
      </c>
      <c r="F353" t="s">
        <v>93</v>
      </c>
      <c r="G353" t="s">
        <v>901</v>
      </c>
      <c r="H353">
        <v>488.13420000000002</v>
      </c>
      <c r="I353">
        <v>358</v>
      </c>
      <c r="J353">
        <v>0</v>
      </c>
      <c r="K353" t="s">
        <v>95</v>
      </c>
      <c r="L353">
        <v>-89.644260279999997</v>
      </c>
      <c r="M353">
        <f t="shared" si="46"/>
        <v>-183.64675181538189</v>
      </c>
      <c r="N353" t="s">
        <v>95</v>
      </c>
      <c r="O353" t="s">
        <v>902</v>
      </c>
      <c r="P353" t="s">
        <v>93</v>
      </c>
      <c r="Q353">
        <v>0.14364297000000001</v>
      </c>
      <c r="R353" t="s">
        <v>95</v>
      </c>
      <c r="S353">
        <v>-89.202556749999999</v>
      </c>
      <c r="T353">
        <f t="shared" si="47"/>
        <v>-182.74187047332472</v>
      </c>
      <c r="U353" t="s">
        <v>95</v>
      </c>
      <c r="V353">
        <v>17981</v>
      </c>
      <c r="W353" t="s">
        <v>194</v>
      </c>
      <c r="X353">
        <v>298</v>
      </c>
      <c r="Y353" t="s">
        <v>103</v>
      </c>
      <c r="Z353">
        <v>-86.8</v>
      </c>
      <c r="AA353" t="s">
        <v>95</v>
      </c>
      <c r="AB353">
        <f t="shared" si="48"/>
        <v>-177.819951972224</v>
      </c>
      <c r="AC353" t="s">
        <v>93</v>
      </c>
      <c r="AD353">
        <v>1.6</v>
      </c>
      <c r="AE353" t="s">
        <v>95</v>
      </c>
      <c r="AF353" t="s">
        <v>93</v>
      </c>
      <c r="AZ353">
        <v>0.75</v>
      </c>
      <c r="BO353">
        <v>0.25</v>
      </c>
      <c r="CR353">
        <f t="shared" si="49"/>
        <v>-183.64675181538189</v>
      </c>
      <c r="CS353">
        <f t="shared" si="50"/>
        <v>-182.74187047332472</v>
      </c>
      <c r="CT353">
        <f t="shared" si="51"/>
        <v>-177.819951972224</v>
      </c>
      <c r="CU353" s="7">
        <f t="shared" si="52"/>
        <v>-181.40285808697686</v>
      </c>
      <c r="CV353" s="9">
        <f t="shared" si="54"/>
        <v>488.13420000000002</v>
      </c>
      <c r="CW353" t="str">
        <f t="shared" si="53"/>
        <v>TmPd3</v>
      </c>
    </row>
    <row r="354" spans="1:101" ht="15.75" thickBot="1" x14ac:dyDescent="0.3">
      <c r="A354" t="s">
        <v>91</v>
      </c>
      <c r="B354" t="s">
        <v>677</v>
      </c>
      <c r="C354" t="s">
        <v>3144</v>
      </c>
      <c r="E354" t="s">
        <v>3145</v>
      </c>
      <c r="F354" t="s">
        <v>93</v>
      </c>
      <c r="G354" t="s">
        <v>678</v>
      </c>
      <c r="H354">
        <v>484.13040000000001</v>
      </c>
      <c r="I354">
        <v>274</v>
      </c>
      <c r="J354">
        <v>0</v>
      </c>
      <c r="K354" t="s">
        <v>95</v>
      </c>
      <c r="L354">
        <v>-87.815648780000004</v>
      </c>
      <c r="M354">
        <f t="shared" si="46"/>
        <v>-181.38842092956776</v>
      </c>
      <c r="N354" t="s">
        <v>95</v>
      </c>
      <c r="O354" t="s">
        <v>679</v>
      </c>
      <c r="P354" t="s">
        <v>93</v>
      </c>
      <c r="Q354">
        <v>0</v>
      </c>
      <c r="R354" t="s">
        <v>95</v>
      </c>
      <c r="S354">
        <v>-87.245465620000004</v>
      </c>
      <c r="T354">
        <f t="shared" si="47"/>
        <v>-180.21067385977003</v>
      </c>
      <c r="U354" t="s">
        <v>95</v>
      </c>
      <c r="V354">
        <v>17468</v>
      </c>
      <c r="W354" t="s">
        <v>194</v>
      </c>
      <c r="X354">
        <v>298</v>
      </c>
      <c r="Y354" t="s">
        <v>103</v>
      </c>
      <c r="Z354">
        <v>-87.4</v>
      </c>
      <c r="AA354" t="s">
        <v>95</v>
      </c>
      <c r="AB354">
        <f t="shared" si="48"/>
        <v>-180.52987376954641</v>
      </c>
      <c r="AC354" t="s">
        <v>93</v>
      </c>
      <c r="AD354">
        <v>2.2999999999999998</v>
      </c>
      <c r="AE354" t="s">
        <v>95</v>
      </c>
      <c r="AF354" t="s">
        <v>93</v>
      </c>
      <c r="AZ354">
        <v>0.75</v>
      </c>
      <c r="BJ354">
        <v>0.25</v>
      </c>
      <c r="CR354">
        <f t="shared" si="49"/>
        <v>-181.38842092956776</v>
      </c>
      <c r="CS354">
        <f t="shared" si="50"/>
        <v>-180.21067385977003</v>
      </c>
      <c r="CT354">
        <f t="shared" si="51"/>
        <v>-180.52987376954641</v>
      </c>
      <c r="CU354" s="7">
        <f t="shared" si="52"/>
        <v>-180.70965618629472</v>
      </c>
      <c r="CV354" s="9">
        <f t="shared" si="54"/>
        <v>484.13040000000001</v>
      </c>
      <c r="CW354" t="str">
        <f t="shared" si="53"/>
        <v>HoPd3</v>
      </c>
    </row>
    <row r="355" spans="1:101" ht="15.75" thickBot="1" x14ac:dyDescent="0.3">
      <c r="A355" t="s">
        <v>91</v>
      </c>
      <c r="B355" t="s">
        <v>457</v>
      </c>
      <c r="C355" t="s">
        <v>3144</v>
      </c>
      <c r="E355" t="s">
        <v>3145</v>
      </c>
      <c r="F355" t="s">
        <v>93</v>
      </c>
      <c r="G355" t="s">
        <v>458</v>
      </c>
      <c r="H355">
        <v>530.29999999999995</v>
      </c>
      <c r="I355">
        <v>186</v>
      </c>
      <c r="J355">
        <v>0.77555096000000001</v>
      </c>
      <c r="K355" t="s">
        <v>95</v>
      </c>
      <c r="L355">
        <v>-97.583449560000005</v>
      </c>
      <c r="M355">
        <f t="shared" si="46"/>
        <v>-184.01555640203662</v>
      </c>
      <c r="N355" t="s">
        <v>95</v>
      </c>
      <c r="O355" t="s">
        <v>459</v>
      </c>
      <c r="P355" t="s">
        <v>93</v>
      </c>
      <c r="Q355">
        <v>0</v>
      </c>
      <c r="R355" t="s">
        <v>95</v>
      </c>
      <c r="S355">
        <v>-96.175473929999995</v>
      </c>
      <c r="T355">
        <f t="shared" si="47"/>
        <v>-181.36050147086556</v>
      </c>
      <c r="U355" t="s">
        <v>95</v>
      </c>
      <c r="V355">
        <v>18795</v>
      </c>
      <c r="W355" t="s">
        <v>159</v>
      </c>
      <c r="X355">
        <v>298</v>
      </c>
      <c r="Y355" t="s">
        <v>160</v>
      </c>
      <c r="Z355">
        <v>-90.6</v>
      </c>
      <c r="AA355" t="s">
        <v>95</v>
      </c>
      <c r="AB355">
        <f t="shared" si="48"/>
        <v>-170.84669055251746</v>
      </c>
      <c r="AC355" t="s">
        <v>93</v>
      </c>
      <c r="AD355">
        <v>3.5</v>
      </c>
      <c r="AE355" t="s">
        <v>95</v>
      </c>
      <c r="AF355" t="s">
        <v>93</v>
      </c>
      <c r="AM355">
        <v>0.33</v>
      </c>
      <c r="AY355">
        <v>0.66</v>
      </c>
      <c r="CR355">
        <f t="shared" si="49"/>
        <v>-184.01555640203662</v>
      </c>
      <c r="CS355">
        <f t="shared" si="50"/>
        <v>-181.36050147086556</v>
      </c>
      <c r="CT355">
        <f t="shared" si="51"/>
        <v>-170.84669055251746</v>
      </c>
      <c r="CU355" s="7">
        <f t="shared" si="52"/>
        <v>-178.74091614180654</v>
      </c>
      <c r="CV355" s="9">
        <f t="shared" si="54"/>
        <v>530.29999999999995</v>
      </c>
      <c r="CW355" t="str">
        <f t="shared" si="53"/>
        <v>CePt2</v>
      </c>
    </row>
    <row r="356" spans="1:101" ht="15.75" thickBot="1" x14ac:dyDescent="0.3">
      <c r="A356" t="s">
        <v>91</v>
      </c>
      <c r="B356" t="s">
        <v>798</v>
      </c>
      <c r="C356" t="s">
        <v>3144</v>
      </c>
      <c r="E356" t="s">
        <v>3145</v>
      </c>
      <c r="F356" t="s">
        <v>93</v>
      </c>
      <c r="G356" t="s">
        <v>799</v>
      </c>
      <c r="H356">
        <v>350.05099999999999</v>
      </c>
      <c r="I356">
        <v>320</v>
      </c>
      <c r="J356">
        <v>0</v>
      </c>
      <c r="K356" t="s">
        <v>95</v>
      </c>
      <c r="L356">
        <v>-64.224336930000007</v>
      </c>
      <c r="M356">
        <f t="shared" si="46"/>
        <v>-183.47137111449479</v>
      </c>
      <c r="N356" t="s">
        <v>95</v>
      </c>
      <c r="O356" t="s">
        <v>800</v>
      </c>
      <c r="P356" t="s">
        <v>93</v>
      </c>
      <c r="Q356">
        <v>0</v>
      </c>
      <c r="R356" t="s">
        <v>95</v>
      </c>
      <c r="S356">
        <v>-63.452177519999999</v>
      </c>
      <c r="T356">
        <f t="shared" si="47"/>
        <v>-181.26552279524984</v>
      </c>
      <c r="U356" t="s">
        <v>95</v>
      </c>
      <c r="V356">
        <v>17771</v>
      </c>
      <c r="W356" t="s">
        <v>159</v>
      </c>
      <c r="X356">
        <v>298</v>
      </c>
      <c r="Y356" t="s">
        <v>160</v>
      </c>
      <c r="Z356">
        <v>-59.9</v>
      </c>
      <c r="AA356" t="s">
        <v>95</v>
      </c>
      <c r="AB356">
        <f t="shared" si="48"/>
        <v>-171.11792281696097</v>
      </c>
      <c r="AC356" t="s">
        <v>93</v>
      </c>
      <c r="AD356">
        <v>1.1000000000000001</v>
      </c>
      <c r="AE356" t="s">
        <v>95</v>
      </c>
      <c r="AF356" t="s">
        <v>93</v>
      </c>
      <c r="AO356">
        <v>0.33</v>
      </c>
      <c r="BF356">
        <v>0.66</v>
      </c>
      <c r="CR356">
        <f t="shared" si="49"/>
        <v>-183.47137111449479</v>
      </c>
      <c r="CS356">
        <f t="shared" si="50"/>
        <v>-181.26552279524984</v>
      </c>
      <c r="CT356">
        <f t="shared" si="51"/>
        <v>-171.11792281696097</v>
      </c>
      <c r="CU356" s="7">
        <f t="shared" si="52"/>
        <v>-178.61827224223521</v>
      </c>
      <c r="CV356" s="9">
        <f t="shared" si="54"/>
        <v>350.05099999999999</v>
      </c>
      <c r="CW356" t="str">
        <f t="shared" si="53"/>
        <v>NdRh2</v>
      </c>
    </row>
    <row r="357" spans="1:101" ht="15.75" thickBot="1" x14ac:dyDescent="0.3">
      <c r="A357" t="s">
        <v>91</v>
      </c>
      <c r="B357" t="s">
        <v>644</v>
      </c>
      <c r="C357" t="s">
        <v>3144</v>
      </c>
      <c r="E357" t="s">
        <v>3145</v>
      </c>
      <c r="F357" t="s">
        <v>93</v>
      </c>
      <c r="G357" t="s">
        <v>645</v>
      </c>
      <c r="H357">
        <v>497.69</v>
      </c>
      <c r="I357">
        <v>261</v>
      </c>
      <c r="M357">
        <f t="shared" si="46"/>
        <v>0</v>
      </c>
      <c r="O357" t="s">
        <v>93</v>
      </c>
      <c r="P357" t="s">
        <v>93</v>
      </c>
      <c r="T357">
        <f t="shared" si="47"/>
        <v>0</v>
      </c>
      <c r="V357" t="s">
        <v>93</v>
      </c>
      <c r="W357" t="s">
        <v>93</v>
      </c>
      <c r="X357">
        <v>298</v>
      </c>
      <c r="Y357" t="s">
        <v>93</v>
      </c>
      <c r="Z357">
        <v>-88.5</v>
      </c>
      <c r="AA357" t="s">
        <v>95</v>
      </c>
      <c r="AB357">
        <f t="shared" si="48"/>
        <v>-177.8215354939822</v>
      </c>
      <c r="AC357" t="s">
        <v>93</v>
      </c>
      <c r="AD357">
        <v>1.4</v>
      </c>
      <c r="AE357" t="s">
        <v>95</v>
      </c>
      <c r="AF357" t="s">
        <v>93</v>
      </c>
      <c r="AH357" t="s">
        <v>93</v>
      </c>
      <c r="AI357" t="s">
        <v>93</v>
      </c>
      <c r="AJ357" t="s">
        <v>93</v>
      </c>
      <c r="AK357" t="s">
        <v>93</v>
      </c>
      <c r="AQ357">
        <v>0.25</v>
      </c>
      <c r="AZ357">
        <v>0.75</v>
      </c>
      <c r="CR357">
        <f t="shared" si="49"/>
        <v>0</v>
      </c>
      <c r="CS357">
        <f t="shared" si="50"/>
        <v>0</v>
      </c>
      <c r="CT357">
        <f t="shared" si="51"/>
        <v>-177.8215354939822</v>
      </c>
      <c r="CU357" s="7">
        <f t="shared" si="52"/>
        <v>-177.8215354939822</v>
      </c>
      <c r="CV357" s="9">
        <f t="shared" si="54"/>
        <v>497.69</v>
      </c>
      <c r="CW357" t="str">
        <f t="shared" si="53"/>
        <v>HfPd3</v>
      </c>
    </row>
    <row r="358" spans="1:101" ht="15.75" thickBot="1" x14ac:dyDescent="0.3">
      <c r="A358" t="s">
        <v>91</v>
      </c>
      <c r="B358" t="s">
        <v>560</v>
      </c>
      <c r="C358" t="s">
        <v>3144</v>
      </c>
      <c r="E358" t="s">
        <v>3145</v>
      </c>
      <c r="F358" t="s">
        <v>93</v>
      </c>
      <c r="G358" t="s">
        <v>561</v>
      </c>
      <c r="H358">
        <v>552.67999999999995</v>
      </c>
      <c r="I358">
        <v>229</v>
      </c>
      <c r="M358">
        <f t="shared" si="46"/>
        <v>0</v>
      </c>
      <c r="O358" t="s">
        <v>93</v>
      </c>
      <c r="P358" t="s">
        <v>93</v>
      </c>
      <c r="T358">
        <f t="shared" si="47"/>
        <v>0</v>
      </c>
      <c r="V358" t="s">
        <v>93</v>
      </c>
      <c r="W358" t="s">
        <v>93</v>
      </c>
      <c r="X358">
        <v>298</v>
      </c>
      <c r="Y358" t="s">
        <v>93</v>
      </c>
      <c r="Z358">
        <v>-98.1</v>
      </c>
      <c r="AA358" t="s">
        <v>95</v>
      </c>
      <c r="AB358">
        <f t="shared" si="48"/>
        <v>-177.49873344430773</v>
      </c>
      <c r="AC358" t="s">
        <v>93</v>
      </c>
      <c r="AD358">
        <v>2.8</v>
      </c>
      <c r="AE358" t="s">
        <v>95</v>
      </c>
      <c r="AF358" t="s">
        <v>93</v>
      </c>
      <c r="AH358" t="s">
        <v>93</v>
      </c>
      <c r="AI358" t="s">
        <v>93</v>
      </c>
      <c r="AJ358" t="s">
        <v>93</v>
      </c>
      <c r="AK358" t="s">
        <v>93</v>
      </c>
      <c r="AY358">
        <v>0.66</v>
      </c>
      <c r="BG358">
        <v>0.33</v>
      </c>
      <c r="CR358">
        <f t="shared" si="49"/>
        <v>0</v>
      </c>
      <c r="CS358">
        <f t="shared" si="50"/>
        <v>0</v>
      </c>
      <c r="CT358">
        <f t="shared" si="51"/>
        <v>-177.49873344430773</v>
      </c>
      <c r="CU358" s="7">
        <f t="shared" si="52"/>
        <v>-177.49873344430773</v>
      </c>
      <c r="CV358" s="9">
        <f t="shared" si="54"/>
        <v>552.67999999999995</v>
      </c>
      <c r="CW358" t="str">
        <f t="shared" si="53"/>
        <v>DyPt2</v>
      </c>
    </row>
    <row r="359" spans="1:101" ht="15.75" thickBot="1" x14ac:dyDescent="0.3">
      <c r="A359" t="s">
        <v>91</v>
      </c>
      <c r="B359" t="s">
        <v>93</v>
      </c>
      <c r="C359" t="s">
        <v>3144</v>
      </c>
      <c r="E359" t="s">
        <v>3145</v>
      </c>
      <c r="F359" t="s">
        <v>93</v>
      </c>
      <c r="G359" t="s">
        <v>281</v>
      </c>
      <c r="H359">
        <v>234.90907999999999</v>
      </c>
      <c r="I359">
        <v>93</v>
      </c>
      <c r="M359">
        <f t="shared" si="46"/>
        <v>0</v>
      </c>
      <c r="O359" t="s">
        <v>93</v>
      </c>
      <c r="P359" t="s">
        <v>93</v>
      </c>
      <c r="T359">
        <f t="shared" si="47"/>
        <v>0</v>
      </c>
      <c r="V359" t="s">
        <v>93</v>
      </c>
      <c r="W359" t="s">
        <v>102</v>
      </c>
      <c r="X359">
        <v>298</v>
      </c>
      <c r="Y359" t="s">
        <v>103</v>
      </c>
      <c r="Z359">
        <v>-41.63</v>
      </c>
      <c r="AA359" t="s">
        <v>95</v>
      </c>
      <c r="AB359">
        <f t="shared" si="48"/>
        <v>-177.21750048997683</v>
      </c>
      <c r="AC359" t="s">
        <v>93</v>
      </c>
      <c r="AD359">
        <v>2.21</v>
      </c>
      <c r="AE359" t="s">
        <v>95</v>
      </c>
      <c r="AF359" t="s">
        <v>93</v>
      </c>
      <c r="AH359" t="s">
        <v>93</v>
      </c>
      <c r="AI359" t="s">
        <v>93</v>
      </c>
      <c r="AJ359" t="s">
        <v>93</v>
      </c>
      <c r="AK359" t="s">
        <v>93</v>
      </c>
      <c r="AR359">
        <v>0.4</v>
      </c>
      <c r="AS359">
        <v>0.4</v>
      </c>
      <c r="AX359">
        <v>0.2</v>
      </c>
      <c r="CR359">
        <f t="shared" si="49"/>
        <v>0</v>
      </c>
      <c r="CS359">
        <f t="shared" si="50"/>
        <v>0</v>
      </c>
      <c r="CT359">
        <f t="shared" si="51"/>
        <v>-177.21750048997683</v>
      </c>
      <c r="CU359" s="7">
        <f t="shared" si="52"/>
        <v>-177.21750048997683</v>
      </c>
      <c r="CV359" s="9">
        <f t="shared" si="54"/>
        <v>234.90907999999999</v>
      </c>
      <c r="CW359" t="str">
        <f t="shared" si="53"/>
        <v>Al2CuNi2</v>
      </c>
    </row>
    <row r="360" spans="1:101" ht="15.75" thickBot="1" x14ac:dyDescent="0.3">
      <c r="A360" t="s">
        <v>91</v>
      </c>
      <c r="B360" t="s">
        <v>2405</v>
      </c>
      <c r="C360" t="s">
        <v>3144</v>
      </c>
      <c r="E360" t="s">
        <v>3145</v>
      </c>
      <c r="F360" t="s">
        <v>93</v>
      </c>
      <c r="G360" t="s">
        <v>2406</v>
      </c>
      <c r="H360">
        <v>201.7989</v>
      </c>
      <c r="I360">
        <v>978</v>
      </c>
      <c r="J360">
        <v>0</v>
      </c>
      <c r="K360" t="s">
        <v>95</v>
      </c>
      <c r="L360">
        <v>-33.747624790000003</v>
      </c>
      <c r="M360">
        <f t="shared" si="46"/>
        <v>-167.23393829203232</v>
      </c>
      <c r="N360" t="s">
        <v>95</v>
      </c>
      <c r="O360" t="s">
        <v>2407</v>
      </c>
      <c r="P360" t="s">
        <v>93</v>
      </c>
      <c r="Q360">
        <v>0.59837837999999999</v>
      </c>
      <c r="R360" t="s">
        <v>95</v>
      </c>
      <c r="S360">
        <v>-34.903370670000001</v>
      </c>
      <c r="T360">
        <f t="shared" si="47"/>
        <v>-172.96115424811532</v>
      </c>
      <c r="U360" t="s">
        <v>95</v>
      </c>
      <c r="V360">
        <v>647048</v>
      </c>
      <c r="W360" t="s">
        <v>184</v>
      </c>
      <c r="X360">
        <v>298</v>
      </c>
      <c r="Y360" t="s">
        <v>185</v>
      </c>
      <c r="Z360">
        <v>-38.4</v>
      </c>
      <c r="AA360" t="s">
        <v>95</v>
      </c>
      <c r="AB360">
        <f t="shared" si="48"/>
        <v>-190.28845053169269</v>
      </c>
      <c r="AC360" t="s">
        <v>93</v>
      </c>
      <c r="AD360">
        <v>2.2000000000000002</v>
      </c>
      <c r="AE360" t="s">
        <v>95</v>
      </c>
      <c r="AF360" t="s">
        <v>93</v>
      </c>
      <c r="AT360">
        <v>0.25</v>
      </c>
      <c r="AW360">
        <v>0.5</v>
      </c>
      <c r="BX360">
        <v>0.25</v>
      </c>
      <c r="CR360">
        <f t="shared" si="49"/>
        <v>-167.23393829203232</v>
      </c>
      <c r="CS360">
        <f t="shared" si="50"/>
        <v>-172.96115424811532</v>
      </c>
      <c r="CT360">
        <f t="shared" si="51"/>
        <v>-190.28845053169269</v>
      </c>
      <c r="CU360" s="7">
        <f t="shared" si="52"/>
        <v>-176.82784769061345</v>
      </c>
      <c r="CV360" s="9">
        <f t="shared" si="54"/>
        <v>201.7989</v>
      </c>
      <c r="CW360" t="str">
        <f t="shared" si="53"/>
        <v>FeCo2Si</v>
      </c>
    </row>
    <row r="361" spans="1:101" ht="15.75" thickBot="1" x14ac:dyDescent="0.3">
      <c r="A361" t="s">
        <v>91</v>
      </c>
      <c r="B361" t="s">
        <v>1744</v>
      </c>
      <c r="C361" t="s">
        <v>3144</v>
      </c>
      <c r="E361" t="s">
        <v>3145</v>
      </c>
      <c r="F361" t="s">
        <v>93</v>
      </c>
      <c r="G361" t="s">
        <v>1745</v>
      </c>
      <c r="H361">
        <v>243.16149999999999</v>
      </c>
      <c r="I361">
        <v>667</v>
      </c>
      <c r="J361">
        <v>0</v>
      </c>
      <c r="K361" t="s">
        <v>95</v>
      </c>
      <c r="L361">
        <v>-50.248425490000002</v>
      </c>
      <c r="M361">
        <f t="shared" si="46"/>
        <v>-206.64630498660358</v>
      </c>
      <c r="N361" t="s">
        <v>95</v>
      </c>
      <c r="O361" t="s">
        <v>1746</v>
      </c>
      <c r="P361" t="s">
        <v>93</v>
      </c>
      <c r="Q361">
        <v>0</v>
      </c>
      <c r="R361" t="s">
        <v>95</v>
      </c>
      <c r="S361">
        <v>-50.5068001</v>
      </c>
      <c r="T361">
        <f t="shared" si="47"/>
        <v>-207.70886879707521</v>
      </c>
      <c r="U361" t="s">
        <v>95</v>
      </c>
      <c r="V361">
        <v>17531</v>
      </c>
      <c r="W361" t="s">
        <v>430</v>
      </c>
      <c r="X361">
        <v>298</v>
      </c>
      <c r="Y361" t="s">
        <v>1747</v>
      </c>
      <c r="Z361">
        <v>-28.1</v>
      </c>
      <c r="AA361" t="s">
        <v>95</v>
      </c>
      <c r="AB361">
        <f t="shared" si="48"/>
        <v>-115.56105715748588</v>
      </c>
      <c r="AC361" t="s">
        <v>93</v>
      </c>
      <c r="AD361">
        <v>1.7</v>
      </c>
      <c r="AE361" t="s">
        <v>95</v>
      </c>
      <c r="AF361" t="s">
        <v>93</v>
      </c>
      <c r="BB361">
        <v>0.5</v>
      </c>
      <c r="BD361">
        <v>0.5</v>
      </c>
      <c r="CR361">
        <f t="shared" si="49"/>
        <v>-206.64630498660358</v>
      </c>
      <c r="CS361">
        <f t="shared" si="50"/>
        <v>-207.70886879707521</v>
      </c>
      <c r="CT361">
        <f t="shared" si="51"/>
        <v>-115.56105715748588</v>
      </c>
      <c r="CU361" s="7">
        <f t="shared" si="52"/>
        <v>-176.63874364705487</v>
      </c>
      <c r="CV361" s="9">
        <f t="shared" si="54"/>
        <v>243.16149999999999</v>
      </c>
      <c r="CW361" t="str">
        <f t="shared" si="53"/>
        <v>VIr</v>
      </c>
    </row>
    <row r="362" spans="1:101" ht="15.75" thickBot="1" x14ac:dyDescent="0.3">
      <c r="A362" t="s">
        <v>91</v>
      </c>
      <c r="B362" t="s">
        <v>889</v>
      </c>
      <c r="C362" t="s">
        <v>3144</v>
      </c>
      <c r="E362" t="s">
        <v>3145</v>
      </c>
      <c r="F362" t="s">
        <v>93</v>
      </c>
      <c r="G362" t="s">
        <v>890</v>
      </c>
      <c r="H362">
        <v>469.6</v>
      </c>
      <c r="I362">
        <v>353</v>
      </c>
      <c r="M362">
        <f t="shared" si="46"/>
        <v>0</v>
      </c>
      <c r="O362" t="s">
        <v>93</v>
      </c>
      <c r="P362" t="s">
        <v>93</v>
      </c>
      <c r="T362">
        <f t="shared" si="47"/>
        <v>0</v>
      </c>
      <c r="V362" t="s">
        <v>93</v>
      </c>
      <c r="W362" t="s">
        <v>93</v>
      </c>
      <c r="X362">
        <v>298</v>
      </c>
      <c r="Y362" t="s">
        <v>93</v>
      </c>
      <c r="Z362">
        <v>-82.9</v>
      </c>
      <c r="AA362" t="s">
        <v>95</v>
      </c>
      <c r="AB362">
        <f t="shared" si="48"/>
        <v>-176.53321976149917</v>
      </c>
      <c r="AC362" t="s">
        <v>93</v>
      </c>
      <c r="AD362">
        <v>2.5</v>
      </c>
      <c r="AE362" t="s">
        <v>95</v>
      </c>
      <c r="AF362" t="s">
        <v>93</v>
      </c>
      <c r="AH362" t="s">
        <v>93</v>
      </c>
      <c r="AI362" t="s">
        <v>93</v>
      </c>
      <c r="AJ362" t="s">
        <v>93</v>
      </c>
      <c r="AK362" t="s">
        <v>93</v>
      </c>
      <c r="AZ362">
        <v>0.75</v>
      </c>
      <c r="BN362">
        <v>0.25</v>
      </c>
      <c r="CR362">
        <f t="shared" si="49"/>
        <v>0</v>
      </c>
      <c r="CS362">
        <f t="shared" si="50"/>
        <v>0</v>
      </c>
      <c r="CT362">
        <f t="shared" si="51"/>
        <v>-176.53321976149917</v>
      </c>
      <c r="CU362" s="7">
        <f t="shared" si="52"/>
        <v>-176.53321976149917</v>
      </c>
      <c r="CV362" s="9">
        <f t="shared" si="54"/>
        <v>469.6</v>
      </c>
      <c r="CW362" t="str">
        <f t="shared" si="53"/>
        <v>Pd3Sm</v>
      </c>
    </row>
    <row r="363" spans="1:101" ht="15.75" thickBot="1" x14ac:dyDescent="0.3">
      <c r="A363" t="s">
        <v>91</v>
      </c>
      <c r="B363" t="s">
        <v>932</v>
      </c>
      <c r="C363" t="s">
        <v>3144</v>
      </c>
      <c r="E363" t="s">
        <v>3145</v>
      </c>
      <c r="F363" t="s">
        <v>93</v>
      </c>
      <c r="G363" t="s">
        <v>933</v>
      </c>
      <c r="H363">
        <v>346.71870000000001</v>
      </c>
      <c r="I363">
        <v>372</v>
      </c>
      <c r="J363">
        <v>0</v>
      </c>
      <c r="K363" t="s">
        <v>95</v>
      </c>
      <c r="L363">
        <v>-61.943656959999998</v>
      </c>
      <c r="M363">
        <f t="shared" si="46"/>
        <v>-178.65681014609248</v>
      </c>
      <c r="N363" t="s">
        <v>95</v>
      </c>
      <c r="O363" t="s">
        <v>934</v>
      </c>
      <c r="P363" t="s">
        <v>121</v>
      </c>
      <c r="Q363">
        <v>0</v>
      </c>
      <c r="R363" t="s">
        <v>95</v>
      </c>
      <c r="S363">
        <v>-61.10344637</v>
      </c>
      <c r="T363">
        <f t="shared" si="47"/>
        <v>-176.23348948297277</v>
      </c>
      <c r="U363" t="s">
        <v>95</v>
      </c>
      <c r="V363">
        <v>18888</v>
      </c>
      <c r="W363" t="s">
        <v>159</v>
      </c>
      <c r="X363">
        <v>298</v>
      </c>
      <c r="Y363" t="s">
        <v>160</v>
      </c>
      <c r="Z363">
        <v>-60.4</v>
      </c>
      <c r="AA363" t="s">
        <v>95</v>
      </c>
      <c r="AB363">
        <f t="shared" si="48"/>
        <v>-174.20462178705674</v>
      </c>
      <c r="AC363" t="s">
        <v>93</v>
      </c>
      <c r="AD363">
        <v>1.7</v>
      </c>
      <c r="AE363" t="s">
        <v>95</v>
      </c>
      <c r="AF363" t="s">
        <v>93</v>
      </c>
      <c r="AN363">
        <v>0.33</v>
      </c>
      <c r="BF363">
        <v>0.66</v>
      </c>
      <c r="CR363">
        <f t="shared" si="49"/>
        <v>-178.65681014609248</v>
      </c>
      <c r="CS363">
        <f t="shared" si="50"/>
        <v>-176.23348948297277</v>
      </c>
      <c r="CT363">
        <f t="shared" si="51"/>
        <v>-174.20462178705674</v>
      </c>
      <c r="CU363" s="7">
        <f t="shared" si="52"/>
        <v>-176.36497380537398</v>
      </c>
      <c r="CV363" s="9">
        <f t="shared" si="54"/>
        <v>346.71870000000001</v>
      </c>
      <c r="CW363" t="str">
        <f t="shared" si="53"/>
        <v>PrRh2</v>
      </c>
    </row>
    <row r="364" spans="1:101" ht="15.75" thickBot="1" x14ac:dyDescent="0.3">
      <c r="A364" t="s">
        <v>91</v>
      </c>
      <c r="B364" t="s">
        <v>1969</v>
      </c>
      <c r="C364" t="s">
        <v>3144</v>
      </c>
      <c r="E364" t="s">
        <v>3145</v>
      </c>
      <c r="G364" t="s">
        <v>1970</v>
      </c>
      <c r="H364">
        <v>159.59399999999999</v>
      </c>
      <c r="I364">
        <v>762</v>
      </c>
      <c r="J364">
        <v>0</v>
      </c>
      <c r="K364" t="s">
        <v>95</v>
      </c>
      <c r="L364">
        <v>-27.539814809999999</v>
      </c>
      <c r="M364">
        <f t="shared" si="46"/>
        <v>-172.56171792172637</v>
      </c>
      <c r="N364" t="s">
        <v>95</v>
      </c>
      <c r="O364" t="s">
        <v>1971</v>
      </c>
      <c r="P364" t="s">
        <v>93</v>
      </c>
      <c r="Q364">
        <v>0.22053972999999999</v>
      </c>
      <c r="R364" t="s">
        <v>95</v>
      </c>
      <c r="S364">
        <v>-28.736489370000001</v>
      </c>
      <c r="T364">
        <f t="shared" si="47"/>
        <v>-180.05996071280876</v>
      </c>
      <c r="U364" t="s">
        <v>95</v>
      </c>
      <c r="V364">
        <v>18688</v>
      </c>
      <c r="W364" t="s">
        <v>225</v>
      </c>
      <c r="X364">
        <v>1514</v>
      </c>
      <c r="Y364" t="s">
        <v>179</v>
      </c>
      <c r="AB364">
        <f t="shared" si="48"/>
        <v>0</v>
      </c>
      <c r="AC364" t="s">
        <v>93</v>
      </c>
      <c r="AD364">
        <v>1</v>
      </c>
      <c r="AE364" t="s">
        <v>95</v>
      </c>
      <c r="AF364" t="s">
        <v>93</v>
      </c>
      <c r="AT364">
        <v>0.67</v>
      </c>
      <c r="BA364">
        <v>0.33</v>
      </c>
      <c r="CG364">
        <v>-27.6</v>
      </c>
      <c r="CH364" t="s">
        <v>95</v>
      </c>
      <c r="CI364" t="s">
        <v>93</v>
      </c>
      <c r="CR364">
        <f t="shared" si="49"/>
        <v>-172.56171792172637</v>
      </c>
      <c r="CS364">
        <f t="shared" si="50"/>
        <v>-180.05996071280876</v>
      </c>
      <c r="CT364">
        <f t="shared" si="51"/>
        <v>0</v>
      </c>
      <c r="CU364" s="7">
        <f t="shared" si="52"/>
        <v>-176.31083931726755</v>
      </c>
      <c r="CV364" s="9">
        <f t="shared" si="54"/>
        <v>159.59399999999999</v>
      </c>
      <c r="CW364" t="str">
        <f t="shared" si="53"/>
        <v>TiFe2</v>
      </c>
    </row>
    <row r="365" spans="1:101" ht="15.75" thickBot="1" x14ac:dyDescent="0.3">
      <c r="A365" t="s">
        <v>91</v>
      </c>
      <c r="B365" t="s">
        <v>99</v>
      </c>
      <c r="C365" t="s">
        <v>3144</v>
      </c>
      <c r="E365" t="s">
        <v>3145</v>
      </c>
      <c r="F365" t="s">
        <v>93</v>
      </c>
      <c r="G365" t="s">
        <v>100</v>
      </c>
      <c r="H365">
        <v>152.82389999999901</v>
      </c>
      <c r="I365">
        <v>2</v>
      </c>
      <c r="J365">
        <v>0</v>
      </c>
      <c r="K365" t="s">
        <v>95</v>
      </c>
      <c r="L365">
        <v>-26.895659460000001</v>
      </c>
      <c r="M365">
        <f t="shared" si="46"/>
        <v>-175.99118632622367</v>
      </c>
      <c r="N365" t="s">
        <v>95</v>
      </c>
      <c r="O365" t="s">
        <v>101</v>
      </c>
      <c r="P365" t="s">
        <v>93</v>
      </c>
      <c r="Q365">
        <v>0.13492794</v>
      </c>
      <c r="R365" t="s">
        <v>95</v>
      </c>
      <c r="S365">
        <v>-27.683259889999999</v>
      </c>
      <c r="T365">
        <f t="shared" si="47"/>
        <v>-181.14483330159862</v>
      </c>
      <c r="U365" t="s">
        <v>95</v>
      </c>
      <c r="V365">
        <v>10665</v>
      </c>
      <c r="W365" t="s">
        <v>102</v>
      </c>
      <c r="X365">
        <v>298</v>
      </c>
      <c r="Y365" t="s">
        <v>103</v>
      </c>
      <c r="Z365">
        <v>-26.2</v>
      </c>
      <c r="AA365" t="s">
        <v>95</v>
      </c>
      <c r="AB365">
        <f t="shared" si="48"/>
        <v>-171.43915316910619</v>
      </c>
      <c r="AC365" t="s">
        <v>93</v>
      </c>
      <c r="AD365">
        <v>1.6</v>
      </c>
      <c r="AE365" t="s">
        <v>95</v>
      </c>
      <c r="AF365" t="s">
        <v>93</v>
      </c>
      <c r="CR365">
        <f t="shared" si="49"/>
        <v>-175.99118632622367</v>
      </c>
      <c r="CS365">
        <f t="shared" si="50"/>
        <v>-181.14483330159862</v>
      </c>
      <c r="CT365">
        <f t="shared" si="51"/>
        <v>-171.43915316910619</v>
      </c>
      <c r="CU365" s="7">
        <f t="shared" si="52"/>
        <v>-176.19172426564282</v>
      </c>
      <c r="CV365" s="9">
        <f t="shared" si="54"/>
        <v>152.82389999999901</v>
      </c>
      <c r="CW365" t="str">
        <f t="shared" si="53"/>
        <v>ScAg</v>
      </c>
    </row>
    <row r="366" spans="1:101" ht="15.75" thickBot="1" x14ac:dyDescent="0.3">
      <c r="A366" t="s">
        <v>91</v>
      </c>
      <c r="B366" t="s">
        <v>947</v>
      </c>
      <c r="C366" t="s">
        <v>3144</v>
      </c>
      <c r="E366" t="s">
        <v>3145</v>
      </c>
      <c r="F366" t="s">
        <v>93</v>
      </c>
      <c r="G366" t="s">
        <v>948</v>
      </c>
      <c r="H366">
        <v>549.10540000000003</v>
      </c>
      <c r="I366">
        <v>378</v>
      </c>
      <c r="J366">
        <v>0</v>
      </c>
      <c r="K366" t="s">
        <v>95</v>
      </c>
      <c r="L366">
        <v>-106.98012780000001</v>
      </c>
      <c r="M366">
        <f t="shared" si="46"/>
        <v>-194.82621697036672</v>
      </c>
      <c r="N366" t="s">
        <v>95</v>
      </c>
      <c r="O366" t="s">
        <v>949</v>
      </c>
      <c r="P366" t="s">
        <v>93</v>
      </c>
      <c r="Q366">
        <v>0</v>
      </c>
      <c r="R366" t="s">
        <v>95</v>
      </c>
      <c r="S366">
        <v>-85.345941670000002</v>
      </c>
      <c r="T366">
        <f t="shared" si="47"/>
        <v>-155.42724888518671</v>
      </c>
      <c r="U366" t="s">
        <v>95</v>
      </c>
      <c r="V366">
        <v>18011</v>
      </c>
      <c r="W366" t="s">
        <v>159</v>
      </c>
      <c r="X366">
        <v>298</v>
      </c>
      <c r="Y366" t="s">
        <v>160</v>
      </c>
      <c r="Z366">
        <v>-96.7</v>
      </c>
      <c r="AA366" t="s">
        <v>95</v>
      </c>
      <c r="AB366">
        <f t="shared" si="48"/>
        <v>-176.10462399386347</v>
      </c>
      <c r="AC366" t="s">
        <v>93</v>
      </c>
      <c r="AD366">
        <v>3.1</v>
      </c>
      <c r="AE366" t="s">
        <v>95</v>
      </c>
      <c r="AF366" t="s">
        <v>93</v>
      </c>
      <c r="AY366">
        <v>0.66</v>
      </c>
      <c r="BK366">
        <v>0.33</v>
      </c>
      <c r="CR366">
        <f t="shared" si="49"/>
        <v>-194.82621697036672</v>
      </c>
      <c r="CS366">
        <f t="shared" si="50"/>
        <v>-155.42724888518671</v>
      </c>
      <c r="CT366">
        <f t="shared" si="51"/>
        <v>-176.10462399386347</v>
      </c>
      <c r="CU366" s="7">
        <f t="shared" si="52"/>
        <v>-175.45269661647231</v>
      </c>
      <c r="CV366" s="9">
        <f t="shared" si="54"/>
        <v>549.10540000000003</v>
      </c>
      <c r="CW366" t="str">
        <f t="shared" si="53"/>
        <v>TbPt2</v>
      </c>
    </row>
    <row r="367" spans="1:101" ht="15.75" thickBot="1" x14ac:dyDescent="0.3">
      <c r="A367" t="s">
        <v>91</v>
      </c>
      <c r="B367" t="s">
        <v>2710</v>
      </c>
      <c r="C367" t="s">
        <v>3144</v>
      </c>
      <c r="E367" t="s">
        <v>3145</v>
      </c>
      <c r="F367" t="s">
        <v>93</v>
      </c>
      <c r="G367" t="s">
        <v>2711</v>
      </c>
      <c r="H367">
        <v>418.84</v>
      </c>
      <c r="I367">
        <v>1107</v>
      </c>
      <c r="J367">
        <v>0</v>
      </c>
      <c r="K367" t="s">
        <v>95</v>
      </c>
      <c r="L367">
        <v>-67.963880410000002</v>
      </c>
      <c r="M367">
        <f t="shared" si="46"/>
        <v>-162.26692868398436</v>
      </c>
      <c r="N367" t="s">
        <v>95</v>
      </c>
      <c r="O367" t="s">
        <v>2712</v>
      </c>
      <c r="P367" t="s">
        <v>93</v>
      </c>
      <c r="Q367">
        <v>0.17826151000000001</v>
      </c>
      <c r="R367" t="s">
        <v>95</v>
      </c>
      <c r="S367">
        <v>-67.132953540000003</v>
      </c>
      <c r="T367">
        <f t="shared" si="47"/>
        <v>-160.28305209626589</v>
      </c>
      <c r="U367" t="s">
        <v>95</v>
      </c>
      <c r="V367">
        <v>463998</v>
      </c>
      <c r="W367" t="s">
        <v>184</v>
      </c>
      <c r="X367">
        <v>298</v>
      </c>
      <c r="Y367" t="s">
        <v>185</v>
      </c>
      <c r="Z367">
        <v>-85.1</v>
      </c>
      <c r="AA367" t="s">
        <v>95</v>
      </c>
      <c r="AB367">
        <f t="shared" si="48"/>
        <v>-203.18021201413427</v>
      </c>
      <c r="AC367" t="s">
        <v>93</v>
      </c>
      <c r="AD367">
        <v>3.9</v>
      </c>
      <c r="AE367" t="s">
        <v>95</v>
      </c>
      <c r="AF367" t="s">
        <v>93</v>
      </c>
      <c r="AP367">
        <v>0.25</v>
      </c>
      <c r="AZ367">
        <v>0.5</v>
      </c>
      <c r="BZ367">
        <v>0.25</v>
      </c>
      <c r="CR367">
        <f t="shared" si="49"/>
        <v>-162.26692868398436</v>
      </c>
      <c r="CS367">
        <f t="shared" si="50"/>
        <v>-160.28305209626589</v>
      </c>
      <c r="CT367">
        <f t="shared" si="51"/>
        <v>-203.18021201413427</v>
      </c>
      <c r="CU367" s="7">
        <f t="shared" si="52"/>
        <v>-175.24339759812815</v>
      </c>
      <c r="CV367" s="9">
        <f t="shared" si="54"/>
        <v>418.84</v>
      </c>
      <c r="CW367" t="str">
        <f t="shared" si="53"/>
        <v>ZrInPd2</v>
      </c>
    </row>
    <row r="368" spans="1:101" ht="15.75" thickBot="1" x14ac:dyDescent="0.3">
      <c r="A368" t="s">
        <v>91</v>
      </c>
      <c r="B368" t="s">
        <v>385</v>
      </c>
      <c r="C368" t="s">
        <v>3144</v>
      </c>
      <c r="E368" t="s">
        <v>3145</v>
      </c>
      <c r="F368" t="s">
        <v>93</v>
      </c>
      <c r="G368" t="s">
        <v>386</v>
      </c>
      <c r="H368">
        <v>244.8665</v>
      </c>
      <c r="I368">
        <v>161</v>
      </c>
      <c r="J368">
        <v>0</v>
      </c>
      <c r="K368" t="s">
        <v>95</v>
      </c>
      <c r="L368">
        <v>-41.132412629999997</v>
      </c>
      <c r="M368">
        <f t="shared" si="46"/>
        <v>-167.97892986586567</v>
      </c>
      <c r="N368" t="s">
        <v>95</v>
      </c>
      <c r="O368" t="s">
        <v>387</v>
      </c>
      <c r="P368" t="s">
        <v>93</v>
      </c>
      <c r="Q368">
        <v>0</v>
      </c>
      <c r="R368" t="s">
        <v>95</v>
      </c>
      <c r="S368">
        <v>-43.193464640000002</v>
      </c>
      <c r="T368">
        <f t="shared" si="47"/>
        <v>-176.39597347942654</v>
      </c>
      <c r="U368" t="s">
        <v>95</v>
      </c>
      <c r="V368">
        <v>28225</v>
      </c>
      <c r="W368" t="s">
        <v>135</v>
      </c>
      <c r="X368">
        <v>298</v>
      </c>
      <c r="Y368" t="s">
        <v>136</v>
      </c>
      <c r="Z368">
        <v>-44.2</v>
      </c>
      <c r="AA368" t="s">
        <v>95</v>
      </c>
      <c r="AB368">
        <f t="shared" si="48"/>
        <v>-180.50652090016396</v>
      </c>
      <c r="AC368" t="s">
        <v>93</v>
      </c>
      <c r="AD368">
        <v>1.49</v>
      </c>
      <c r="AE368" t="s">
        <v>95</v>
      </c>
      <c r="AF368" t="s">
        <v>93</v>
      </c>
      <c r="BA368">
        <v>0.5</v>
      </c>
      <c r="BC368">
        <v>0.5</v>
      </c>
      <c r="CR368">
        <f t="shared" si="49"/>
        <v>-167.97892986586567</v>
      </c>
      <c r="CS368">
        <f t="shared" si="50"/>
        <v>-176.39597347942654</v>
      </c>
      <c r="CT368">
        <f t="shared" si="51"/>
        <v>-180.50652090016396</v>
      </c>
      <c r="CU368" s="7">
        <f t="shared" si="52"/>
        <v>-174.96047474848538</v>
      </c>
      <c r="CV368" s="9">
        <f t="shared" si="54"/>
        <v>244.8665</v>
      </c>
      <c r="CW368" t="str">
        <f t="shared" si="53"/>
        <v>TiAu</v>
      </c>
    </row>
    <row r="369" spans="1:101" ht="15.75" thickBot="1" x14ac:dyDescent="0.3">
      <c r="A369" t="s">
        <v>91</v>
      </c>
      <c r="B369" t="s">
        <v>2881</v>
      </c>
      <c r="C369" t="s">
        <v>3144</v>
      </c>
      <c r="E369" t="s">
        <v>3145</v>
      </c>
      <c r="F369" t="s">
        <v>93</v>
      </c>
      <c r="G369" t="s">
        <v>2882</v>
      </c>
      <c r="H369">
        <v>403.58</v>
      </c>
      <c r="I369">
        <v>1179</v>
      </c>
      <c r="J369">
        <v>0</v>
      </c>
      <c r="K369" t="s">
        <v>95</v>
      </c>
      <c r="L369">
        <v>-69.817338609999993</v>
      </c>
      <c r="M369">
        <f t="shared" si="46"/>
        <v>-172.99504090886566</v>
      </c>
      <c r="N369" t="s">
        <v>95</v>
      </c>
      <c r="O369" t="s">
        <v>2883</v>
      </c>
      <c r="P369" t="s">
        <v>93</v>
      </c>
      <c r="Q369">
        <v>0</v>
      </c>
      <c r="R369" t="s">
        <v>95</v>
      </c>
      <c r="S369">
        <v>-72.531058299999998</v>
      </c>
      <c r="T369">
        <f t="shared" si="47"/>
        <v>-179.71915927449331</v>
      </c>
      <c r="U369" t="s">
        <v>95</v>
      </c>
      <c r="V369">
        <v>18376</v>
      </c>
      <c r="W369" t="s">
        <v>1370</v>
      </c>
      <c r="X369">
        <v>298</v>
      </c>
      <c r="Y369" t="s">
        <v>1983</v>
      </c>
      <c r="Z369">
        <v>-68.400000000000006</v>
      </c>
      <c r="AA369" t="s">
        <v>95</v>
      </c>
      <c r="AB369">
        <f t="shared" si="48"/>
        <v>-169.48312602210223</v>
      </c>
      <c r="AC369" t="s">
        <v>93</v>
      </c>
      <c r="AD369">
        <v>3.1</v>
      </c>
      <c r="AE369" t="s">
        <v>95</v>
      </c>
      <c r="AF369" t="s">
        <v>93</v>
      </c>
      <c r="AQ369">
        <v>0.33300000000000002</v>
      </c>
      <c r="AZ369">
        <v>0.33300000000000002</v>
      </c>
      <c r="CF369">
        <v>0.33300000000000002</v>
      </c>
      <c r="CR369">
        <f t="shared" si="49"/>
        <v>-172.99504090886566</v>
      </c>
      <c r="CS369">
        <f t="shared" si="50"/>
        <v>-179.71915927449331</v>
      </c>
      <c r="CT369">
        <f t="shared" si="51"/>
        <v>-169.48312602210223</v>
      </c>
      <c r="CU369" s="7">
        <f t="shared" si="52"/>
        <v>-174.06577540182039</v>
      </c>
      <c r="CV369" s="9">
        <f t="shared" si="54"/>
        <v>403.58</v>
      </c>
      <c r="CW369" t="str">
        <f t="shared" si="53"/>
        <v>HfSnPd</v>
      </c>
    </row>
    <row r="370" spans="1:101" ht="15.75" thickBot="1" x14ac:dyDescent="0.3">
      <c r="A370" t="s">
        <v>91</v>
      </c>
      <c r="B370" t="s">
        <v>2701</v>
      </c>
      <c r="C370" t="s">
        <v>3144</v>
      </c>
      <c r="E370" t="s">
        <v>3145</v>
      </c>
      <c r="F370" t="s">
        <v>93</v>
      </c>
      <c r="G370" t="s">
        <v>2702</v>
      </c>
      <c r="H370">
        <v>379.39</v>
      </c>
      <c r="I370">
        <v>1104</v>
      </c>
      <c r="J370">
        <v>0</v>
      </c>
      <c r="K370" t="s">
        <v>95</v>
      </c>
      <c r="L370">
        <v>-58.57652444</v>
      </c>
      <c r="M370">
        <f t="shared" si="46"/>
        <v>-154.39659569308625</v>
      </c>
      <c r="N370" t="s">
        <v>95</v>
      </c>
      <c r="O370" t="s">
        <v>2703</v>
      </c>
      <c r="P370" t="s">
        <v>93</v>
      </c>
      <c r="Q370">
        <v>1.05854187</v>
      </c>
      <c r="R370" t="s">
        <v>95</v>
      </c>
      <c r="S370">
        <v>-60.830699989999999</v>
      </c>
      <c r="T370">
        <f t="shared" si="47"/>
        <v>-160.33817441155537</v>
      </c>
      <c r="U370" t="s">
        <v>95</v>
      </c>
      <c r="V370">
        <v>464113</v>
      </c>
      <c r="W370" t="s">
        <v>184</v>
      </c>
      <c r="X370">
        <v>298</v>
      </c>
      <c r="Y370" t="s">
        <v>185</v>
      </c>
      <c r="Z370">
        <v>-78.599999999999994</v>
      </c>
      <c r="AA370" t="s">
        <v>95</v>
      </c>
      <c r="AB370">
        <f t="shared" si="48"/>
        <v>-207.17467513640315</v>
      </c>
      <c r="AC370" t="s">
        <v>93</v>
      </c>
      <c r="AD370">
        <v>2.4</v>
      </c>
      <c r="AE370" t="s">
        <v>95</v>
      </c>
      <c r="AF370" t="s">
        <v>93</v>
      </c>
      <c r="AZ370">
        <v>0.5</v>
      </c>
      <c r="BA370">
        <v>0.25</v>
      </c>
      <c r="CF370">
        <v>0.25</v>
      </c>
      <c r="CR370">
        <f t="shared" si="49"/>
        <v>-154.39659569308625</v>
      </c>
      <c r="CS370">
        <f t="shared" si="50"/>
        <v>-160.33817441155537</v>
      </c>
      <c r="CT370">
        <f t="shared" si="51"/>
        <v>-207.17467513640315</v>
      </c>
      <c r="CU370" s="7">
        <f t="shared" si="52"/>
        <v>-173.96981508034824</v>
      </c>
      <c r="CV370" s="9">
        <f t="shared" si="54"/>
        <v>379.39</v>
      </c>
      <c r="CW370" t="str">
        <f t="shared" si="53"/>
        <v>TiSnPd2</v>
      </c>
    </row>
    <row r="371" spans="1:101" ht="15.75" thickBot="1" x14ac:dyDescent="0.3">
      <c r="A371" t="s">
        <v>91</v>
      </c>
      <c r="B371" t="s">
        <v>909</v>
      </c>
      <c r="C371" t="s">
        <v>3144</v>
      </c>
      <c r="E371" t="s">
        <v>3145</v>
      </c>
      <c r="F371" t="s">
        <v>93</v>
      </c>
      <c r="G371" t="s">
        <v>910</v>
      </c>
      <c r="H371">
        <v>367.1</v>
      </c>
      <c r="I371">
        <v>362</v>
      </c>
      <c r="M371">
        <f t="shared" si="46"/>
        <v>0</v>
      </c>
      <c r="O371" t="s">
        <v>93</v>
      </c>
      <c r="P371" t="s">
        <v>93</v>
      </c>
      <c r="Q371">
        <v>0</v>
      </c>
      <c r="R371" t="s">
        <v>95</v>
      </c>
      <c r="S371">
        <v>-62.672892089999998</v>
      </c>
      <c r="T371">
        <f t="shared" si="47"/>
        <v>-170.72430424952327</v>
      </c>
      <c r="U371" t="s">
        <v>95</v>
      </c>
      <c r="V371">
        <v>21293</v>
      </c>
      <c r="W371" t="s">
        <v>339</v>
      </c>
      <c r="X371">
        <v>298</v>
      </c>
      <c r="Y371" t="s">
        <v>179</v>
      </c>
      <c r="Z371">
        <v>-65</v>
      </c>
      <c r="AA371" t="s">
        <v>95</v>
      </c>
      <c r="AB371">
        <f t="shared" si="48"/>
        <v>-177.06347044402068</v>
      </c>
      <c r="AC371" t="s">
        <v>93</v>
      </c>
      <c r="AD371">
        <v>0.9</v>
      </c>
      <c r="AE371" t="s">
        <v>95</v>
      </c>
      <c r="AF371" t="s">
        <v>93</v>
      </c>
      <c r="AH371" t="s">
        <v>93</v>
      </c>
      <c r="AI371" t="s">
        <v>93</v>
      </c>
      <c r="AZ371">
        <v>0.75</v>
      </c>
      <c r="BA371">
        <v>0.25</v>
      </c>
      <c r="CR371">
        <f t="shared" si="49"/>
        <v>0</v>
      </c>
      <c r="CS371">
        <f t="shared" si="50"/>
        <v>-170.72430424952327</v>
      </c>
      <c r="CT371">
        <f t="shared" si="51"/>
        <v>-177.06347044402068</v>
      </c>
      <c r="CU371" s="7">
        <f t="shared" si="52"/>
        <v>-173.89388734677198</v>
      </c>
      <c r="CV371" s="9">
        <f t="shared" si="54"/>
        <v>367.1</v>
      </c>
      <c r="CW371" t="str">
        <f t="shared" si="53"/>
        <v>TiPd3</v>
      </c>
    </row>
    <row r="372" spans="1:101" ht="15.75" thickBot="1" x14ac:dyDescent="0.3">
      <c r="A372" t="s">
        <v>484</v>
      </c>
      <c r="B372" t="s">
        <v>485</v>
      </c>
      <c r="C372" t="s">
        <v>3138</v>
      </c>
      <c r="D372" t="s">
        <v>3139</v>
      </c>
      <c r="F372" t="s">
        <v>3140</v>
      </c>
      <c r="G372" t="s">
        <v>486</v>
      </c>
      <c r="H372">
        <v>237.42320000000001</v>
      </c>
      <c r="I372">
        <v>196</v>
      </c>
      <c r="J372">
        <v>0</v>
      </c>
      <c r="K372" t="s">
        <v>95</v>
      </c>
      <c r="L372">
        <v>-38.164369649999998</v>
      </c>
      <c r="M372">
        <f t="shared" si="46"/>
        <v>-160.74406229045854</v>
      </c>
      <c r="N372" t="s">
        <v>95</v>
      </c>
      <c r="O372" t="s">
        <v>487</v>
      </c>
      <c r="P372" t="s">
        <v>93</v>
      </c>
      <c r="Q372">
        <v>7.4188989999999996E-2</v>
      </c>
      <c r="R372" t="s">
        <v>95</v>
      </c>
      <c r="S372">
        <v>-38.142995069999998</v>
      </c>
      <c r="T372">
        <f t="shared" si="47"/>
        <v>-160.65403494687965</v>
      </c>
      <c r="U372" t="s">
        <v>95</v>
      </c>
      <c r="V372">
        <v>88389</v>
      </c>
      <c r="W372" t="s">
        <v>102</v>
      </c>
      <c r="X372">
        <v>298</v>
      </c>
      <c r="Y372" t="s">
        <v>103</v>
      </c>
      <c r="Z372">
        <v>-47.5</v>
      </c>
      <c r="AA372" t="s">
        <v>95</v>
      </c>
      <c r="AB372">
        <f t="shared" si="48"/>
        <v>-200.0646946044026</v>
      </c>
      <c r="AC372" t="s">
        <v>93</v>
      </c>
      <c r="AD372">
        <v>3.1</v>
      </c>
      <c r="AE372" t="s">
        <v>95</v>
      </c>
      <c r="AF372" t="s">
        <v>93</v>
      </c>
      <c r="AQ372">
        <v>0.5</v>
      </c>
      <c r="AW372">
        <v>0.5</v>
      </c>
      <c r="CR372">
        <f t="shared" si="49"/>
        <v>-160.74406229045854</v>
      </c>
      <c r="CS372">
        <f t="shared" si="50"/>
        <v>-160.65403494687965</v>
      </c>
      <c r="CT372">
        <f t="shared" si="51"/>
        <v>-200.0646946044026</v>
      </c>
      <c r="CU372" s="7">
        <f t="shared" si="52"/>
        <v>-173.82093061391359</v>
      </c>
      <c r="CV372" s="9">
        <f t="shared" si="54"/>
        <v>237.42320000000001</v>
      </c>
      <c r="CW372" t="str">
        <f t="shared" si="53"/>
        <v>HfCo</v>
      </c>
    </row>
    <row r="373" spans="1:101" ht="15.75" thickBot="1" x14ac:dyDescent="0.3">
      <c r="A373" t="s">
        <v>91</v>
      </c>
      <c r="B373" t="s">
        <v>644</v>
      </c>
      <c r="C373" t="s">
        <v>3144</v>
      </c>
      <c r="E373" t="s">
        <v>3145</v>
      </c>
      <c r="F373" t="s">
        <v>93</v>
      </c>
      <c r="G373" t="s">
        <v>645</v>
      </c>
      <c r="H373">
        <v>497.69</v>
      </c>
      <c r="I373">
        <v>260</v>
      </c>
      <c r="J373">
        <v>0</v>
      </c>
      <c r="K373" t="s">
        <v>95</v>
      </c>
      <c r="L373">
        <v>-85.709674070000005</v>
      </c>
      <c r="M373">
        <f t="shared" si="46"/>
        <v>-172.21498135385482</v>
      </c>
      <c r="N373" t="s">
        <v>95</v>
      </c>
      <c r="O373" t="s">
        <v>646</v>
      </c>
      <c r="P373" t="s">
        <v>93</v>
      </c>
      <c r="Q373">
        <v>0</v>
      </c>
      <c r="R373" t="s">
        <v>95</v>
      </c>
      <c r="S373">
        <v>-85.127833170000002</v>
      </c>
      <c r="T373">
        <f t="shared" si="47"/>
        <v>-171.04589839056442</v>
      </c>
      <c r="U373" t="s">
        <v>95</v>
      </c>
      <c r="V373">
        <v>17381</v>
      </c>
      <c r="W373" t="s">
        <v>339</v>
      </c>
      <c r="X373">
        <v>298</v>
      </c>
      <c r="Y373" t="s">
        <v>179</v>
      </c>
      <c r="Z373">
        <v>-88.6</v>
      </c>
      <c r="AA373" t="s">
        <v>95</v>
      </c>
      <c r="AB373">
        <f t="shared" si="48"/>
        <v>-178.02246378267594</v>
      </c>
      <c r="AC373" t="s">
        <v>93</v>
      </c>
      <c r="AD373">
        <v>1.8</v>
      </c>
      <c r="AE373" t="s">
        <v>95</v>
      </c>
      <c r="AF373" t="s">
        <v>93</v>
      </c>
      <c r="AQ373">
        <v>0.25</v>
      </c>
      <c r="AZ373">
        <v>0.75</v>
      </c>
      <c r="CR373">
        <f t="shared" si="49"/>
        <v>-172.21498135385482</v>
      </c>
      <c r="CS373">
        <f t="shared" si="50"/>
        <v>-171.04589839056442</v>
      </c>
      <c r="CT373">
        <f t="shared" si="51"/>
        <v>-178.02246378267594</v>
      </c>
      <c r="CU373" s="7">
        <f t="shared" si="52"/>
        <v>-173.76111450903173</v>
      </c>
      <c r="CV373" s="9">
        <f t="shared" si="54"/>
        <v>497.69</v>
      </c>
      <c r="CW373" t="str">
        <f t="shared" si="53"/>
        <v>HfPd3</v>
      </c>
    </row>
    <row r="374" spans="1:101" ht="15.75" thickBot="1" x14ac:dyDescent="0.3">
      <c r="A374" t="s">
        <v>91</v>
      </c>
      <c r="B374" t="s">
        <v>93</v>
      </c>
      <c r="C374" t="s">
        <v>3144</v>
      </c>
      <c r="E374" t="s">
        <v>3145</v>
      </c>
      <c r="F374" t="s">
        <v>93</v>
      </c>
      <c r="G374" t="s">
        <v>2724</v>
      </c>
      <c r="H374">
        <v>407.61153999999999</v>
      </c>
      <c r="I374">
        <v>1113</v>
      </c>
      <c r="M374">
        <f t="shared" si="46"/>
        <v>0</v>
      </c>
      <c r="O374" t="s">
        <v>93</v>
      </c>
      <c r="P374" t="s">
        <v>93</v>
      </c>
      <c r="T374">
        <f t="shared" si="47"/>
        <v>0</v>
      </c>
      <c r="V374" t="s">
        <v>93</v>
      </c>
      <c r="W374" t="s">
        <v>102</v>
      </c>
      <c r="X374">
        <v>298</v>
      </c>
      <c r="Y374" t="s">
        <v>103</v>
      </c>
      <c r="Z374">
        <v>-70.8</v>
      </c>
      <c r="AA374" t="s">
        <v>95</v>
      </c>
      <c r="AB374">
        <f t="shared" si="48"/>
        <v>-173.69478793461047</v>
      </c>
      <c r="AC374" t="s">
        <v>93</v>
      </c>
      <c r="AD374">
        <v>1.9</v>
      </c>
      <c r="AE374" t="s">
        <v>95</v>
      </c>
      <c r="AF374" t="s">
        <v>93</v>
      </c>
      <c r="AH374" t="s">
        <v>93</v>
      </c>
      <c r="AI374" t="s">
        <v>93</v>
      </c>
      <c r="AJ374" t="s">
        <v>93</v>
      </c>
      <c r="AK374" t="s">
        <v>93</v>
      </c>
      <c r="AQ374">
        <v>0.25</v>
      </c>
      <c r="AR374">
        <v>0.25</v>
      </c>
      <c r="AV374">
        <v>0.5</v>
      </c>
      <c r="CR374">
        <f t="shared" si="49"/>
        <v>0</v>
      </c>
      <c r="CS374">
        <f t="shared" si="50"/>
        <v>0</v>
      </c>
      <c r="CT374">
        <f t="shared" si="51"/>
        <v>-173.69478793461047</v>
      </c>
      <c r="CU374" s="7">
        <f t="shared" si="52"/>
        <v>-173.69478793461047</v>
      </c>
      <c r="CV374" s="9">
        <f t="shared" si="54"/>
        <v>407.61153999999999</v>
      </c>
      <c r="CW374" t="str">
        <f t="shared" si="53"/>
        <v>Ru2HfAl</v>
      </c>
    </row>
    <row r="375" spans="1:101" ht="15.75" thickBot="1" x14ac:dyDescent="0.3">
      <c r="A375" t="s">
        <v>91</v>
      </c>
      <c r="B375" t="s">
        <v>1390</v>
      </c>
      <c r="C375" t="s">
        <v>3144</v>
      </c>
      <c r="E375" t="s">
        <v>3145</v>
      </c>
      <c r="F375" t="s">
        <v>93</v>
      </c>
      <c r="G375" t="s">
        <v>1391</v>
      </c>
      <c r="H375">
        <v>184.0735</v>
      </c>
      <c r="I375">
        <v>537</v>
      </c>
      <c r="J375">
        <v>0</v>
      </c>
      <c r="K375" t="s">
        <v>95</v>
      </c>
      <c r="L375">
        <v>-33.626070769999998</v>
      </c>
      <c r="M375">
        <f t="shared" si="46"/>
        <v>-182.67741293559365</v>
      </c>
      <c r="N375" t="s">
        <v>95</v>
      </c>
      <c r="O375" t="s">
        <v>1392</v>
      </c>
      <c r="P375" t="s">
        <v>93</v>
      </c>
      <c r="Q375">
        <v>0</v>
      </c>
      <c r="R375" t="s">
        <v>95</v>
      </c>
      <c r="S375">
        <v>-34.888241290000003</v>
      </c>
      <c r="T375">
        <f t="shared" si="47"/>
        <v>-189.53429630011928</v>
      </c>
      <c r="U375" t="s">
        <v>95</v>
      </c>
      <c r="V375">
        <v>3600</v>
      </c>
      <c r="W375" t="s">
        <v>391</v>
      </c>
      <c r="X375">
        <v>298</v>
      </c>
      <c r="Y375" t="s">
        <v>392</v>
      </c>
      <c r="Z375">
        <v>-27.2</v>
      </c>
      <c r="AA375" t="s">
        <v>95</v>
      </c>
      <c r="AB375">
        <f t="shared" si="48"/>
        <v>-147.76706044053054</v>
      </c>
      <c r="AC375" t="s">
        <v>93</v>
      </c>
      <c r="AD375">
        <v>1.1000000000000001</v>
      </c>
      <c r="AE375" t="s">
        <v>95</v>
      </c>
      <c r="AF375" t="s">
        <v>93</v>
      </c>
      <c r="BV375">
        <v>0.75</v>
      </c>
      <c r="BX375">
        <v>0.25</v>
      </c>
      <c r="CR375">
        <f t="shared" si="49"/>
        <v>-182.67741293559365</v>
      </c>
      <c r="CS375">
        <f t="shared" si="50"/>
        <v>-189.53429630011928</v>
      </c>
      <c r="CT375">
        <f t="shared" si="51"/>
        <v>-147.76706044053054</v>
      </c>
      <c r="CU375" s="7">
        <f t="shared" si="52"/>
        <v>-173.32625655874782</v>
      </c>
      <c r="CV375" s="9">
        <f t="shared" si="54"/>
        <v>184.0735</v>
      </c>
      <c r="CW375" t="str">
        <f t="shared" si="53"/>
        <v>Cr3Si</v>
      </c>
    </row>
    <row r="376" spans="1:101" ht="15.75" thickBot="1" x14ac:dyDescent="0.3">
      <c r="A376" t="s">
        <v>91</v>
      </c>
      <c r="B376" t="s">
        <v>1032</v>
      </c>
      <c r="C376" t="s">
        <v>3144</v>
      </c>
      <c r="E376" t="s">
        <v>3145</v>
      </c>
      <c r="F376" t="s">
        <v>93</v>
      </c>
      <c r="G376" t="s">
        <v>1033</v>
      </c>
      <c r="H376">
        <v>148.845</v>
      </c>
      <c r="I376">
        <v>413</v>
      </c>
      <c r="J376">
        <v>0.91041762999999998</v>
      </c>
      <c r="K376" t="s">
        <v>95</v>
      </c>
      <c r="L376">
        <v>-25.090249</v>
      </c>
      <c r="M376">
        <f t="shared" si="46"/>
        <v>-168.56628707716081</v>
      </c>
      <c r="N376" t="s">
        <v>95</v>
      </c>
      <c r="O376" t="s">
        <v>1034</v>
      </c>
      <c r="P376" t="s">
        <v>93</v>
      </c>
      <c r="Q376">
        <v>0.81747594999999995</v>
      </c>
      <c r="R376" t="s">
        <v>95</v>
      </c>
      <c r="S376">
        <v>-25.571467510000002</v>
      </c>
      <c r="T376">
        <f t="shared" si="47"/>
        <v>-171.79930471295646</v>
      </c>
      <c r="U376" t="s">
        <v>95</v>
      </c>
      <c r="V376">
        <v>17119</v>
      </c>
      <c r="W376" t="s">
        <v>479</v>
      </c>
      <c r="X376">
        <v>298</v>
      </c>
      <c r="Y376" t="s">
        <v>480</v>
      </c>
      <c r="Z376">
        <v>-26.7</v>
      </c>
      <c r="AA376" t="s">
        <v>95</v>
      </c>
      <c r="AB376">
        <f t="shared" si="48"/>
        <v>-179.38123551345359</v>
      </c>
      <c r="AC376" t="s">
        <v>93</v>
      </c>
      <c r="AD376">
        <v>1.9</v>
      </c>
      <c r="AE376" t="s">
        <v>95</v>
      </c>
      <c r="AF376" t="s">
        <v>93</v>
      </c>
      <c r="AW376">
        <v>0.33</v>
      </c>
      <c r="CR376">
        <f t="shared" si="49"/>
        <v>-168.56628707716081</v>
      </c>
      <c r="CS376">
        <f t="shared" si="50"/>
        <v>-171.79930471295646</v>
      </c>
      <c r="CT376">
        <f t="shared" si="51"/>
        <v>-179.38123551345359</v>
      </c>
      <c r="CU376" s="7">
        <f t="shared" si="52"/>
        <v>-173.24894243452363</v>
      </c>
      <c r="CV376" s="9">
        <f t="shared" si="54"/>
        <v>148.845</v>
      </c>
      <c r="CW376" t="str">
        <f t="shared" si="53"/>
        <v>Sc2Co</v>
      </c>
    </row>
    <row r="377" spans="1:101" ht="15.75" thickBot="1" x14ac:dyDescent="0.3">
      <c r="A377" t="s">
        <v>91</v>
      </c>
      <c r="B377" t="s">
        <v>1725</v>
      </c>
      <c r="C377" t="s">
        <v>3144</v>
      </c>
      <c r="E377" t="s">
        <v>3145</v>
      </c>
      <c r="F377" t="s">
        <v>93</v>
      </c>
      <c r="G377" t="s">
        <v>1726</v>
      </c>
      <c r="H377">
        <v>482.838899999999</v>
      </c>
      <c r="I377">
        <v>660</v>
      </c>
      <c r="J377">
        <v>0</v>
      </c>
      <c r="K377" t="s">
        <v>95</v>
      </c>
      <c r="L377">
        <v>-82.945395989999994</v>
      </c>
      <c r="M377">
        <f t="shared" si="46"/>
        <v>-171.78689618835634</v>
      </c>
      <c r="N377" t="s">
        <v>95</v>
      </c>
      <c r="O377" t="s">
        <v>1727</v>
      </c>
      <c r="P377" t="s">
        <v>93</v>
      </c>
      <c r="Q377">
        <v>0</v>
      </c>
      <c r="R377" t="s">
        <v>95</v>
      </c>
      <c r="S377">
        <v>-82.932573189999999</v>
      </c>
      <c r="T377">
        <f t="shared" si="47"/>
        <v>-171.76033909032634</v>
      </c>
      <c r="U377" t="s">
        <v>95</v>
      </c>
      <c r="V377">
        <v>28232</v>
      </c>
      <c r="W377" t="s">
        <v>97</v>
      </c>
      <c r="X377">
        <v>298</v>
      </c>
      <c r="Y377" t="s">
        <v>98</v>
      </c>
      <c r="Z377">
        <v>-84.6</v>
      </c>
      <c r="AA377" t="s">
        <v>95</v>
      </c>
      <c r="AB377">
        <f t="shared" si="48"/>
        <v>-175.21372035268942</v>
      </c>
      <c r="AC377" t="s">
        <v>93</v>
      </c>
      <c r="AD377">
        <v>1.8</v>
      </c>
      <c r="AE377" t="s">
        <v>95</v>
      </c>
      <c r="AF377" t="s">
        <v>93</v>
      </c>
      <c r="AG377">
        <v>0.33</v>
      </c>
      <c r="BC377">
        <v>0.66</v>
      </c>
      <c r="CR377">
        <f t="shared" si="49"/>
        <v>-171.78689618835634</v>
      </c>
      <c r="CS377">
        <f t="shared" si="50"/>
        <v>-171.76033909032634</v>
      </c>
      <c r="CT377">
        <f t="shared" si="51"/>
        <v>-175.21372035268942</v>
      </c>
      <c r="CU377" s="7">
        <f t="shared" si="52"/>
        <v>-172.9203185437907</v>
      </c>
      <c r="CV377" s="9">
        <f t="shared" si="54"/>
        <v>482.838899999999</v>
      </c>
      <c r="CW377" t="str">
        <f t="shared" si="53"/>
        <v>YAu2</v>
      </c>
    </row>
    <row r="378" spans="1:101" ht="15.75" thickBot="1" x14ac:dyDescent="0.3">
      <c r="A378" t="s">
        <v>91</v>
      </c>
      <c r="B378" t="s">
        <v>837</v>
      </c>
      <c r="C378" t="s">
        <v>3144</v>
      </c>
      <c r="E378" t="s">
        <v>3145</v>
      </c>
      <c r="F378" t="s">
        <v>93</v>
      </c>
      <c r="G378" t="s">
        <v>838</v>
      </c>
      <c r="H378">
        <v>209.1</v>
      </c>
      <c r="I378">
        <v>334</v>
      </c>
      <c r="J378">
        <v>0</v>
      </c>
      <c r="K378" t="s">
        <v>95</v>
      </c>
      <c r="L378">
        <v>-35.472654110000001</v>
      </c>
      <c r="M378">
        <f t="shared" si="46"/>
        <v>-169.6444481587757</v>
      </c>
      <c r="N378" t="s">
        <v>95</v>
      </c>
      <c r="O378" t="s">
        <v>839</v>
      </c>
      <c r="P378" t="s">
        <v>93</v>
      </c>
      <c r="Q378">
        <v>0</v>
      </c>
      <c r="R378" t="s">
        <v>95</v>
      </c>
      <c r="S378">
        <v>-36.106940170000001</v>
      </c>
      <c r="T378">
        <f t="shared" si="47"/>
        <v>-172.67785829746532</v>
      </c>
      <c r="U378" t="s">
        <v>95</v>
      </c>
      <c r="V378">
        <v>30859</v>
      </c>
      <c r="W378" t="s">
        <v>430</v>
      </c>
      <c r="X378">
        <v>298</v>
      </c>
      <c r="Y378" t="s">
        <v>147</v>
      </c>
      <c r="Z378">
        <v>-36.4</v>
      </c>
      <c r="AA378" t="s">
        <v>95</v>
      </c>
      <c r="AB378">
        <f t="shared" si="48"/>
        <v>-174.07938785270204</v>
      </c>
      <c r="AC378" t="s">
        <v>93</v>
      </c>
      <c r="AD378">
        <v>0.7</v>
      </c>
      <c r="AE378" t="s">
        <v>95</v>
      </c>
      <c r="AF378" t="s">
        <v>93</v>
      </c>
      <c r="AS378">
        <v>0.5</v>
      </c>
      <c r="BN378">
        <v>0.5</v>
      </c>
      <c r="CR378">
        <f t="shared" si="49"/>
        <v>-169.6444481587757</v>
      </c>
      <c r="CS378">
        <f t="shared" si="50"/>
        <v>-172.67785829746532</v>
      </c>
      <c r="CT378">
        <f t="shared" si="51"/>
        <v>-174.07938785270204</v>
      </c>
      <c r="CU378" s="7">
        <f t="shared" si="52"/>
        <v>-172.13389810298099</v>
      </c>
      <c r="CV378" s="9">
        <f t="shared" si="54"/>
        <v>209.1</v>
      </c>
      <c r="CW378" t="str">
        <f t="shared" si="53"/>
        <v>SmNi</v>
      </c>
    </row>
    <row r="379" spans="1:101" ht="15.75" thickBot="1" x14ac:dyDescent="0.3">
      <c r="A379" t="s">
        <v>91</v>
      </c>
      <c r="B379" t="s">
        <v>226</v>
      </c>
      <c r="C379" t="s">
        <v>3144</v>
      </c>
      <c r="E379" t="s">
        <v>3145</v>
      </c>
      <c r="F379" t="s">
        <v>93</v>
      </c>
      <c r="G379" t="s">
        <v>227</v>
      </c>
      <c r="H379">
        <v>237.28793999999999</v>
      </c>
      <c r="I379">
        <v>52</v>
      </c>
      <c r="J379">
        <v>0</v>
      </c>
      <c r="K379" t="s">
        <v>95</v>
      </c>
      <c r="L379">
        <v>-41.321735599999997</v>
      </c>
      <c r="M379">
        <f t="shared" si="46"/>
        <v>-174.1417435711229</v>
      </c>
      <c r="N379" t="s">
        <v>95</v>
      </c>
      <c r="O379" t="s">
        <v>228</v>
      </c>
      <c r="P379" t="s">
        <v>93</v>
      </c>
      <c r="Q379">
        <v>0.37194793999999998</v>
      </c>
      <c r="R379" t="s">
        <v>95</v>
      </c>
      <c r="S379">
        <v>-42.488340809999997</v>
      </c>
      <c r="T379">
        <f t="shared" si="47"/>
        <v>-179.05815529436512</v>
      </c>
      <c r="U379" t="s">
        <v>95</v>
      </c>
      <c r="V379">
        <v>10512</v>
      </c>
      <c r="W379" t="s">
        <v>184</v>
      </c>
      <c r="X379">
        <v>298</v>
      </c>
      <c r="Y379" t="s">
        <v>185</v>
      </c>
      <c r="Z379">
        <v>-38.6</v>
      </c>
      <c r="AA379" t="s">
        <v>95</v>
      </c>
      <c r="AB379">
        <f t="shared" si="48"/>
        <v>-162.6715626592738</v>
      </c>
      <c r="AC379" t="s">
        <v>93</v>
      </c>
      <c r="AD379">
        <v>1.1000000000000001</v>
      </c>
      <c r="AE379" t="s">
        <v>95</v>
      </c>
      <c r="AF379" t="s">
        <v>93</v>
      </c>
      <c r="AR379">
        <v>0.25</v>
      </c>
      <c r="AS379">
        <v>0.5</v>
      </c>
      <c r="AU379">
        <v>0.25</v>
      </c>
      <c r="CR379">
        <f t="shared" si="49"/>
        <v>-174.1417435711229</v>
      </c>
      <c r="CS379">
        <f t="shared" si="50"/>
        <v>-179.05815529436512</v>
      </c>
      <c r="CT379">
        <f t="shared" si="51"/>
        <v>-162.6715626592738</v>
      </c>
      <c r="CU379" s="7">
        <f t="shared" si="52"/>
        <v>-171.95715384158726</v>
      </c>
      <c r="CV379" s="9">
        <f t="shared" si="54"/>
        <v>237.28793999999999</v>
      </c>
      <c r="CW379" t="str">
        <f t="shared" si="53"/>
        <v>NbAlNi2</v>
      </c>
    </row>
    <row r="380" spans="1:101" ht="15.75" thickBot="1" x14ac:dyDescent="0.3">
      <c r="A380" t="s">
        <v>91</v>
      </c>
      <c r="B380" t="s">
        <v>620</v>
      </c>
      <c r="C380" t="s">
        <v>3144</v>
      </c>
      <c r="E380" t="s">
        <v>3145</v>
      </c>
      <c r="F380" t="s">
        <v>93</v>
      </c>
      <c r="G380" t="s">
        <v>621</v>
      </c>
      <c r="H380">
        <v>476.45</v>
      </c>
      <c r="I380">
        <v>251</v>
      </c>
      <c r="J380">
        <v>0</v>
      </c>
      <c r="K380" t="s">
        <v>95</v>
      </c>
      <c r="L380">
        <v>-82.193983329999995</v>
      </c>
      <c r="M380">
        <f t="shared" si="46"/>
        <v>-172.51334521985518</v>
      </c>
      <c r="N380" t="s">
        <v>95</v>
      </c>
      <c r="O380" t="s">
        <v>622</v>
      </c>
      <c r="P380" t="s">
        <v>93</v>
      </c>
      <c r="Q380">
        <v>0</v>
      </c>
      <c r="R380" t="s">
        <v>95</v>
      </c>
      <c r="S380">
        <v>-83.790793149999999</v>
      </c>
      <c r="T380">
        <f t="shared" si="47"/>
        <v>-175.86481928848778</v>
      </c>
      <c r="U380" t="s">
        <v>95</v>
      </c>
      <c r="V380">
        <v>18693</v>
      </c>
      <c r="W380" t="s">
        <v>194</v>
      </c>
      <c r="X380">
        <v>298</v>
      </c>
      <c r="Y380" t="s">
        <v>103</v>
      </c>
      <c r="Z380">
        <v>-79.7</v>
      </c>
      <c r="AA380" t="s">
        <v>95</v>
      </c>
      <c r="AB380">
        <f t="shared" si="48"/>
        <v>-167.2788330359954</v>
      </c>
      <c r="AC380" t="s">
        <v>93</v>
      </c>
      <c r="AD380">
        <v>2.7</v>
      </c>
      <c r="AE380" t="s">
        <v>95</v>
      </c>
      <c r="AF380" t="s">
        <v>93</v>
      </c>
      <c r="AZ380">
        <v>0.75</v>
      </c>
      <c r="BI380">
        <v>0.25</v>
      </c>
      <c r="CR380">
        <f t="shared" si="49"/>
        <v>-172.51334521985518</v>
      </c>
      <c r="CS380">
        <f t="shared" si="50"/>
        <v>-175.86481928848778</v>
      </c>
      <c r="CT380">
        <f t="shared" si="51"/>
        <v>-167.2788330359954</v>
      </c>
      <c r="CU380" s="7">
        <f t="shared" si="52"/>
        <v>-171.88566584811278</v>
      </c>
      <c r="CV380" s="9">
        <f t="shared" si="54"/>
        <v>476.45</v>
      </c>
      <c r="CW380" t="str">
        <f t="shared" si="53"/>
        <v>GdPd3</v>
      </c>
    </row>
    <row r="381" spans="1:101" ht="15.75" thickBot="1" x14ac:dyDescent="0.3">
      <c r="A381" t="s">
        <v>91</v>
      </c>
      <c r="B381" t="s">
        <v>644</v>
      </c>
      <c r="C381" t="s">
        <v>3144</v>
      </c>
      <c r="E381" t="s">
        <v>3145</v>
      </c>
      <c r="G381" t="s">
        <v>645</v>
      </c>
      <c r="H381">
        <v>497.69</v>
      </c>
      <c r="I381">
        <v>797</v>
      </c>
      <c r="J381">
        <v>0</v>
      </c>
      <c r="K381" t="s">
        <v>95</v>
      </c>
      <c r="L381">
        <v>-85.709674070000005</v>
      </c>
      <c r="M381">
        <f t="shared" si="46"/>
        <v>-172.21498135385482</v>
      </c>
      <c r="N381" t="s">
        <v>95</v>
      </c>
      <c r="O381" t="s">
        <v>646</v>
      </c>
      <c r="P381" t="s">
        <v>93</v>
      </c>
      <c r="Q381">
        <v>0</v>
      </c>
      <c r="R381" t="s">
        <v>95</v>
      </c>
      <c r="S381">
        <v>-85.127833170000002</v>
      </c>
      <c r="T381">
        <f t="shared" si="47"/>
        <v>-171.04589839056442</v>
      </c>
      <c r="U381" t="s">
        <v>95</v>
      </c>
      <c r="V381">
        <v>17381</v>
      </c>
      <c r="W381" t="s">
        <v>339</v>
      </c>
      <c r="X381">
        <v>1673</v>
      </c>
      <c r="Y381" t="s">
        <v>179</v>
      </c>
      <c r="AB381">
        <f t="shared" si="48"/>
        <v>0</v>
      </c>
      <c r="AC381" t="s">
        <v>93</v>
      </c>
      <c r="AD381">
        <v>1.2</v>
      </c>
      <c r="AE381" t="s">
        <v>95</v>
      </c>
      <c r="AF381" t="s">
        <v>93</v>
      </c>
      <c r="AQ381">
        <v>0.25</v>
      </c>
      <c r="AZ381">
        <v>0.75</v>
      </c>
      <c r="CG381">
        <v>-100.1</v>
      </c>
      <c r="CH381" t="s">
        <v>95</v>
      </c>
      <c r="CI381" t="s">
        <v>93</v>
      </c>
      <c r="CR381">
        <f t="shared" si="49"/>
        <v>-172.21498135385482</v>
      </c>
      <c r="CS381">
        <f t="shared" si="50"/>
        <v>-171.04589839056442</v>
      </c>
      <c r="CT381">
        <f t="shared" si="51"/>
        <v>0</v>
      </c>
      <c r="CU381" s="7">
        <f t="shared" si="52"/>
        <v>-171.63043987220962</v>
      </c>
      <c r="CV381" s="9">
        <f t="shared" si="54"/>
        <v>497.69</v>
      </c>
      <c r="CW381" t="str">
        <f t="shared" si="53"/>
        <v>HfPd3</v>
      </c>
    </row>
    <row r="382" spans="1:101" ht="15.75" thickBot="1" x14ac:dyDescent="0.3">
      <c r="A382" t="s">
        <v>91</v>
      </c>
      <c r="B382" t="s">
        <v>985</v>
      </c>
      <c r="C382" t="s">
        <v>3144</v>
      </c>
      <c r="E382" t="s">
        <v>3145</v>
      </c>
      <c r="F382" t="s">
        <v>93</v>
      </c>
      <c r="G382" t="s">
        <v>986</v>
      </c>
      <c r="H382">
        <v>364.7364</v>
      </c>
      <c r="I382">
        <v>394</v>
      </c>
      <c r="J382">
        <v>0</v>
      </c>
      <c r="K382" t="s">
        <v>95</v>
      </c>
      <c r="L382">
        <v>-72.296662130000001</v>
      </c>
      <c r="M382">
        <f t="shared" si="46"/>
        <v>-198.21619703983481</v>
      </c>
      <c r="N382" t="s">
        <v>95</v>
      </c>
      <c r="O382" t="s">
        <v>987</v>
      </c>
      <c r="P382" t="s">
        <v>93</v>
      </c>
      <c r="Q382">
        <v>0</v>
      </c>
      <c r="R382" t="s">
        <v>95</v>
      </c>
      <c r="S382">
        <v>-50.468413130000002</v>
      </c>
      <c r="T382">
        <f t="shared" si="47"/>
        <v>-138.36955436857963</v>
      </c>
      <c r="U382" t="s">
        <v>95</v>
      </c>
      <c r="V382">
        <v>18068</v>
      </c>
      <c r="W382" t="s">
        <v>159</v>
      </c>
      <c r="X382">
        <v>298</v>
      </c>
      <c r="Y382" t="s">
        <v>160</v>
      </c>
      <c r="Z382">
        <v>-64.400000000000006</v>
      </c>
      <c r="AA382" t="s">
        <v>95</v>
      </c>
      <c r="AB382">
        <f t="shared" si="48"/>
        <v>-176.56587058489367</v>
      </c>
      <c r="AC382" t="s">
        <v>93</v>
      </c>
      <c r="AD382">
        <v>1.5</v>
      </c>
      <c r="AE382" t="s">
        <v>95</v>
      </c>
      <c r="AF382" t="s">
        <v>93</v>
      </c>
      <c r="BF382">
        <v>0.66</v>
      </c>
      <c r="BK382">
        <v>0.33</v>
      </c>
      <c r="CR382">
        <f t="shared" si="49"/>
        <v>-198.21619703983481</v>
      </c>
      <c r="CS382">
        <f t="shared" si="50"/>
        <v>-138.36955436857963</v>
      </c>
      <c r="CT382">
        <f t="shared" si="51"/>
        <v>-176.56587058489367</v>
      </c>
      <c r="CU382" s="7">
        <f t="shared" si="52"/>
        <v>-171.05054066443606</v>
      </c>
      <c r="CV382" s="9">
        <f t="shared" si="54"/>
        <v>364.7364</v>
      </c>
      <c r="CW382" t="str">
        <f t="shared" si="53"/>
        <v>TbRh2</v>
      </c>
    </row>
    <row r="383" spans="1:101" ht="15.75" thickBot="1" x14ac:dyDescent="0.3">
      <c r="A383" t="s">
        <v>91</v>
      </c>
      <c r="B383" t="s">
        <v>2212</v>
      </c>
      <c r="C383" t="s">
        <v>3144</v>
      </c>
      <c r="E383" t="s">
        <v>3145</v>
      </c>
      <c r="F383" t="s">
        <v>93</v>
      </c>
      <c r="G383" t="s">
        <v>2213</v>
      </c>
      <c r="H383">
        <v>267.68</v>
      </c>
      <c r="I383">
        <v>880</v>
      </c>
      <c r="J383">
        <v>0</v>
      </c>
      <c r="K383" t="s">
        <v>95</v>
      </c>
      <c r="L383">
        <v>-45.981022019999997</v>
      </c>
      <c r="M383">
        <f t="shared" si="46"/>
        <v>-171.77608345786012</v>
      </c>
      <c r="N383" t="s">
        <v>95</v>
      </c>
      <c r="O383" t="s">
        <v>2214</v>
      </c>
      <c r="P383" t="s">
        <v>93</v>
      </c>
      <c r="Q383">
        <v>0</v>
      </c>
      <c r="R383" t="s">
        <v>95</v>
      </c>
      <c r="S383">
        <v>-45.839321300000002</v>
      </c>
      <c r="T383">
        <f t="shared" si="47"/>
        <v>-171.24671734907352</v>
      </c>
      <c r="U383" t="s">
        <v>95</v>
      </c>
      <c r="V383">
        <v>2258</v>
      </c>
      <c r="W383" t="s">
        <v>358</v>
      </c>
      <c r="X383">
        <v>298</v>
      </c>
      <c r="Y383" t="s">
        <v>359</v>
      </c>
      <c r="Z383">
        <v>-45.4</v>
      </c>
      <c r="AA383" t="s">
        <v>95</v>
      </c>
      <c r="AB383">
        <f t="shared" si="48"/>
        <v>-169.60549910340706</v>
      </c>
      <c r="AC383" t="s">
        <v>93</v>
      </c>
      <c r="AD383">
        <v>1.2</v>
      </c>
      <c r="AE383" t="s">
        <v>95</v>
      </c>
      <c r="AF383" t="s">
        <v>93</v>
      </c>
      <c r="AY383">
        <v>0.5</v>
      </c>
      <c r="CA383">
        <v>0.5</v>
      </c>
      <c r="CR383">
        <f t="shared" si="49"/>
        <v>-171.77608345786012</v>
      </c>
      <c r="CS383">
        <f t="shared" si="50"/>
        <v>-171.24671734907352</v>
      </c>
      <c r="CT383">
        <f t="shared" si="51"/>
        <v>-169.60549910340706</v>
      </c>
      <c r="CU383" s="7">
        <f t="shared" si="52"/>
        <v>-170.87609997011359</v>
      </c>
      <c r="CV383" s="9">
        <f t="shared" si="54"/>
        <v>267.68</v>
      </c>
      <c r="CW383" t="str">
        <f t="shared" si="53"/>
        <v>GePt</v>
      </c>
    </row>
    <row r="384" spans="1:101" ht="15.75" thickBot="1" x14ac:dyDescent="0.3">
      <c r="A384" t="s">
        <v>91</v>
      </c>
      <c r="B384" t="s">
        <v>909</v>
      </c>
      <c r="C384" t="s">
        <v>3144</v>
      </c>
      <c r="E384" t="s">
        <v>3145</v>
      </c>
      <c r="G384" t="s">
        <v>910</v>
      </c>
      <c r="H384">
        <v>367.1</v>
      </c>
      <c r="I384">
        <v>776</v>
      </c>
      <c r="M384">
        <f t="shared" si="46"/>
        <v>0</v>
      </c>
      <c r="O384" t="s">
        <v>93</v>
      </c>
      <c r="P384" t="s">
        <v>93</v>
      </c>
      <c r="Q384">
        <v>0</v>
      </c>
      <c r="R384" t="s">
        <v>95</v>
      </c>
      <c r="S384">
        <v>-62.672892089999998</v>
      </c>
      <c r="T384">
        <f t="shared" si="47"/>
        <v>-170.72430424952327</v>
      </c>
      <c r="U384" t="s">
        <v>95</v>
      </c>
      <c r="V384">
        <v>21293</v>
      </c>
      <c r="W384" t="s">
        <v>339</v>
      </c>
      <c r="X384">
        <v>1573</v>
      </c>
      <c r="Y384" t="s">
        <v>179</v>
      </c>
      <c r="AB384">
        <f t="shared" si="48"/>
        <v>0</v>
      </c>
      <c r="AC384" t="s">
        <v>93</v>
      </c>
      <c r="AD384">
        <v>1.8</v>
      </c>
      <c r="AE384" t="s">
        <v>95</v>
      </c>
      <c r="AF384" t="s">
        <v>93</v>
      </c>
      <c r="AH384" t="s">
        <v>93</v>
      </c>
      <c r="AI384" t="s">
        <v>93</v>
      </c>
      <c r="AZ384">
        <v>0.75</v>
      </c>
      <c r="BA384">
        <v>0.25</v>
      </c>
      <c r="CG384">
        <v>-50.7</v>
      </c>
      <c r="CH384" t="s">
        <v>95</v>
      </c>
      <c r="CI384" t="s">
        <v>93</v>
      </c>
      <c r="CR384">
        <f t="shared" si="49"/>
        <v>0</v>
      </c>
      <c r="CS384">
        <f t="shared" si="50"/>
        <v>-170.72430424952327</v>
      </c>
      <c r="CT384">
        <f t="shared" si="51"/>
        <v>0</v>
      </c>
      <c r="CU384" s="7">
        <f t="shared" si="52"/>
        <v>-170.72430424952327</v>
      </c>
      <c r="CV384" s="9">
        <f t="shared" si="54"/>
        <v>367.1</v>
      </c>
      <c r="CW384" t="str">
        <f t="shared" si="53"/>
        <v>TiPd3</v>
      </c>
    </row>
    <row r="385" spans="1:101" ht="15.75" thickBot="1" x14ac:dyDescent="0.3">
      <c r="A385" t="s">
        <v>91</v>
      </c>
      <c r="B385" t="s">
        <v>745</v>
      </c>
      <c r="C385" t="s">
        <v>3144</v>
      </c>
      <c r="E385" t="s">
        <v>3145</v>
      </c>
      <c r="F385" t="s">
        <v>93</v>
      </c>
      <c r="G385" t="s">
        <v>746</v>
      </c>
      <c r="H385">
        <v>458.10550000000001</v>
      </c>
      <c r="I385">
        <v>297</v>
      </c>
      <c r="J385">
        <v>0</v>
      </c>
      <c r="K385" t="s">
        <v>95</v>
      </c>
      <c r="L385">
        <v>-78.68754457</v>
      </c>
      <c r="M385">
        <f t="shared" si="46"/>
        <v>-171.76729938845963</v>
      </c>
      <c r="N385" t="s">
        <v>95</v>
      </c>
      <c r="O385" t="s">
        <v>747</v>
      </c>
      <c r="P385" t="s">
        <v>93</v>
      </c>
      <c r="Q385">
        <v>1.566178E-2</v>
      </c>
      <c r="R385" t="s">
        <v>95</v>
      </c>
      <c r="S385">
        <v>-78.671774819999996</v>
      </c>
      <c r="T385">
        <f t="shared" si="47"/>
        <v>-171.73287554940944</v>
      </c>
      <c r="U385" t="s">
        <v>95</v>
      </c>
      <c r="V385">
        <v>17569</v>
      </c>
      <c r="W385" t="s">
        <v>194</v>
      </c>
      <c r="X385">
        <v>298</v>
      </c>
      <c r="Y385" t="s">
        <v>103</v>
      </c>
      <c r="Z385">
        <v>-77.099999999999994</v>
      </c>
      <c r="AA385" t="s">
        <v>95</v>
      </c>
      <c r="AB385">
        <f t="shared" si="48"/>
        <v>-168.30184313438716</v>
      </c>
      <c r="AC385" t="s">
        <v>93</v>
      </c>
      <c r="AD385">
        <v>2.2000000000000002</v>
      </c>
      <c r="AE385" t="s">
        <v>95</v>
      </c>
      <c r="AF385" t="s">
        <v>93</v>
      </c>
      <c r="AL385">
        <v>0.25</v>
      </c>
      <c r="AZ385">
        <v>0.75</v>
      </c>
      <c r="CR385">
        <f t="shared" si="49"/>
        <v>-171.76729938845963</v>
      </c>
      <c r="CS385">
        <f t="shared" si="50"/>
        <v>-171.73287554940944</v>
      </c>
      <c r="CT385">
        <f t="shared" si="51"/>
        <v>-168.30184313438716</v>
      </c>
      <c r="CU385" s="7">
        <f t="shared" si="52"/>
        <v>-170.60067269075208</v>
      </c>
      <c r="CV385" s="9">
        <f t="shared" si="54"/>
        <v>458.10550000000001</v>
      </c>
      <c r="CW385" t="str">
        <f t="shared" si="53"/>
        <v>LaPd3</v>
      </c>
    </row>
    <row r="386" spans="1:101" ht="15.75" thickBot="1" x14ac:dyDescent="0.3">
      <c r="A386" t="s">
        <v>91</v>
      </c>
      <c r="B386" t="s">
        <v>1451</v>
      </c>
      <c r="C386" t="s">
        <v>3144</v>
      </c>
      <c r="E386" t="s">
        <v>3145</v>
      </c>
      <c r="F386" t="s">
        <v>93</v>
      </c>
      <c r="G386" t="s">
        <v>1452</v>
      </c>
      <c r="H386">
        <v>240.51</v>
      </c>
      <c r="I386">
        <v>558</v>
      </c>
      <c r="M386">
        <f t="shared" ref="M386:M449" si="55">(1000/H386)*L386</f>
        <v>0</v>
      </c>
      <c r="O386" t="s">
        <v>93</v>
      </c>
      <c r="P386" t="s">
        <v>121</v>
      </c>
      <c r="T386">
        <f t="shared" ref="T386:T449" si="56">(1000/H386)*S386</f>
        <v>0</v>
      </c>
      <c r="V386" t="s">
        <v>93</v>
      </c>
      <c r="W386" t="s">
        <v>1453</v>
      </c>
      <c r="X386">
        <v>298</v>
      </c>
      <c r="Y386" t="s">
        <v>1454</v>
      </c>
      <c r="Z386">
        <v>-41</v>
      </c>
      <c r="AA386" t="s">
        <v>95</v>
      </c>
      <c r="AB386">
        <f t="shared" ref="AB386:AB449" si="57">(1000/H386)*Z386</f>
        <v>-170.47108228348097</v>
      </c>
      <c r="AC386" t="s">
        <v>93</v>
      </c>
      <c r="AD386">
        <v>1.6</v>
      </c>
      <c r="AE386" t="s">
        <v>95</v>
      </c>
      <c r="AF386" t="s">
        <v>93</v>
      </c>
      <c r="AH386" t="s">
        <v>93</v>
      </c>
      <c r="AI386" t="s">
        <v>93</v>
      </c>
      <c r="AJ386" t="s">
        <v>93</v>
      </c>
      <c r="AK386" t="s">
        <v>93</v>
      </c>
      <c r="AV386">
        <v>0.33</v>
      </c>
      <c r="BY386">
        <v>0.66</v>
      </c>
      <c r="CR386">
        <f t="shared" ref="CR386:CR449" si="58">VALUE(M386)</f>
        <v>0</v>
      </c>
      <c r="CS386">
        <f t="shared" ref="CS386:CS449" si="59">VALUE(T386)</f>
        <v>0</v>
      </c>
      <c r="CT386">
        <f t="shared" ref="CT386:CT449" si="60">VALUE(AB386)</f>
        <v>-170.47108228348097</v>
      </c>
      <c r="CU386" s="7">
        <f t="shared" ref="CU386:CU449" si="61">SUM(CR386:CT386)/(COUNTIF(CR386:CT386,"&lt;&gt;0")-COUNTBLANK(CR386:CT386)-(COUNTA(CR386:CT386)-COUNT(CR386:CT386)))</f>
        <v>-170.47108228348097</v>
      </c>
      <c r="CV386" s="9">
        <f t="shared" si="54"/>
        <v>240.51</v>
      </c>
      <c r="CW386" t="str">
        <f t="shared" ref="CW386:CW425" si="62">G386</f>
        <v>Ga2Ru</v>
      </c>
    </row>
    <row r="387" spans="1:101" ht="15.75" thickBot="1" x14ac:dyDescent="0.3">
      <c r="A387" t="s">
        <v>91</v>
      </c>
      <c r="B387" t="s">
        <v>2577</v>
      </c>
      <c r="C387" t="s">
        <v>3144</v>
      </c>
      <c r="E387" t="s">
        <v>3145</v>
      </c>
      <c r="F387" t="s">
        <v>93</v>
      </c>
      <c r="G387" t="s">
        <v>2578</v>
      </c>
      <c r="H387">
        <v>161.33799999999999</v>
      </c>
      <c r="I387">
        <v>1051</v>
      </c>
      <c r="J387">
        <v>1.1796304399999999</v>
      </c>
      <c r="K387" t="s">
        <v>95</v>
      </c>
      <c r="L387">
        <v>-18.217226050000001</v>
      </c>
      <c r="M387">
        <f t="shared" si="55"/>
        <v>-112.9134243017764</v>
      </c>
      <c r="N387" t="s">
        <v>95</v>
      </c>
      <c r="O387" t="s">
        <v>2579</v>
      </c>
      <c r="P387" t="s">
        <v>93</v>
      </c>
      <c r="Q387">
        <v>0.69978868000000005</v>
      </c>
      <c r="R387" t="s">
        <v>95</v>
      </c>
      <c r="S387">
        <v>-18.655261200000002</v>
      </c>
      <c r="T387">
        <f t="shared" si="56"/>
        <v>-115.62843967323261</v>
      </c>
      <c r="U387" t="s">
        <v>95</v>
      </c>
      <c r="V387">
        <v>90200</v>
      </c>
      <c r="W387" t="s">
        <v>102</v>
      </c>
      <c r="X387">
        <v>298</v>
      </c>
      <c r="Y387" t="s">
        <v>103</v>
      </c>
      <c r="Z387">
        <v>-45.2</v>
      </c>
      <c r="AA387" t="s">
        <v>95</v>
      </c>
      <c r="AB387">
        <f t="shared" si="57"/>
        <v>-280.15718553595559</v>
      </c>
      <c r="AC387" t="s">
        <v>93</v>
      </c>
      <c r="AD387">
        <v>2.2000000000000002</v>
      </c>
      <c r="AE387" t="s">
        <v>95</v>
      </c>
      <c r="AF387" t="s">
        <v>93</v>
      </c>
      <c r="AZ387">
        <v>0.5</v>
      </c>
      <c r="BR387">
        <v>0.5</v>
      </c>
      <c r="CR387">
        <f t="shared" si="58"/>
        <v>-112.9134243017764</v>
      </c>
      <c r="CS387">
        <f t="shared" si="59"/>
        <v>-115.62843967323261</v>
      </c>
      <c r="CT387">
        <f t="shared" si="60"/>
        <v>-280.15718553595559</v>
      </c>
      <c r="CU387" s="7">
        <f t="shared" si="61"/>
        <v>-169.56634983698819</v>
      </c>
      <c r="CV387" s="9">
        <f t="shared" ref="CV387:CV450" si="63">H387</f>
        <v>161.33799999999999</v>
      </c>
      <c r="CW387" t="str">
        <f t="shared" si="62"/>
        <v>MnPd</v>
      </c>
    </row>
    <row r="388" spans="1:101" ht="15.75" thickBot="1" x14ac:dyDescent="0.3">
      <c r="A388" t="s">
        <v>91</v>
      </c>
      <c r="B388" t="s">
        <v>602</v>
      </c>
      <c r="C388" t="s">
        <v>3144</v>
      </c>
      <c r="E388" t="s">
        <v>3145</v>
      </c>
      <c r="F388" t="s">
        <v>93</v>
      </c>
      <c r="G388" t="s">
        <v>603</v>
      </c>
      <c r="H388">
        <v>215.95</v>
      </c>
      <c r="I388">
        <v>244</v>
      </c>
      <c r="J388">
        <v>0</v>
      </c>
      <c r="K388" t="s">
        <v>95</v>
      </c>
      <c r="L388">
        <v>-38.418257689999997</v>
      </c>
      <c r="M388">
        <f t="shared" si="55"/>
        <v>-177.90348548275063</v>
      </c>
      <c r="N388" t="s">
        <v>95</v>
      </c>
      <c r="O388" t="s">
        <v>604</v>
      </c>
      <c r="P388" t="s">
        <v>93</v>
      </c>
      <c r="Q388">
        <v>0</v>
      </c>
      <c r="R388" t="s">
        <v>95</v>
      </c>
      <c r="S388">
        <v>-41.146908869999997</v>
      </c>
      <c r="T388">
        <f t="shared" si="56"/>
        <v>-190.53905473489232</v>
      </c>
      <c r="U388" t="s">
        <v>95</v>
      </c>
      <c r="V388">
        <v>31223</v>
      </c>
      <c r="W388" t="s">
        <v>430</v>
      </c>
      <c r="X388">
        <v>298</v>
      </c>
      <c r="Y388" t="s">
        <v>147</v>
      </c>
      <c r="Z388">
        <v>-29.9</v>
      </c>
      <c r="AA388" t="s">
        <v>95</v>
      </c>
      <c r="AB388">
        <f t="shared" si="57"/>
        <v>-138.45797638342208</v>
      </c>
      <c r="AC388" t="s">
        <v>93</v>
      </c>
      <c r="AD388">
        <v>1.1000000000000001</v>
      </c>
      <c r="AE388" t="s">
        <v>95</v>
      </c>
      <c r="AF388" t="s">
        <v>93</v>
      </c>
      <c r="AS388">
        <v>0.5</v>
      </c>
      <c r="BI388">
        <v>0.5</v>
      </c>
      <c r="CR388">
        <f t="shared" si="58"/>
        <v>-177.90348548275063</v>
      </c>
      <c r="CS388">
        <f t="shared" si="59"/>
        <v>-190.53905473489232</v>
      </c>
      <c r="CT388">
        <f t="shared" si="60"/>
        <v>-138.45797638342208</v>
      </c>
      <c r="CU388" s="7">
        <f t="shared" si="61"/>
        <v>-168.96683886702166</v>
      </c>
      <c r="CV388" s="9">
        <f t="shared" si="63"/>
        <v>215.95</v>
      </c>
      <c r="CW388" t="str">
        <f t="shared" si="62"/>
        <v>GdNi</v>
      </c>
    </row>
    <row r="389" spans="1:101" ht="15.75" thickBot="1" x14ac:dyDescent="0.3">
      <c r="A389" t="s">
        <v>484</v>
      </c>
      <c r="B389" t="s">
        <v>1547</v>
      </c>
      <c r="C389" t="s">
        <v>3138</v>
      </c>
      <c r="D389" t="s">
        <v>3139</v>
      </c>
      <c r="F389" t="s">
        <v>3140</v>
      </c>
      <c r="G389" t="s">
        <v>1548</v>
      </c>
      <c r="H389">
        <v>218.28549999999899</v>
      </c>
      <c r="I389">
        <v>592</v>
      </c>
      <c r="J389">
        <v>1.11489295</v>
      </c>
      <c r="K389" t="s">
        <v>95</v>
      </c>
      <c r="L389">
        <v>-35.511621820000002</v>
      </c>
      <c r="M389">
        <f t="shared" si="55"/>
        <v>-162.68429107751166</v>
      </c>
      <c r="N389" t="s">
        <v>95</v>
      </c>
      <c r="O389" t="s">
        <v>1549</v>
      </c>
      <c r="P389" t="s">
        <v>93</v>
      </c>
      <c r="Q389">
        <v>1.24046664</v>
      </c>
      <c r="R389" t="s">
        <v>95</v>
      </c>
      <c r="S389">
        <v>-35.082029220000003</v>
      </c>
      <c r="T389">
        <f t="shared" si="56"/>
        <v>-160.71626021884259</v>
      </c>
      <c r="U389" t="s">
        <v>95</v>
      </c>
      <c r="V389">
        <v>3181</v>
      </c>
      <c r="W389" t="s">
        <v>391</v>
      </c>
      <c r="X389">
        <v>298</v>
      </c>
      <c r="Y389" t="s">
        <v>1108</v>
      </c>
      <c r="Z389">
        <v>-40</v>
      </c>
      <c r="AA389" t="s">
        <v>95</v>
      </c>
      <c r="AB389">
        <f t="shared" si="57"/>
        <v>-183.24625318676772</v>
      </c>
      <c r="AC389" t="s">
        <v>93</v>
      </c>
      <c r="AD389">
        <v>10</v>
      </c>
      <c r="AE389" t="s">
        <v>95</v>
      </c>
      <c r="AF389" t="s">
        <v>93</v>
      </c>
      <c r="BM389">
        <v>0.5</v>
      </c>
      <c r="BX389">
        <v>0.5</v>
      </c>
      <c r="CR389">
        <f t="shared" si="58"/>
        <v>-162.68429107751166</v>
      </c>
      <c r="CS389">
        <f t="shared" si="59"/>
        <v>-160.71626021884259</v>
      </c>
      <c r="CT389">
        <f t="shared" si="60"/>
        <v>-183.24625318676772</v>
      </c>
      <c r="CU389" s="7">
        <f t="shared" si="61"/>
        <v>-168.88226816104066</v>
      </c>
      <c r="CV389" s="9">
        <f t="shared" si="63"/>
        <v>218.28549999999899</v>
      </c>
      <c r="CW389" t="str">
        <f t="shared" si="62"/>
        <v>SiOs</v>
      </c>
    </row>
    <row r="390" spans="1:101" ht="15.75" thickBot="1" x14ac:dyDescent="0.3">
      <c r="A390" t="s">
        <v>91</v>
      </c>
      <c r="B390" t="s">
        <v>1553</v>
      </c>
      <c r="C390" t="s">
        <v>3144</v>
      </c>
      <c r="E390" t="s">
        <v>3145</v>
      </c>
      <c r="F390" t="s">
        <v>93</v>
      </c>
      <c r="G390" t="s">
        <v>1554</v>
      </c>
      <c r="H390">
        <v>347.28550000000001</v>
      </c>
      <c r="I390">
        <v>595</v>
      </c>
      <c r="J390">
        <v>0</v>
      </c>
      <c r="K390" t="s">
        <v>95</v>
      </c>
      <c r="L390">
        <v>-59.182509150000001</v>
      </c>
      <c r="M390">
        <f t="shared" si="55"/>
        <v>-170.41457000076306</v>
      </c>
      <c r="N390" t="s">
        <v>95</v>
      </c>
      <c r="O390" t="s">
        <v>1555</v>
      </c>
      <c r="P390" t="s">
        <v>93</v>
      </c>
      <c r="Q390">
        <v>0</v>
      </c>
      <c r="R390" t="s">
        <v>95</v>
      </c>
      <c r="S390">
        <v>-58.470600949999998</v>
      </c>
      <c r="T390">
        <f t="shared" si="56"/>
        <v>-168.3646479625553</v>
      </c>
      <c r="U390" t="s">
        <v>95</v>
      </c>
      <c r="V390">
        <v>8197</v>
      </c>
      <c r="W390" t="s">
        <v>728</v>
      </c>
      <c r="X390">
        <v>298</v>
      </c>
      <c r="Y390" t="s">
        <v>359</v>
      </c>
      <c r="Z390">
        <v>-57.9</v>
      </c>
      <c r="AA390" t="s">
        <v>95</v>
      </c>
      <c r="AB390">
        <f t="shared" si="57"/>
        <v>-166.72161665258122</v>
      </c>
      <c r="AC390" t="s">
        <v>93</v>
      </c>
      <c r="AD390">
        <v>1.9</v>
      </c>
      <c r="AE390" t="s">
        <v>95</v>
      </c>
      <c r="AF390" t="s">
        <v>93</v>
      </c>
      <c r="AZ390">
        <v>0.75</v>
      </c>
      <c r="BX390">
        <v>0.25</v>
      </c>
      <c r="CR390">
        <f t="shared" si="58"/>
        <v>-170.41457000076306</v>
      </c>
      <c r="CS390">
        <f t="shared" si="59"/>
        <v>-168.3646479625553</v>
      </c>
      <c r="CT390">
        <f t="shared" si="60"/>
        <v>-166.72161665258122</v>
      </c>
      <c r="CU390" s="7">
        <f t="shared" si="61"/>
        <v>-168.50027820529988</v>
      </c>
      <c r="CV390" s="9">
        <f t="shared" si="63"/>
        <v>347.28550000000001</v>
      </c>
      <c r="CW390" t="str">
        <f t="shared" si="62"/>
        <v>SiPd3</v>
      </c>
    </row>
    <row r="391" spans="1:101" ht="15.75" thickBot="1" x14ac:dyDescent="0.3">
      <c r="A391" t="s">
        <v>91</v>
      </c>
      <c r="B391" t="s">
        <v>1608</v>
      </c>
      <c r="C391" t="s">
        <v>3144</v>
      </c>
      <c r="E391" t="s">
        <v>3145</v>
      </c>
      <c r="F391" t="s">
        <v>93</v>
      </c>
      <c r="G391" t="s">
        <v>1609</v>
      </c>
      <c r="H391">
        <v>338.964</v>
      </c>
      <c r="I391">
        <v>618</v>
      </c>
      <c r="J391">
        <v>0</v>
      </c>
      <c r="K391" t="s">
        <v>95</v>
      </c>
      <c r="L391">
        <v>-56.791099379999999</v>
      </c>
      <c r="M391">
        <f t="shared" si="55"/>
        <v>-167.54315909654122</v>
      </c>
      <c r="N391" t="s">
        <v>95</v>
      </c>
      <c r="O391" t="s">
        <v>1610</v>
      </c>
      <c r="P391" t="s">
        <v>93</v>
      </c>
      <c r="Q391">
        <v>0</v>
      </c>
      <c r="R391" t="s">
        <v>95</v>
      </c>
      <c r="S391">
        <v>-55.17402302</v>
      </c>
      <c r="T391">
        <f t="shared" si="56"/>
        <v>-162.77251572438371</v>
      </c>
      <c r="U391" t="s">
        <v>95</v>
      </c>
      <c r="V391">
        <v>31069</v>
      </c>
      <c r="W391" t="s">
        <v>1362</v>
      </c>
      <c r="X391">
        <v>298</v>
      </c>
      <c r="Y391" t="s">
        <v>480</v>
      </c>
      <c r="Z391">
        <v>-59</v>
      </c>
      <c r="AA391" t="s">
        <v>95</v>
      </c>
      <c r="AB391">
        <f t="shared" si="57"/>
        <v>-174.05978215975739</v>
      </c>
      <c r="AC391" t="s">
        <v>93</v>
      </c>
      <c r="AD391">
        <v>2</v>
      </c>
      <c r="AE391" t="s">
        <v>95</v>
      </c>
      <c r="AF391" t="s">
        <v>93</v>
      </c>
      <c r="BD391">
        <v>0.625</v>
      </c>
      <c r="BX391">
        <v>0.375</v>
      </c>
      <c r="CR391">
        <f t="shared" si="58"/>
        <v>-167.54315909654122</v>
      </c>
      <c r="CS391">
        <f t="shared" si="59"/>
        <v>-162.77251572438371</v>
      </c>
      <c r="CT391">
        <f t="shared" si="60"/>
        <v>-174.05978215975739</v>
      </c>
      <c r="CU391" s="7">
        <f t="shared" si="61"/>
        <v>-168.1251523268941</v>
      </c>
      <c r="CV391" s="9">
        <f t="shared" si="63"/>
        <v>338.964</v>
      </c>
      <c r="CW391" t="str">
        <f t="shared" si="62"/>
        <v>V5Si3</v>
      </c>
    </row>
    <row r="392" spans="1:101" ht="15.75" thickBot="1" x14ac:dyDescent="0.3">
      <c r="A392" t="s">
        <v>91</v>
      </c>
      <c r="B392" t="s">
        <v>1311</v>
      </c>
      <c r="C392" t="s">
        <v>3144</v>
      </c>
      <c r="E392" t="s">
        <v>3145</v>
      </c>
      <c r="F392" t="s">
        <v>93</v>
      </c>
      <c r="G392" t="s">
        <v>1312</v>
      </c>
      <c r="H392">
        <v>239.79899999999901</v>
      </c>
      <c r="I392">
        <v>512</v>
      </c>
      <c r="M392">
        <f t="shared" si="55"/>
        <v>0</v>
      </c>
      <c r="O392" t="s">
        <v>93</v>
      </c>
      <c r="P392" t="s">
        <v>93</v>
      </c>
      <c r="T392">
        <f t="shared" si="56"/>
        <v>0</v>
      </c>
      <c r="V392" t="s">
        <v>93</v>
      </c>
      <c r="W392" t="s">
        <v>1313</v>
      </c>
      <c r="X392">
        <v>298</v>
      </c>
      <c r="Y392" t="s">
        <v>1297</v>
      </c>
      <c r="Z392">
        <v>-40.299999999999997</v>
      </c>
      <c r="AA392" t="s">
        <v>95</v>
      </c>
      <c r="AB392">
        <f t="shared" si="57"/>
        <v>-168.05741475152175</v>
      </c>
      <c r="AC392" t="s">
        <v>93</v>
      </c>
      <c r="AD392">
        <v>1.2</v>
      </c>
      <c r="AE392" t="s">
        <v>95</v>
      </c>
      <c r="AF392" t="s">
        <v>93</v>
      </c>
      <c r="AH392" t="s">
        <v>93</v>
      </c>
      <c r="AI392" t="s">
        <v>93</v>
      </c>
      <c r="AJ392" t="s">
        <v>93</v>
      </c>
      <c r="AK392" t="s">
        <v>93</v>
      </c>
      <c r="BD392">
        <v>0.56999999999999995</v>
      </c>
      <c r="BU392">
        <v>0.43</v>
      </c>
      <c r="CR392">
        <f t="shared" si="58"/>
        <v>0</v>
      </c>
      <c r="CS392">
        <f t="shared" si="59"/>
        <v>0</v>
      </c>
      <c r="CT392">
        <f t="shared" si="60"/>
        <v>-168.05741475152175</v>
      </c>
      <c r="CU392" s="7">
        <f t="shared" si="61"/>
        <v>-168.05741475152175</v>
      </c>
      <c r="CV392" s="9">
        <f t="shared" si="63"/>
        <v>239.79899999999901</v>
      </c>
      <c r="CW392" t="str">
        <f t="shared" si="62"/>
        <v>C3V4</v>
      </c>
    </row>
    <row r="393" spans="1:101" ht="15.75" thickBot="1" x14ac:dyDescent="0.3">
      <c r="A393" t="s">
        <v>91</v>
      </c>
      <c r="B393" t="s">
        <v>2785</v>
      </c>
      <c r="C393" t="s">
        <v>3144</v>
      </c>
      <c r="E393" t="s">
        <v>3145</v>
      </c>
      <c r="F393" t="s">
        <v>93</v>
      </c>
      <c r="G393" t="s">
        <v>2786</v>
      </c>
      <c r="H393">
        <v>288.63954000000001</v>
      </c>
      <c r="I393">
        <v>1138</v>
      </c>
      <c r="M393">
        <f t="shared" si="55"/>
        <v>0</v>
      </c>
      <c r="O393" t="s">
        <v>93</v>
      </c>
      <c r="P393" t="s">
        <v>93</v>
      </c>
      <c r="T393">
        <f t="shared" si="56"/>
        <v>0</v>
      </c>
      <c r="V393" t="s">
        <v>93</v>
      </c>
      <c r="W393" t="s">
        <v>102</v>
      </c>
      <c r="X393">
        <v>298</v>
      </c>
      <c r="Y393" t="s">
        <v>103</v>
      </c>
      <c r="Z393">
        <v>-48.5</v>
      </c>
      <c r="AA393" t="s">
        <v>95</v>
      </c>
      <c r="AB393">
        <f t="shared" si="57"/>
        <v>-168.02964694303489</v>
      </c>
      <c r="AC393" t="s">
        <v>93</v>
      </c>
      <c r="AD393">
        <v>2.9</v>
      </c>
      <c r="AE393" t="s">
        <v>95</v>
      </c>
      <c r="AF393" t="s">
        <v>93</v>
      </c>
      <c r="AH393" t="s">
        <v>93</v>
      </c>
      <c r="AI393" t="s">
        <v>93</v>
      </c>
      <c r="AJ393" t="s">
        <v>93</v>
      </c>
      <c r="AK393" t="s">
        <v>93</v>
      </c>
      <c r="AR393">
        <v>0.25</v>
      </c>
      <c r="AT393">
        <v>0.25</v>
      </c>
      <c r="BF393">
        <v>0.5</v>
      </c>
      <c r="CR393">
        <f t="shared" si="58"/>
        <v>0</v>
      </c>
      <c r="CS393">
        <f t="shared" si="59"/>
        <v>0</v>
      </c>
      <c r="CT393">
        <f t="shared" si="60"/>
        <v>-168.02964694303489</v>
      </c>
      <c r="CU393" s="7">
        <f t="shared" si="61"/>
        <v>-168.02964694303489</v>
      </c>
      <c r="CV393" s="9">
        <f t="shared" si="63"/>
        <v>288.63954000000001</v>
      </c>
      <c r="CW393" t="str">
        <f t="shared" si="62"/>
        <v>Rh2FeAl</v>
      </c>
    </row>
    <row r="394" spans="1:101" ht="15.75" thickBot="1" x14ac:dyDescent="0.3">
      <c r="A394" t="s">
        <v>91</v>
      </c>
      <c r="B394" t="s">
        <v>2794</v>
      </c>
      <c r="C394" t="s">
        <v>3144</v>
      </c>
      <c r="E394" t="s">
        <v>3145</v>
      </c>
      <c r="F394" t="s">
        <v>93</v>
      </c>
      <c r="G394" t="s">
        <v>2795</v>
      </c>
      <c r="H394">
        <v>330.46899999999999</v>
      </c>
      <c r="I394">
        <v>1142</v>
      </c>
      <c r="M394">
        <f t="shared" si="55"/>
        <v>0</v>
      </c>
      <c r="O394" t="s">
        <v>93</v>
      </c>
      <c r="P394" t="s">
        <v>93</v>
      </c>
      <c r="T394">
        <f t="shared" si="56"/>
        <v>0</v>
      </c>
      <c r="V394" t="s">
        <v>93</v>
      </c>
      <c r="W394" t="s">
        <v>102</v>
      </c>
      <c r="X394">
        <v>298</v>
      </c>
      <c r="Y394" t="s">
        <v>103</v>
      </c>
      <c r="Z394">
        <v>-55.3</v>
      </c>
      <c r="AA394" t="s">
        <v>95</v>
      </c>
      <c r="AB394">
        <f t="shared" si="57"/>
        <v>-167.33793487437552</v>
      </c>
      <c r="AC394" t="s">
        <v>93</v>
      </c>
      <c r="AD394">
        <v>2</v>
      </c>
      <c r="AE394" t="s">
        <v>95</v>
      </c>
      <c r="AF394" t="s">
        <v>93</v>
      </c>
      <c r="AH394" t="s">
        <v>93</v>
      </c>
      <c r="AI394" t="s">
        <v>93</v>
      </c>
      <c r="AJ394" t="s">
        <v>93</v>
      </c>
      <c r="AK394" t="s">
        <v>93</v>
      </c>
      <c r="BF394">
        <v>0.5</v>
      </c>
      <c r="BR394">
        <v>0.25</v>
      </c>
      <c r="BY394">
        <v>0.25</v>
      </c>
      <c r="CR394">
        <f t="shared" si="58"/>
        <v>0</v>
      </c>
      <c r="CS394">
        <f t="shared" si="59"/>
        <v>0</v>
      </c>
      <c r="CT394">
        <f t="shared" si="60"/>
        <v>-167.33793487437552</v>
      </c>
      <c r="CU394" s="7">
        <f t="shared" si="61"/>
        <v>-167.33793487437552</v>
      </c>
      <c r="CV394" s="9">
        <f t="shared" si="63"/>
        <v>330.46899999999999</v>
      </c>
      <c r="CW394" t="str">
        <f t="shared" si="62"/>
        <v>Rh2MnGa</v>
      </c>
    </row>
    <row r="395" spans="1:101" ht="15.75" thickBot="1" x14ac:dyDescent="0.3">
      <c r="A395" t="s">
        <v>91</v>
      </c>
      <c r="B395" t="s">
        <v>485</v>
      </c>
      <c r="C395" t="s">
        <v>3144</v>
      </c>
      <c r="E395" t="s">
        <v>3145</v>
      </c>
      <c r="F395" t="s">
        <v>93</v>
      </c>
      <c r="G395" t="s">
        <v>486</v>
      </c>
      <c r="H395">
        <v>237.42320000000001</v>
      </c>
      <c r="I395">
        <v>197</v>
      </c>
      <c r="J395">
        <v>0</v>
      </c>
      <c r="K395" t="s">
        <v>95</v>
      </c>
      <c r="L395">
        <v>-38.164369649999998</v>
      </c>
      <c r="M395">
        <f t="shared" si="55"/>
        <v>-160.74406229045854</v>
      </c>
      <c r="N395" t="s">
        <v>95</v>
      </c>
      <c r="O395" t="s">
        <v>487</v>
      </c>
      <c r="P395" t="s">
        <v>93</v>
      </c>
      <c r="Q395">
        <v>7.4188989999999996E-2</v>
      </c>
      <c r="R395" t="s">
        <v>95</v>
      </c>
      <c r="S395">
        <v>-38.142995069999998</v>
      </c>
      <c r="T395">
        <f t="shared" si="56"/>
        <v>-160.65403494687965</v>
      </c>
      <c r="U395" t="s">
        <v>95</v>
      </c>
      <c r="V395">
        <v>88389</v>
      </c>
      <c r="W395" t="s">
        <v>102</v>
      </c>
      <c r="X395">
        <v>298</v>
      </c>
      <c r="Y395" t="s">
        <v>103</v>
      </c>
      <c r="Z395">
        <v>-42.8</v>
      </c>
      <c r="AA395" t="s">
        <v>95</v>
      </c>
      <c r="AB395">
        <f t="shared" si="57"/>
        <v>-180.26881955933538</v>
      </c>
      <c r="AC395" t="s">
        <v>93</v>
      </c>
      <c r="AD395">
        <v>1.1000000000000001</v>
      </c>
      <c r="AE395" t="s">
        <v>95</v>
      </c>
      <c r="AF395" t="s">
        <v>93</v>
      </c>
      <c r="AQ395">
        <v>0.5</v>
      </c>
      <c r="AW395">
        <v>0.5</v>
      </c>
      <c r="CR395">
        <f t="shared" si="58"/>
        <v>-160.74406229045854</v>
      </c>
      <c r="CS395">
        <f t="shared" si="59"/>
        <v>-160.65403494687965</v>
      </c>
      <c r="CT395">
        <f t="shared" si="60"/>
        <v>-180.26881955933538</v>
      </c>
      <c r="CU395" s="7">
        <f t="shared" si="61"/>
        <v>-167.22230559889121</v>
      </c>
      <c r="CV395" s="9">
        <f t="shared" si="63"/>
        <v>237.42320000000001</v>
      </c>
      <c r="CW395" t="str">
        <f t="shared" si="62"/>
        <v>HfCo</v>
      </c>
    </row>
    <row r="396" spans="1:101" ht="15.75" thickBot="1" x14ac:dyDescent="0.3">
      <c r="A396" t="s">
        <v>91</v>
      </c>
      <c r="B396" t="s">
        <v>1238</v>
      </c>
      <c r="C396" t="s">
        <v>3144</v>
      </c>
      <c r="E396" t="s">
        <v>3145</v>
      </c>
      <c r="F396" t="s">
        <v>93</v>
      </c>
      <c r="G396" t="s">
        <v>1239</v>
      </c>
      <c r="H396">
        <v>207.827</v>
      </c>
      <c r="I396">
        <v>485</v>
      </c>
      <c r="J396">
        <v>0</v>
      </c>
      <c r="K396" t="s">
        <v>95</v>
      </c>
      <c r="L396">
        <v>-41.470972400000001</v>
      </c>
      <c r="M396">
        <f t="shared" si="55"/>
        <v>-199.54564325135811</v>
      </c>
      <c r="N396" t="s">
        <v>95</v>
      </c>
      <c r="O396" t="s">
        <v>1240</v>
      </c>
      <c r="P396" t="s">
        <v>93</v>
      </c>
      <c r="Q396">
        <v>0</v>
      </c>
      <c r="R396" t="s">
        <v>95</v>
      </c>
      <c r="S396">
        <v>-40.537288789999998</v>
      </c>
      <c r="T396">
        <f t="shared" si="56"/>
        <v>-195.05304310796961</v>
      </c>
      <c r="U396" t="s">
        <v>95</v>
      </c>
      <c r="V396">
        <v>4449</v>
      </c>
      <c r="W396" t="s">
        <v>172</v>
      </c>
      <c r="X396">
        <v>298</v>
      </c>
      <c r="Y396" t="s">
        <v>179</v>
      </c>
      <c r="Z396">
        <v>-21.5</v>
      </c>
      <c r="AA396" t="s">
        <v>95</v>
      </c>
      <c r="AB396">
        <f t="shared" si="57"/>
        <v>-103.4514283514654</v>
      </c>
      <c r="AC396" t="s">
        <v>93</v>
      </c>
      <c r="AD396">
        <v>0.5</v>
      </c>
      <c r="AE396" t="s">
        <v>95</v>
      </c>
      <c r="AF396" t="s">
        <v>93</v>
      </c>
      <c r="BQ396">
        <v>0.66</v>
      </c>
      <c r="BT396">
        <v>0.33</v>
      </c>
      <c r="CR396">
        <f t="shared" si="58"/>
        <v>-199.54564325135811</v>
      </c>
      <c r="CS396">
        <f t="shared" si="59"/>
        <v>-195.05304310796961</v>
      </c>
      <c r="CT396">
        <f t="shared" si="60"/>
        <v>-103.4514283514654</v>
      </c>
      <c r="CU396" s="7">
        <f t="shared" si="61"/>
        <v>-166.01670490359771</v>
      </c>
      <c r="CV396" s="9">
        <f t="shared" si="63"/>
        <v>207.827</v>
      </c>
      <c r="CW396" t="str">
        <f t="shared" si="62"/>
        <v>ReB2</v>
      </c>
    </row>
    <row r="397" spans="1:101" ht="15.75" thickBot="1" x14ac:dyDescent="0.3">
      <c r="A397" t="s">
        <v>91</v>
      </c>
      <c r="B397" t="s">
        <v>895</v>
      </c>
      <c r="C397" t="s">
        <v>3144</v>
      </c>
      <c r="E397" t="s">
        <v>3145</v>
      </c>
      <c r="F397" t="s">
        <v>93</v>
      </c>
      <c r="G397" t="s">
        <v>896</v>
      </c>
      <c r="H397">
        <v>478.12540000000001</v>
      </c>
      <c r="I397">
        <v>356</v>
      </c>
      <c r="M397">
        <f t="shared" si="55"/>
        <v>0</v>
      </c>
      <c r="O397" t="s">
        <v>93</v>
      </c>
      <c r="P397" t="s">
        <v>93</v>
      </c>
      <c r="T397">
        <f t="shared" si="56"/>
        <v>0</v>
      </c>
      <c r="V397" t="s">
        <v>93</v>
      </c>
      <c r="W397" t="s">
        <v>93</v>
      </c>
      <c r="X397">
        <v>298</v>
      </c>
      <c r="Y397" t="s">
        <v>93</v>
      </c>
      <c r="Z397">
        <v>-78.8</v>
      </c>
      <c r="AA397" t="s">
        <v>95</v>
      </c>
      <c r="AB397">
        <f t="shared" si="57"/>
        <v>-164.810319635811</v>
      </c>
      <c r="AC397" t="s">
        <v>93</v>
      </c>
      <c r="AD397">
        <v>1.5</v>
      </c>
      <c r="AE397" t="s">
        <v>95</v>
      </c>
      <c r="AF397" t="s">
        <v>93</v>
      </c>
      <c r="AH397" t="s">
        <v>93</v>
      </c>
      <c r="AI397" t="s">
        <v>93</v>
      </c>
      <c r="AJ397" t="s">
        <v>93</v>
      </c>
      <c r="AK397" t="s">
        <v>93</v>
      </c>
      <c r="AZ397">
        <v>0.75</v>
      </c>
      <c r="BK397">
        <v>0.25</v>
      </c>
      <c r="CR397">
        <f t="shared" si="58"/>
        <v>0</v>
      </c>
      <c r="CS397">
        <f t="shared" si="59"/>
        <v>0</v>
      </c>
      <c r="CT397">
        <f t="shared" si="60"/>
        <v>-164.810319635811</v>
      </c>
      <c r="CU397" s="7">
        <f t="shared" si="61"/>
        <v>-164.810319635811</v>
      </c>
      <c r="CV397" s="9">
        <f t="shared" si="63"/>
        <v>478.12540000000001</v>
      </c>
      <c r="CW397" t="str">
        <f t="shared" si="62"/>
        <v>Pd3Tb</v>
      </c>
    </row>
    <row r="398" spans="1:101" ht="15.75" thickBot="1" x14ac:dyDescent="0.3">
      <c r="A398" t="s">
        <v>91</v>
      </c>
      <c r="B398" t="s">
        <v>93</v>
      </c>
      <c r="C398" t="s">
        <v>3144</v>
      </c>
      <c r="E398" t="s">
        <v>3145</v>
      </c>
      <c r="F398" t="s">
        <v>93</v>
      </c>
      <c r="G398" t="s">
        <v>1929</v>
      </c>
      <c r="H398">
        <v>605.22969999999998</v>
      </c>
      <c r="I398">
        <v>741</v>
      </c>
      <c r="M398">
        <f t="shared" si="55"/>
        <v>0</v>
      </c>
      <c r="O398" t="s">
        <v>93</v>
      </c>
      <c r="P398" t="s">
        <v>93</v>
      </c>
      <c r="T398">
        <f t="shared" si="56"/>
        <v>0</v>
      </c>
      <c r="V398" t="s">
        <v>93</v>
      </c>
      <c r="W398" t="s">
        <v>102</v>
      </c>
      <c r="X398">
        <v>298</v>
      </c>
      <c r="Y398" t="s">
        <v>103</v>
      </c>
      <c r="Z398">
        <v>-99.68</v>
      </c>
      <c r="AA398" t="s">
        <v>95</v>
      </c>
      <c r="AB398">
        <f t="shared" si="57"/>
        <v>-164.69779986011923</v>
      </c>
      <c r="AC398" t="s">
        <v>93</v>
      </c>
      <c r="AD398">
        <v>3.3</v>
      </c>
      <c r="AE398" t="s">
        <v>95</v>
      </c>
      <c r="AF398" t="s">
        <v>93</v>
      </c>
      <c r="AH398" t="s">
        <v>93</v>
      </c>
      <c r="AI398" t="s">
        <v>93</v>
      </c>
      <c r="AJ398" t="s">
        <v>93</v>
      </c>
      <c r="AK398" t="s">
        <v>93</v>
      </c>
      <c r="AR398">
        <v>0.5</v>
      </c>
      <c r="AS398">
        <v>0.1</v>
      </c>
      <c r="BF398">
        <v>0.4</v>
      </c>
      <c r="CR398">
        <f t="shared" si="58"/>
        <v>0</v>
      </c>
      <c r="CS398">
        <f t="shared" si="59"/>
        <v>0</v>
      </c>
      <c r="CT398">
        <f t="shared" si="60"/>
        <v>-164.69779986011923</v>
      </c>
      <c r="CU398" s="7">
        <f t="shared" si="61"/>
        <v>-164.69779986011923</v>
      </c>
      <c r="CV398" s="9">
        <f t="shared" si="63"/>
        <v>605.22969999999998</v>
      </c>
      <c r="CW398" t="str">
        <f t="shared" si="62"/>
        <v>Al5NiRh4</v>
      </c>
    </row>
    <row r="399" spans="1:101" ht="15.75" thickBot="1" x14ac:dyDescent="0.3">
      <c r="A399" t="s">
        <v>91</v>
      </c>
      <c r="B399" t="s">
        <v>93</v>
      </c>
      <c r="C399" t="s">
        <v>3144</v>
      </c>
      <c r="E399" t="s">
        <v>3145</v>
      </c>
      <c r="F399" t="s">
        <v>93</v>
      </c>
      <c r="G399" t="s">
        <v>347</v>
      </c>
      <c r="H399">
        <v>363.58308</v>
      </c>
      <c r="I399">
        <v>145</v>
      </c>
      <c r="M399">
        <f t="shared" si="55"/>
        <v>0</v>
      </c>
      <c r="O399" t="s">
        <v>93</v>
      </c>
      <c r="P399" t="s">
        <v>93</v>
      </c>
      <c r="T399">
        <f t="shared" si="56"/>
        <v>0</v>
      </c>
      <c r="V399" t="s">
        <v>93</v>
      </c>
      <c r="W399" t="s">
        <v>102</v>
      </c>
      <c r="X399">
        <v>298</v>
      </c>
      <c r="Y399" t="s">
        <v>103</v>
      </c>
      <c r="Z399">
        <v>-59.7</v>
      </c>
      <c r="AA399" t="s">
        <v>95</v>
      </c>
      <c r="AB399">
        <f t="shared" si="57"/>
        <v>-164.19906008827476</v>
      </c>
      <c r="AC399" t="s">
        <v>93</v>
      </c>
      <c r="AD399">
        <v>2.84</v>
      </c>
      <c r="AE399" t="s">
        <v>95</v>
      </c>
      <c r="AF399" t="s">
        <v>93</v>
      </c>
      <c r="AH399" t="s">
        <v>93</v>
      </c>
      <c r="AI399" t="s">
        <v>93</v>
      </c>
      <c r="AJ399" t="s">
        <v>93</v>
      </c>
      <c r="AK399" t="s">
        <v>93</v>
      </c>
      <c r="AR399">
        <v>0.4</v>
      </c>
      <c r="AS399">
        <v>0.4</v>
      </c>
      <c r="BB399">
        <v>0.2</v>
      </c>
      <c r="CR399">
        <f t="shared" si="58"/>
        <v>0</v>
      </c>
      <c r="CS399">
        <f t="shared" si="59"/>
        <v>0</v>
      </c>
      <c r="CT399">
        <f t="shared" si="60"/>
        <v>-164.19906008827476</v>
      </c>
      <c r="CU399" s="7">
        <f t="shared" si="61"/>
        <v>-164.19906008827476</v>
      </c>
      <c r="CV399" s="9">
        <f t="shared" si="63"/>
        <v>363.58308</v>
      </c>
      <c r="CW399" t="str">
        <f t="shared" si="62"/>
        <v>Al2IrNi2</v>
      </c>
    </row>
    <row r="400" spans="1:101" ht="15.75" thickBot="1" x14ac:dyDescent="0.3">
      <c r="A400" t="s">
        <v>91</v>
      </c>
      <c r="B400" t="s">
        <v>2677</v>
      </c>
      <c r="C400" t="s">
        <v>3144</v>
      </c>
      <c r="E400" t="s">
        <v>3145</v>
      </c>
      <c r="F400" t="s">
        <v>93</v>
      </c>
      <c r="G400" t="s">
        <v>2678</v>
      </c>
      <c r="H400">
        <v>461.01</v>
      </c>
      <c r="I400">
        <v>1094</v>
      </c>
      <c r="M400">
        <f t="shared" si="55"/>
        <v>0</v>
      </c>
      <c r="O400" t="s">
        <v>93</v>
      </c>
      <c r="P400" t="s">
        <v>93</v>
      </c>
      <c r="Q400">
        <v>2.3998111299999998</v>
      </c>
      <c r="R400" t="s">
        <v>95</v>
      </c>
      <c r="S400">
        <v>-71.450691269999993</v>
      </c>
      <c r="T400">
        <f t="shared" si="56"/>
        <v>-154.9872915338062</v>
      </c>
      <c r="U400" t="s">
        <v>95</v>
      </c>
      <c r="V400">
        <v>468834</v>
      </c>
      <c r="W400" t="s">
        <v>184</v>
      </c>
      <c r="X400">
        <v>298</v>
      </c>
      <c r="Y400" t="s">
        <v>185</v>
      </c>
      <c r="Z400">
        <v>-79.900000000000006</v>
      </c>
      <c r="AA400" t="s">
        <v>95</v>
      </c>
      <c r="AB400">
        <f t="shared" si="57"/>
        <v>-173.31511247044534</v>
      </c>
      <c r="AC400" t="s">
        <v>93</v>
      </c>
      <c r="AD400">
        <v>2.9</v>
      </c>
      <c r="AE400" t="s">
        <v>95</v>
      </c>
      <c r="AF400" t="s">
        <v>93</v>
      </c>
      <c r="AH400" t="s">
        <v>93</v>
      </c>
      <c r="AI400" t="s">
        <v>93</v>
      </c>
      <c r="AQ400">
        <v>0.25</v>
      </c>
      <c r="AZ400">
        <v>0.5</v>
      </c>
      <c r="BY400">
        <v>0.25</v>
      </c>
      <c r="CR400">
        <f t="shared" si="58"/>
        <v>0</v>
      </c>
      <c r="CS400">
        <f t="shared" si="59"/>
        <v>-154.9872915338062</v>
      </c>
      <c r="CT400">
        <f t="shared" si="60"/>
        <v>-173.31511247044534</v>
      </c>
      <c r="CU400" s="7">
        <f t="shared" si="61"/>
        <v>-164.15120200212579</v>
      </c>
      <c r="CV400" s="9">
        <f t="shared" si="63"/>
        <v>461.01</v>
      </c>
      <c r="CW400" t="str">
        <f t="shared" si="62"/>
        <v>Pd2HfGa</v>
      </c>
    </row>
    <row r="401" spans="1:101" ht="15.75" thickBot="1" x14ac:dyDescent="0.3">
      <c r="A401" t="s">
        <v>91</v>
      </c>
      <c r="B401" t="s">
        <v>1352</v>
      </c>
      <c r="C401" t="s">
        <v>3144</v>
      </c>
      <c r="E401" t="s">
        <v>3145</v>
      </c>
      <c r="F401" t="s">
        <v>93</v>
      </c>
      <c r="G401" t="s">
        <v>1353</v>
      </c>
      <c r="H401">
        <v>192.9562</v>
      </c>
      <c r="I401">
        <v>525</v>
      </c>
      <c r="M401">
        <f t="shared" si="55"/>
        <v>0</v>
      </c>
      <c r="O401" t="s">
        <v>93</v>
      </c>
      <c r="P401" t="s">
        <v>93</v>
      </c>
      <c r="T401">
        <f t="shared" si="56"/>
        <v>0</v>
      </c>
      <c r="V401" t="s">
        <v>93</v>
      </c>
      <c r="W401" t="s">
        <v>93</v>
      </c>
      <c r="X401">
        <v>298</v>
      </c>
      <c r="Y401" t="s">
        <v>93</v>
      </c>
      <c r="Z401">
        <v>-31.5</v>
      </c>
      <c r="AA401" t="s">
        <v>95</v>
      </c>
      <c r="AB401">
        <f t="shared" si="57"/>
        <v>-163.24948356155437</v>
      </c>
      <c r="AC401" t="s">
        <v>93</v>
      </c>
      <c r="AD401">
        <v>2.5</v>
      </c>
      <c r="AE401" t="s">
        <v>95</v>
      </c>
      <c r="AF401" t="s">
        <v>93</v>
      </c>
      <c r="AH401" t="s">
        <v>93</v>
      </c>
      <c r="AI401" t="s">
        <v>93</v>
      </c>
      <c r="AJ401" t="s">
        <v>93</v>
      </c>
      <c r="AK401" t="s">
        <v>93</v>
      </c>
      <c r="BO401">
        <v>0.33</v>
      </c>
      <c r="BU401">
        <v>0.66</v>
      </c>
      <c r="CR401">
        <f t="shared" si="58"/>
        <v>0</v>
      </c>
      <c r="CS401">
        <f t="shared" si="59"/>
        <v>0</v>
      </c>
      <c r="CT401">
        <f t="shared" si="60"/>
        <v>-163.24948356155437</v>
      </c>
      <c r="CU401" s="7">
        <f t="shared" si="61"/>
        <v>-163.24948356155437</v>
      </c>
      <c r="CV401" s="9">
        <f t="shared" si="63"/>
        <v>192.9562</v>
      </c>
      <c r="CW401" t="str">
        <f t="shared" si="62"/>
        <v>C2Tm</v>
      </c>
    </row>
    <row r="402" spans="1:101" ht="15.75" thickBot="1" x14ac:dyDescent="0.3">
      <c r="A402" t="s">
        <v>91</v>
      </c>
      <c r="B402" t="s">
        <v>1055</v>
      </c>
      <c r="C402" t="s">
        <v>3144</v>
      </c>
      <c r="E402" t="s">
        <v>3145</v>
      </c>
      <c r="F402" t="s">
        <v>93</v>
      </c>
      <c r="G402" t="s">
        <v>1056</v>
      </c>
      <c r="H402">
        <v>429.39589999999998</v>
      </c>
      <c r="I402">
        <v>421</v>
      </c>
      <c r="J402">
        <v>0.26118590000000003</v>
      </c>
      <c r="K402" t="s">
        <v>95</v>
      </c>
      <c r="L402">
        <v>-71.711024530000003</v>
      </c>
      <c r="M402">
        <f t="shared" si="55"/>
        <v>-167.00444631632487</v>
      </c>
      <c r="N402" t="s">
        <v>95</v>
      </c>
      <c r="O402" t="s">
        <v>1057</v>
      </c>
      <c r="P402" t="s">
        <v>93</v>
      </c>
      <c r="Q402">
        <v>0</v>
      </c>
      <c r="R402" t="s">
        <v>95</v>
      </c>
      <c r="S402">
        <v>-72.256760529999994</v>
      </c>
      <c r="T402">
        <f t="shared" si="56"/>
        <v>-168.27538532622225</v>
      </c>
      <c r="U402" t="s">
        <v>95</v>
      </c>
      <c r="V402">
        <v>17513</v>
      </c>
      <c r="W402" t="s">
        <v>159</v>
      </c>
      <c r="X402">
        <v>298</v>
      </c>
      <c r="Y402" t="s">
        <v>160</v>
      </c>
      <c r="Z402">
        <v>-66.3</v>
      </c>
      <c r="AA402" t="s">
        <v>95</v>
      </c>
      <c r="AB402">
        <f t="shared" si="57"/>
        <v>-154.40296472323092</v>
      </c>
      <c r="AC402" t="s">
        <v>93</v>
      </c>
      <c r="AD402">
        <v>1.3</v>
      </c>
      <c r="AE402" t="s">
        <v>95</v>
      </c>
      <c r="AF402" t="s">
        <v>93</v>
      </c>
      <c r="BB402">
        <v>0.66</v>
      </c>
      <c r="CR402">
        <f t="shared" si="58"/>
        <v>-167.00444631632487</v>
      </c>
      <c r="CS402">
        <f t="shared" si="59"/>
        <v>-168.27538532622225</v>
      </c>
      <c r="CT402">
        <f t="shared" si="60"/>
        <v>-154.40296472323092</v>
      </c>
      <c r="CU402" s="7">
        <f t="shared" si="61"/>
        <v>-163.2275987885927</v>
      </c>
      <c r="CV402" s="9">
        <f t="shared" si="63"/>
        <v>429.39589999999998</v>
      </c>
      <c r="CW402" t="str">
        <f t="shared" si="62"/>
        <v>ScIr2</v>
      </c>
    </row>
    <row r="403" spans="1:101" ht="15.75" thickBot="1" x14ac:dyDescent="0.3">
      <c r="A403" t="s">
        <v>91</v>
      </c>
      <c r="B403" t="s">
        <v>1991</v>
      </c>
      <c r="C403" t="s">
        <v>3144</v>
      </c>
      <c r="E403" t="s">
        <v>3145</v>
      </c>
      <c r="G403" t="s">
        <v>1992</v>
      </c>
      <c r="H403">
        <v>288.83999999999997</v>
      </c>
      <c r="I403">
        <v>777</v>
      </c>
      <c r="J403">
        <v>0</v>
      </c>
      <c r="K403" t="s">
        <v>95</v>
      </c>
      <c r="L403">
        <v>-47.125515219999997</v>
      </c>
      <c r="M403">
        <f t="shared" si="55"/>
        <v>-163.15439419747958</v>
      </c>
      <c r="N403" t="s">
        <v>95</v>
      </c>
      <c r="O403" t="s">
        <v>1993</v>
      </c>
      <c r="P403" t="s">
        <v>93</v>
      </c>
      <c r="Q403">
        <v>0</v>
      </c>
      <c r="R403" t="s">
        <v>95</v>
      </c>
      <c r="S403">
        <v>-47.085895749999999</v>
      </c>
      <c r="T403">
        <f t="shared" si="56"/>
        <v>-163.01722666528181</v>
      </c>
      <c r="U403" t="s">
        <v>95</v>
      </c>
      <c r="V403">
        <v>17990</v>
      </c>
      <c r="W403" t="s">
        <v>97</v>
      </c>
      <c r="X403">
        <v>1273</v>
      </c>
      <c r="Y403" t="s">
        <v>98</v>
      </c>
      <c r="AB403">
        <f t="shared" si="57"/>
        <v>0</v>
      </c>
      <c r="AC403" t="s">
        <v>93</v>
      </c>
      <c r="AD403">
        <v>5</v>
      </c>
      <c r="AE403" t="s">
        <v>95</v>
      </c>
      <c r="AF403" t="s">
        <v>93</v>
      </c>
      <c r="AP403">
        <v>0.67</v>
      </c>
      <c r="AZ403">
        <v>0.33</v>
      </c>
      <c r="CG403">
        <v>-48</v>
      </c>
      <c r="CH403" t="s">
        <v>95</v>
      </c>
      <c r="CI403" t="s">
        <v>93</v>
      </c>
      <c r="CR403">
        <f t="shared" si="58"/>
        <v>-163.15439419747958</v>
      </c>
      <c r="CS403">
        <f t="shared" si="59"/>
        <v>-163.01722666528181</v>
      </c>
      <c r="CT403">
        <f t="shared" si="60"/>
        <v>0</v>
      </c>
      <c r="CU403" s="7">
        <f t="shared" si="61"/>
        <v>-163.08581043138071</v>
      </c>
      <c r="CV403" s="9">
        <f t="shared" si="63"/>
        <v>288.83999999999997</v>
      </c>
      <c r="CW403" t="str">
        <f t="shared" si="62"/>
        <v>Zr2Pd</v>
      </c>
    </row>
    <row r="404" spans="1:101" ht="15.75" thickBot="1" x14ac:dyDescent="0.3">
      <c r="A404" t="s">
        <v>91</v>
      </c>
      <c r="B404" t="s">
        <v>448</v>
      </c>
      <c r="C404" t="s">
        <v>3144</v>
      </c>
      <c r="E404" t="s">
        <v>3145</v>
      </c>
      <c r="F404" t="s">
        <v>93</v>
      </c>
      <c r="G404" t="s">
        <v>449</v>
      </c>
      <c r="H404">
        <v>459.32</v>
      </c>
      <c r="I404">
        <v>183</v>
      </c>
      <c r="J404">
        <v>0</v>
      </c>
      <c r="K404" t="s">
        <v>95</v>
      </c>
      <c r="L404">
        <v>-81.338559230000001</v>
      </c>
      <c r="M404">
        <f t="shared" si="55"/>
        <v>-177.08473227815031</v>
      </c>
      <c r="N404" t="s">
        <v>95</v>
      </c>
      <c r="O404" t="s">
        <v>450</v>
      </c>
      <c r="P404" t="s">
        <v>93</v>
      </c>
      <c r="Q404">
        <v>0</v>
      </c>
      <c r="R404" t="s">
        <v>95</v>
      </c>
      <c r="S404">
        <v>-70.058697940000002</v>
      </c>
      <c r="T404">
        <f t="shared" si="56"/>
        <v>-152.52699194461377</v>
      </c>
      <c r="U404" t="s">
        <v>95</v>
      </c>
      <c r="V404">
        <v>18665</v>
      </c>
      <c r="W404" t="s">
        <v>194</v>
      </c>
      <c r="X404">
        <v>298</v>
      </c>
      <c r="Y404" t="s">
        <v>103</v>
      </c>
      <c r="Z404">
        <v>-73</v>
      </c>
      <c r="AA404" t="s">
        <v>95</v>
      </c>
      <c r="AB404">
        <f t="shared" si="57"/>
        <v>-158.93059305059654</v>
      </c>
      <c r="AC404" t="s">
        <v>93</v>
      </c>
      <c r="AD404">
        <v>3.8</v>
      </c>
      <c r="AE404" t="s">
        <v>95</v>
      </c>
      <c r="AF404" t="s">
        <v>93</v>
      </c>
      <c r="AM404">
        <v>0.25</v>
      </c>
      <c r="AZ404">
        <v>0.75</v>
      </c>
      <c r="CR404">
        <f t="shared" si="58"/>
        <v>-177.08473227815031</v>
      </c>
      <c r="CS404">
        <f t="shared" si="59"/>
        <v>-152.52699194461377</v>
      </c>
      <c r="CT404">
        <f t="shared" si="60"/>
        <v>-158.93059305059654</v>
      </c>
      <c r="CU404" s="7">
        <f t="shared" si="61"/>
        <v>-162.84743909112021</v>
      </c>
      <c r="CV404" s="9">
        <f t="shared" si="63"/>
        <v>459.32</v>
      </c>
      <c r="CW404" t="str">
        <f t="shared" si="62"/>
        <v>CePd3</v>
      </c>
    </row>
    <row r="405" spans="1:101" ht="15.75" thickBot="1" x14ac:dyDescent="0.3">
      <c r="A405" t="s">
        <v>484</v>
      </c>
      <c r="B405" t="s">
        <v>93</v>
      </c>
      <c r="C405" t="s">
        <v>3138</v>
      </c>
      <c r="D405" t="s">
        <v>3139</v>
      </c>
      <c r="F405" t="s">
        <v>3140</v>
      </c>
      <c r="G405" t="s">
        <v>603</v>
      </c>
      <c r="H405">
        <v>215.95</v>
      </c>
      <c r="I405">
        <v>951</v>
      </c>
      <c r="J405">
        <v>0</v>
      </c>
      <c r="K405" t="s">
        <v>95</v>
      </c>
      <c r="L405">
        <v>-38.418257689999997</v>
      </c>
      <c r="M405">
        <f t="shared" si="55"/>
        <v>-177.90348548275063</v>
      </c>
      <c r="N405" t="s">
        <v>95</v>
      </c>
      <c r="O405" t="s">
        <v>604</v>
      </c>
      <c r="P405" t="s">
        <v>93</v>
      </c>
      <c r="Q405">
        <v>0</v>
      </c>
      <c r="R405" t="s">
        <v>95</v>
      </c>
      <c r="S405">
        <v>-41.146908869999997</v>
      </c>
      <c r="T405">
        <f t="shared" si="56"/>
        <v>-190.53905473489232</v>
      </c>
      <c r="U405" t="s">
        <v>95</v>
      </c>
      <c r="V405">
        <v>31223</v>
      </c>
      <c r="W405" t="s">
        <v>430</v>
      </c>
      <c r="X405">
        <v>298</v>
      </c>
      <c r="Y405" t="s">
        <v>147</v>
      </c>
      <c r="Z405">
        <v>-25.8</v>
      </c>
      <c r="AA405" t="s">
        <v>95</v>
      </c>
      <c r="AB405">
        <f t="shared" si="57"/>
        <v>-119.47210002315352</v>
      </c>
      <c r="AC405" t="s">
        <v>93</v>
      </c>
      <c r="AD405">
        <v>1.8</v>
      </c>
      <c r="AE405" t="s">
        <v>95</v>
      </c>
      <c r="AF405" t="s">
        <v>93</v>
      </c>
      <c r="AS405">
        <v>0.48699999999999999</v>
      </c>
      <c r="BI405">
        <v>0.51300000000000001</v>
      </c>
      <c r="CR405">
        <f t="shared" si="58"/>
        <v>-177.90348548275063</v>
      </c>
      <c r="CS405">
        <f t="shared" si="59"/>
        <v>-190.53905473489232</v>
      </c>
      <c r="CT405">
        <f t="shared" si="60"/>
        <v>-119.47210002315352</v>
      </c>
      <c r="CU405" s="7">
        <f t="shared" si="61"/>
        <v>-162.63821341359883</v>
      </c>
      <c r="CV405" s="9">
        <f t="shared" si="63"/>
        <v>215.95</v>
      </c>
      <c r="CW405" t="str">
        <f t="shared" si="62"/>
        <v>GdNi</v>
      </c>
    </row>
    <row r="406" spans="1:101" ht="15.75" thickBot="1" x14ac:dyDescent="0.3">
      <c r="A406" t="s">
        <v>91</v>
      </c>
      <c r="B406" t="s">
        <v>2590</v>
      </c>
      <c r="C406" t="s">
        <v>3144</v>
      </c>
      <c r="E406" t="s">
        <v>3145</v>
      </c>
      <c r="F406" t="s">
        <v>93</v>
      </c>
      <c r="G406" t="s">
        <v>2591</v>
      </c>
      <c r="H406">
        <v>250.02799999999999</v>
      </c>
      <c r="I406">
        <v>1056</v>
      </c>
      <c r="J406">
        <v>0</v>
      </c>
      <c r="K406" t="s">
        <v>95</v>
      </c>
      <c r="L406">
        <v>-34.087850090000003</v>
      </c>
      <c r="M406">
        <f t="shared" si="55"/>
        <v>-136.33613071336012</v>
      </c>
      <c r="N406" t="s">
        <v>95</v>
      </c>
      <c r="O406" t="s">
        <v>2592</v>
      </c>
      <c r="P406" t="s">
        <v>93</v>
      </c>
      <c r="Q406">
        <v>0</v>
      </c>
      <c r="R406" t="s">
        <v>95</v>
      </c>
      <c r="S406">
        <v>-34.012576510000002</v>
      </c>
      <c r="T406">
        <f t="shared" si="56"/>
        <v>-136.03507011214745</v>
      </c>
      <c r="U406" t="s">
        <v>95</v>
      </c>
      <c r="V406">
        <v>668583</v>
      </c>
      <c r="W406" t="s">
        <v>2097</v>
      </c>
      <c r="X406">
        <v>298</v>
      </c>
      <c r="Y406" t="s">
        <v>1988</v>
      </c>
      <c r="Z406">
        <v>-53.6</v>
      </c>
      <c r="AA406" t="s">
        <v>95</v>
      </c>
      <c r="AB406">
        <f t="shared" si="57"/>
        <v>-214.37598988913243</v>
      </c>
      <c r="AC406" t="s">
        <v>93</v>
      </c>
      <c r="AD406">
        <v>1.5</v>
      </c>
      <c r="AE406" t="s">
        <v>95</v>
      </c>
      <c r="AF406" t="s">
        <v>93</v>
      </c>
      <c r="AY406">
        <v>0.5</v>
      </c>
      <c r="BR406">
        <v>0.5</v>
      </c>
      <c r="CR406">
        <f t="shared" si="58"/>
        <v>-136.33613071336012</v>
      </c>
      <c r="CS406">
        <f t="shared" si="59"/>
        <v>-136.03507011214745</v>
      </c>
      <c r="CT406">
        <f t="shared" si="60"/>
        <v>-214.37598988913243</v>
      </c>
      <c r="CU406" s="7">
        <f t="shared" si="61"/>
        <v>-162.24906357154666</v>
      </c>
      <c r="CV406" s="9">
        <f t="shared" si="63"/>
        <v>250.02799999999999</v>
      </c>
      <c r="CW406" t="str">
        <f t="shared" si="62"/>
        <v>MnPt</v>
      </c>
    </row>
    <row r="407" spans="1:101" ht="15.75" thickBot="1" x14ac:dyDescent="0.3">
      <c r="A407" t="s">
        <v>91</v>
      </c>
      <c r="B407" t="s">
        <v>2355</v>
      </c>
      <c r="C407" t="s">
        <v>3144</v>
      </c>
      <c r="E407" t="s">
        <v>3145</v>
      </c>
      <c r="F407" t="s">
        <v>93</v>
      </c>
      <c r="G407" t="s">
        <v>2356</v>
      </c>
      <c r="H407">
        <v>365.61</v>
      </c>
      <c r="I407">
        <v>957</v>
      </c>
      <c r="J407">
        <v>0</v>
      </c>
      <c r="K407" t="s">
        <v>95</v>
      </c>
      <c r="L407">
        <v>-53.850675709999997</v>
      </c>
      <c r="M407">
        <f t="shared" si="55"/>
        <v>-147.28994204206668</v>
      </c>
      <c r="N407" t="s">
        <v>95</v>
      </c>
      <c r="O407" t="s">
        <v>2357</v>
      </c>
      <c r="P407" t="s">
        <v>93</v>
      </c>
      <c r="Q407">
        <v>0.33741719999999997</v>
      </c>
      <c r="R407" t="s">
        <v>95</v>
      </c>
      <c r="S407">
        <v>-54.789529289999997</v>
      </c>
      <c r="T407">
        <f t="shared" si="56"/>
        <v>-149.85785205546892</v>
      </c>
      <c r="U407" t="s">
        <v>95</v>
      </c>
      <c r="V407">
        <v>30279</v>
      </c>
      <c r="W407" t="s">
        <v>184</v>
      </c>
      <c r="X407">
        <v>298</v>
      </c>
      <c r="Y407" t="s">
        <v>185</v>
      </c>
      <c r="Z407">
        <v>-69.3</v>
      </c>
      <c r="AA407" t="s">
        <v>95</v>
      </c>
      <c r="AB407">
        <f t="shared" si="57"/>
        <v>-189.54623779437105</v>
      </c>
      <c r="AC407" t="s">
        <v>93</v>
      </c>
      <c r="AD407">
        <v>3</v>
      </c>
      <c r="AE407" t="s">
        <v>95</v>
      </c>
      <c r="AF407" t="s">
        <v>93</v>
      </c>
      <c r="AQ407">
        <v>0.25</v>
      </c>
      <c r="AS407">
        <v>0.5</v>
      </c>
      <c r="BY407">
        <v>0.25</v>
      </c>
      <c r="CR407">
        <f t="shared" si="58"/>
        <v>-147.28994204206668</v>
      </c>
      <c r="CS407">
        <f t="shared" si="59"/>
        <v>-149.85785205546892</v>
      </c>
      <c r="CT407">
        <f t="shared" si="60"/>
        <v>-189.54623779437105</v>
      </c>
      <c r="CU407" s="7">
        <f t="shared" si="61"/>
        <v>-162.2313439639689</v>
      </c>
      <c r="CV407" s="9">
        <f t="shared" si="63"/>
        <v>365.61</v>
      </c>
      <c r="CW407" t="str">
        <f t="shared" si="62"/>
        <v>GaHfNi2</v>
      </c>
    </row>
    <row r="408" spans="1:101" ht="15.75" thickBot="1" x14ac:dyDescent="0.3">
      <c r="A408" t="s">
        <v>91</v>
      </c>
      <c r="B408" t="s">
        <v>808</v>
      </c>
      <c r="C408" t="s">
        <v>3144</v>
      </c>
      <c r="E408" t="s">
        <v>3145</v>
      </c>
      <c r="F408" t="s">
        <v>93</v>
      </c>
      <c r="G408" t="s">
        <v>809</v>
      </c>
      <c r="H408">
        <v>463.44</v>
      </c>
      <c r="I408">
        <v>324</v>
      </c>
      <c r="J408">
        <v>0</v>
      </c>
      <c r="K408" t="s">
        <v>95</v>
      </c>
      <c r="L408">
        <v>-75.876418720000004</v>
      </c>
      <c r="M408">
        <f t="shared" si="55"/>
        <v>-163.72436285171759</v>
      </c>
      <c r="N408" t="s">
        <v>95</v>
      </c>
      <c r="O408" t="s">
        <v>810</v>
      </c>
      <c r="P408" t="s">
        <v>93</v>
      </c>
      <c r="Q408">
        <v>0</v>
      </c>
      <c r="R408" t="s">
        <v>95</v>
      </c>
      <c r="S408">
        <v>-75.658444250000002</v>
      </c>
      <c r="T408">
        <f t="shared" si="56"/>
        <v>-163.25402263507684</v>
      </c>
      <c r="U408" t="s">
        <v>95</v>
      </c>
      <c r="V408">
        <v>17765</v>
      </c>
      <c r="W408" t="s">
        <v>194</v>
      </c>
      <c r="X408">
        <v>298</v>
      </c>
      <c r="Y408" t="s">
        <v>103</v>
      </c>
      <c r="Z408">
        <v>-73.3</v>
      </c>
      <c r="AA408" t="s">
        <v>95</v>
      </c>
      <c r="AB408">
        <f t="shared" si="57"/>
        <v>-158.16502675643017</v>
      </c>
      <c r="AC408" t="s">
        <v>93</v>
      </c>
      <c r="AD408">
        <v>2.2999999999999998</v>
      </c>
      <c r="AE408" t="s">
        <v>95</v>
      </c>
      <c r="AF408" t="s">
        <v>93</v>
      </c>
      <c r="AO408">
        <v>0.25</v>
      </c>
      <c r="AZ408">
        <v>0.75</v>
      </c>
      <c r="CR408">
        <f t="shared" si="58"/>
        <v>-163.72436285171759</v>
      </c>
      <c r="CS408">
        <f t="shared" si="59"/>
        <v>-163.25402263507684</v>
      </c>
      <c r="CT408">
        <f t="shared" si="60"/>
        <v>-158.16502675643017</v>
      </c>
      <c r="CU408" s="7">
        <f t="shared" si="61"/>
        <v>-161.71447074774153</v>
      </c>
      <c r="CV408" s="9">
        <f t="shared" si="63"/>
        <v>463.44</v>
      </c>
      <c r="CW408" t="str">
        <f t="shared" si="62"/>
        <v>NdPd3</v>
      </c>
    </row>
    <row r="409" spans="1:101" ht="15.75" thickBot="1" x14ac:dyDescent="0.3">
      <c r="A409" t="s">
        <v>91</v>
      </c>
      <c r="B409" t="s">
        <v>2686</v>
      </c>
      <c r="C409" t="s">
        <v>3144</v>
      </c>
      <c r="E409" t="s">
        <v>3145</v>
      </c>
      <c r="F409" t="s">
        <v>93</v>
      </c>
      <c r="G409" t="s">
        <v>2687</v>
      </c>
      <c r="H409">
        <v>337.457999999999</v>
      </c>
      <c r="I409">
        <v>1098</v>
      </c>
      <c r="M409">
        <f t="shared" si="55"/>
        <v>0</v>
      </c>
      <c r="O409" t="s">
        <v>93</v>
      </c>
      <c r="P409" t="s">
        <v>93</v>
      </c>
      <c r="T409">
        <f t="shared" si="56"/>
        <v>0</v>
      </c>
      <c r="V409" t="s">
        <v>93</v>
      </c>
      <c r="W409" t="s">
        <v>102</v>
      </c>
      <c r="X409">
        <v>298</v>
      </c>
      <c r="Y409" t="s">
        <v>103</v>
      </c>
      <c r="Z409">
        <v>-54.5</v>
      </c>
      <c r="AA409" t="s">
        <v>95</v>
      </c>
      <c r="AB409">
        <f t="shared" si="57"/>
        <v>-161.50157945581424</v>
      </c>
      <c r="AC409" t="s">
        <v>93</v>
      </c>
      <c r="AD409">
        <v>1.7</v>
      </c>
      <c r="AE409" t="s">
        <v>95</v>
      </c>
      <c r="AF409" t="s">
        <v>93</v>
      </c>
      <c r="AH409" t="s">
        <v>93</v>
      </c>
      <c r="AI409" t="s">
        <v>93</v>
      </c>
      <c r="AJ409" t="s">
        <v>93</v>
      </c>
      <c r="AK409" t="s">
        <v>93</v>
      </c>
      <c r="AZ409">
        <v>0.5</v>
      </c>
      <c r="BR409">
        <v>0.25</v>
      </c>
      <c r="BY409">
        <v>0.25</v>
      </c>
      <c r="CR409">
        <f t="shared" si="58"/>
        <v>0</v>
      </c>
      <c r="CS409">
        <f t="shared" si="59"/>
        <v>0</v>
      </c>
      <c r="CT409">
        <f t="shared" si="60"/>
        <v>-161.50157945581424</v>
      </c>
      <c r="CU409" s="7">
        <f t="shared" si="61"/>
        <v>-161.50157945581424</v>
      </c>
      <c r="CV409" s="9">
        <f t="shared" si="63"/>
        <v>337.457999999999</v>
      </c>
      <c r="CW409" t="str">
        <f t="shared" si="62"/>
        <v>Pd2MnGa</v>
      </c>
    </row>
    <row r="410" spans="1:101" ht="15.75" thickBot="1" x14ac:dyDescent="0.3">
      <c r="A410" t="s">
        <v>91</v>
      </c>
      <c r="B410" t="s">
        <v>1049</v>
      </c>
      <c r="C410" t="s">
        <v>3144</v>
      </c>
      <c r="E410" t="s">
        <v>3145</v>
      </c>
      <c r="F410" t="s">
        <v>93</v>
      </c>
      <c r="G410" t="s">
        <v>1050</v>
      </c>
      <c r="H410">
        <v>353.67239999999998</v>
      </c>
      <c r="I410">
        <v>419</v>
      </c>
      <c r="J410">
        <v>0</v>
      </c>
      <c r="K410" t="s">
        <v>95</v>
      </c>
      <c r="L410">
        <v>-59.146529489999999</v>
      </c>
      <c r="M410">
        <f t="shared" si="55"/>
        <v>-167.23535534579457</v>
      </c>
      <c r="N410" t="s">
        <v>95</v>
      </c>
      <c r="O410" t="s">
        <v>1051</v>
      </c>
      <c r="P410" t="s">
        <v>93</v>
      </c>
      <c r="Q410">
        <v>0</v>
      </c>
      <c r="R410" t="s">
        <v>95</v>
      </c>
      <c r="S410">
        <v>-59.368000790000004</v>
      </c>
      <c r="T410">
        <f t="shared" si="56"/>
        <v>-167.86155999167593</v>
      </c>
      <c r="U410" t="s">
        <v>95</v>
      </c>
      <c r="V410">
        <v>18055</v>
      </c>
      <c r="W410" t="s">
        <v>194</v>
      </c>
      <c r="X410">
        <v>298</v>
      </c>
      <c r="Y410" t="s">
        <v>103</v>
      </c>
      <c r="Z410">
        <v>-51.7</v>
      </c>
      <c r="AA410" t="s">
        <v>95</v>
      </c>
      <c r="AB410">
        <f t="shared" si="57"/>
        <v>-146.18047662186817</v>
      </c>
      <c r="AC410" t="s">
        <v>93</v>
      </c>
      <c r="AD410">
        <v>1.4</v>
      </c>
      <c r="AE410" t="s">
        <v>95</v>
      </c>
      <c r="AF410" t="s">
        <v>93</v>
      </c>
      <c r="BF410">
        <v>0.75</v>
      </c>
      <c r="CR410">
        <f t="shared" si="58"/>
        <v>-167.23535534579457</v>
      </c>
      <c r="CS410">
        <f t="shared" si="59"/>
        <v>-167.86155999167593</v>
      </c>
      <c r="CT410">
        <f t="shared" si="60"/>
        <v>-146.18047662186817</v>
      </c>
      <c r="CU410" s="7">
        <f t="shared" si="61"/>
        <v>-160.42579731977955</v>
      </c>
      <c r="CV410" s="9">
        <f t="shared" si="63"/>
        <v>353.67239999999998</v>
      </c>
      <c r="CW410" t="str">
        <f t="shared" si="62"/>
        <v>ScRh3</v>
      </c>
    </row>
    <row r="411" spans="1:101" ht="15.75" thickBot="1" x14ac:dyDescent="0.3">
      <c r="A411" t="s">
        <v>484</v>
      </c>
      <c r="B411" t="s">
        <v>1566</v>
      </c>
      <c r="C411" t="s">
        <v>3138</v>
      </c>
      <c r="D411" t="s">
        <v>3139</v>
      </c>
      <c r="F411" t="s">
        <v>3140</v>
      </c>
      <c r="G411" t="s">
        <v>1567</v>
      </c>
      <c r="H411">
        <v>418.26549999999997</v>
      </c>
      <c r="I411">
        <v>601</v>
      </c>
      <c r="J411">
        <v>0</v>
      </c>
      <c r="K411" t="s">
        <v>95</v>
      </c>
      <c r="L411">
        <v>-69.832088519999999</v>
      </c>
      <c r="M411">
        <f t="shared" si="55"/>
        <v>-166.95636747472599</v>
      </c>
      <c r="N411" t="s">
        <v>95</v>
      </c>
      <c r="O411" t="s">
        <v>1568</v>
      </c>
      <c r="P411" t="s">
        <v>93</v>
      </c>
      <c r="Q411">
        <v>0</v>
      </c>
      <c r="R411" t="s">
        <v>95</v>
      </c>
      <c r="S411">
        <v>-69.724343189999999</v>
      </c>
      <c r="T411">
        <f t="shared" si="56"/>
        <v>-166.69876714670468</v>
      </c>
      <c r="U411" t="s">
        <v>95</v>
      </c>
      <c r="V411">
        <v>14060</v>
      </c>
      <c r="W411" t="s">
        <v>97</v>
      </c>
      <c r="X411">
        <v>298</v>
      </c>
      <c r="Y411" t="s">
        <v>98</v>
      </c>
      <c r="Z411">
        <v>-61.7</v>
      </c>
      <c r="AA411" t="s">
        <v>95</v>
      </c>
      <c r="AB411">
        <f t="shared" si="57"/>
        <v>-147.51395943485659</v>
      </c>
      <c r="AC411" t="s">
        <v>93</v>
      </c>
      <c r="AD411">
        <v>2.2999999999999998</v>
      </c>
      <c r="AE411" t="s">
        <v>95</v>
      </c>
      <c r="AF411" t="s">
        <v>93</v>
      </c>
      <c r="AY411">
        <v>0.66</v>
      </c>
      <c r="BX411">
        <v>0.33</v>
      </c>
      <c r="CR411">
        <f t="shared" si="58"/>
        <v>-166.95636747472599</v>
      </c>
      <c r="CS411">
        <f t="shared" si="59"/>
        <v>-166.69876714670468</v>
      </c>
      <c r="CT411">
        <f t="shared" si="60"/>
        <v>-147.51395943485659</v>
      </c>
      <c r="CU411" s="7">
        <f t="shared" si="61"/>
        <v>-160.3896980187624</v>
      </c>
      <c r="CV411" s="9">
        <f t="shared" si="63"/>
        <v>418.26549999999997</v>
      </c>
      <c r="CW411" t="str">
        <f t="shared" si="62"/>
        <v>SiPt2</v>
      </c>
    </row>
    <row r="412" spans="1:101" ht="15.75" thickBot="1" x14ac:dyDescent="0.3">
      <c r="A412" t="s">
        <v>91</v>
      </c>
      <c r="B412" t="s">
        <v>216</v>
      </c>
      <c r="C412" t="s">
        <v>3144</v>
      </c>
      <c r="E412" t="s">
        <v>3145</v>
      </c>
      <c r="F412" t="s">
        <v>93</v>
      </c>
      <c r="G412" t="s">
        <v>217</v>
      </c>
      <c r="H412">
        <v>138.67554000000001</v>
      </c>
      <c r="I412">
        <v>48</v>
      </c>
      <c r="M412">
        <f t="shared" si="55"/>
        <v>0</v>
      </c>
      <c r="O412" t="s">
        <v>93</v>
      </c>
      <c r="P412" t="s">
        <v>93</v>
      </c>
      <c r="T412">
        <f t="shared" si="56"/>
        <v>0</v>
      </c>
      <c r="V412" t="s">
        <v>93</v>
      </c>
      <c r="W412" t="s">
        <v>102</v>
      </c>
      <c r="X412">
        <v>298</v>
      </c>
      <c r="Y412" t="s">
        <v>103</v>
      </c>
      <c r="Z412">
        <v>-22.2</v>
      </c>
      <c r="AA412" t="s">
        <v>95</v>
      </c>
      <c r="AB412">
        <f t="shared" si="57"/>
        <v>-160.08590988720866</v>
      </c>
      <c r="AC412" t="s">
        <v>93</v>
      </c>
      <c r="AD412">
        <v>0.9</v>
      </c>
      <c r="AE412" t="s">
        <v>95</v>
      </c>
      <c r="AF412" t="s">
        <v>93</v>
      </c>
      <c r="AH412" t="s">
        <v>93</v>
      </c>
      <c r="AI412" t="s">
        <v>93</v>
      </c>
      <c r="AJ412" t="s">
        <v>93</v>
      </c>
      <c r="AK412" t="s">
        <v>93</v>
      </c>
      <c r="AR412">
        <v>0.33</v>
      </c>
      <c r="AT412">
        <v>0.67</v>
      </c>
      <c r="CR412">
        <f t="shared" si="58"/>
        <v>0</v>
      </c>
      <c r="CS412">
        <f t="shared" si="59"/>
        <v>0</v>
      </c>
      <c r="CT412">
        <f t="shared" si="60"/>
        <v>-160.08590988720866</v>
      </c>
      <c r="CU412" s="7">
        <f t="shared" si="61"/>
        <v>-160.08590988720866</v>
      </c>
      <c r="CV412" s="9">
        <f t="shared" si="63"/>
        <v>138.67554000000001</v>
      </c>
      <c r="CW412" t="str">
        <f t="shared" si="62"/>
        <v>AlFe2</v>
      </c>
    </row>
    <row r="413" spans="1:101" ht="15.75" thickBot="1" x14ac:dyDescent="0.3">
      <c r="A413" t="s">
        <v>91</v>
      </c>
      <c r="B413" t="s">
        <v>2187</v>
      </c>
      <c r="C413" t="s">
        <v>3144</v>
      </c>
      <c r="E413" t="s">
        <v>3145</v>
      </c>
      <c r="F413" t="s">
        <v>93</v>
      </c>
      <c r="G413" t="s">
        <v>2029</v>
      </c>
      <c r="H413">
        <v>173.66</v>
      </c>
      <c r="I413">
        <v>870</v>
      </c>
      <c r="M413">
        <f t="shared" si="55"/>
        <v>0</v>
      </c>
      <c r="O413" t="s">
        <v>93</v>
      </c>
      <c r="P413" t="s">
        <v>93</v>
      </c>
      <c r="Q413">
        <v>1.1389592799999999</v>
      </c>
      <c r="R413" t="s">
        <v>95</v>
      </c>
      <c r="S413">
        <v>-26.89034977</v>
      </c>
      <c r="T413">
        <f t="shared" si="56"/>
        <v>-154.84481037659796</v>
      </c>
      <c r="U413" t="s">
        <v>95</v>
      </c>
      <c r="V413">
        <v>683580</v>
      </c>
      <c r="W413" t="s">
        <v>391</v>
      </c>
      <c r="X413">
        <v>298</v>
      </c>
      <c r="Y413" t="s">
        <v>1108</v>
      </c>
      <c r="Z413">
        <v>-28.5</v>
      </c>
      <c r="AA413" t="s">
        <v>95</v>
      </c>
      <c r="AB413">
        <f t="shared" si="57"/>
        <v>-164.11378555798689</v>
      </c>
      <c r="AC413" t="s">
        <v>93</v>
      </c>
      <c r="AD413">
        <v>0.7</v>
      </c>
      <c r="AE413" t="s">
        <v>95</v>
      </c>
      <c r="AF413" t="s">
        <v>93</v>
      </c>
      <c r="AH413" t="s">
        <v>93</v>
      </c>
      <c r="AI413" t="s">
        <v>93</v>
      </c>
      <c r="AV413">
        <v>0.5</v>
      </c>
      <c r="CA413">
        <v>0.5</v>
      </c>
      <c r="CR413">
        <f t="shared" si="58"/>
        <v>0</v>
      </c>
      <c r="CS413">
        <f t="shared" si="59"/>
        <v>-154.84481037659796</v>
      </c>
      <c r="CT413">
        <f t="shared" si="60"/>
        <v>-164.11378555798689</v>
      </c>
      <c r="CU413" s="7">
        <f t="shared" si="61"/>
        <v>-159.47929796729244</v>
      </c>
      <c r="CV413" s="9">
        <f t="shared" si="63"/>
        <v>173.66</v>
      </c>
      <c r="CW413" t="str">
        <f t="shared" si="62"/>
        <v>GeRu</v>
      </c>
    </row>
    <row r="414" spans="1:101" ht="15.75" thickBot="1" x14ac:dyDescent="0.3">
      <c r="A414" t="s">
        <v>91</v>
      </c>
      <c r="B414" t="s">
        <v>93</v>
      </c>
      <c r="C414" t="s">
        <v>3144</v>
      </c>
      <c r="E414" t="s">
        <v>3145</v>
      </c>
      <c r="F414" t="s">
        <v>93</v>
      </c>
      <c r="G414" t="s">
        <v>2747</v>
      </c>
      <c r="H414">
        <v>368.73</v>
      </c>
      <c r="I414">
        <v>1123</v>
      </c>
      <c r="J414">
        <v>0</v>
      </c>
      <c r="K414" t="s">
        <v>95</v>
      </c>
      <c r="L414">
        <v>-56.360378189999999</v>
      </c>
      <c r="M414">
        <f t="shared" si="55"/>
        <v>-152.84999373525341</v>
      </c>
      <c r="N414" t="s">
        <v>95</v>
      </c>
      <c r="O414" t="s">
        <v>2748</v>
      </c>
      <c r="P414" t="s">
        <v>93</v>
      </c>
      <c r="Q414">
        <v>6.1268199999999998E-3</v>
      </c>
      <c r="R414" t="s">
        <v>95</v>
      </c>
      <c r="S414">
        <v>-59.02024085</v>
      </c>
      <c r="T414">
        <f t="shared" si="56"/>
        <v>-160.06357185474465</v>
      </c>
      <c r="U414" t="s">
        <v>95</v>
      </c>
      <c r="V414">
        <v>503388</v>
      </c>
      <c r="W414" t="s">
        <v>184</v>
      </c>
      <c r="X414">
        <v>298</v>
      </c>
      <c r="Y414" t="s">
        <v>185</v>
      </c>
      <c r="Z414">
        <v>-60.6</v>
      </c>
      <c r="AA414" t="s">
        <v>95</v>
      </c>
      <c r="AB414">
        <f t="shared" si="57"/>
        <v>-164.34789683508257</v>
      </c>
      <c r="AC414" t="s">
        <v>93</v>
      </c>
      <c r="AD414">
        <v>1.8</v>
      </c>
      <c r="AE414" t="s">
        <v>95</v>
      </c>
      <c r="AF414" t="s">
        <v>93</v>
      </c>
      <c r="AV414">
        <v>0.5</v>
      </c>
      <c r="BA414">
        <v>0.25</v>
      </c>
      <c r="CF414">
        <v>0.25</v>
      </c>
      <c r="CR414">
        <f t="shared" si="58"/>
        <v>-152.84999373525341</v>
      </c>
      <c r="CS414">
        <f t="shared" si="59"/>
        <v>-160.06357185474465</v>
      </c>
      <c r="CT414">
        <f t="shared" si="60"/>
        <v>-164.34789683508257</v>
      </c>
      <c r="CU414" s="7">
        <f t="shared" si="61"/>
        <v>-159.08715414169353</v>
      </c>
      <c r="CV414" s="9">
        <f t="shared" si="63"/>
        <v>368.73</v>
      </c>
      <c r="CW414" t="str">
        <f t="shared" si="62"/>
        <v>TiSnRu2</v>
      </c>
    </row>
    <row r="415" spans="1:101" ht="15.75" thickBot="1" x14ac:dyDescent="0.3">
      <c r="A415" t="s">
        <v>91</v>
      </c>
      <c r="B415" t="s">
        <v>2846</v>
      </c>
      <c r="C415" t="s">
        <v>3144</v>
      </c>
      <c r="E415" t="s">
        <v>3145</v>
      </c>
      <c r="F415" t="s">
        <v>93</v>
      </c>
      <c r="G415" t="s">
        <v>2847</v>
      </c>
      <c r="H415">
        <v>283.99</v>
      </c>
      <c r="I415">
        <v>1166</v>
      </c>
      <c r="J415">
        <v>3.2265822800000001</v>
      </c>
      <c r="K415" t="s">
        <v>95</v>
      </c>
      <c r="L415">
        <v>-41.80627329</v>
      </c>
      <c r="M415">
        <f t="shared" si="55"/>
        <v>-147.21037110461634</v>
      </c>
      <c r="N415" t="s">
        <v>95</v>
      </c>
      <c r="O415" t="s">
        <v>2848</v>
      </c>
      <c r="P415" t="s">
        <v>93</v>
      </c>
      <c r="Q415">
        <v>2.83304914</v>
      </c>
      <c r="R415" t="s">
        <v>95</v>
      </c>
      <c r="S415">
        <v>-46.217618450000003</v>
      </c>
      <c r="T415">
        <f t="shared" si="56"/>
        <v>-162.743823550125</v>
      </c>
      <c r="U415" t="s">
        <v>95</v>
      </c>
      <c r="V415">
        <v>17816</v>
      </c>
      <c r="W415" t="s">
        <v>184</v>
      </c>
      <c r="X415">
        <v>298</v>
      </c>
      <c r="Y415" t="s">
        <v>185</v>
      </c>
      <c r="Z415">
        <v>-46.8</v>
      </c>
      <c r="AA415" t="s">
        <v>95</v>
      </c>
      <c r="AB415">
        <f t="shared" si="57"/>
        <v>-164.79453501883867</v>
      </c>
      <c r="AC415" t="s">
        <v>93</v>
      </c>
      <c r="AD415">
        <v>2</v>
      </c>
      <c r="AE415" t="s">
        <v>95</v>
      </c>
      <c r="AF415" t="s">
        <v>93</v>
      </c>
      <c r="AS415">
        <v>0.5</v>
      </c>
      <c r="BA415">
        <v>0.25</v>
      </c>
      <c r="CF415">
        <v>0.25</v>
      </c>
      <c r="CR415">
        <f t="shared" si="58"/>
        <v>-147.21037110461634</v>
      </c>
      <c r="CS415">
        <f t="shared" si="59"/>
        <v>-162.743823550125</v>
      </c>
      <c r="CT415">
        <f t="shared" si="60"/>
        <v>-164.79453501883867</v>
      </c>
      <c r="CU415" s="7">
        <f t="shared" si="61"/>
        <v>-158.24957655786</v>
      </c>
      <c r="CV415" s="9">
        <f t="shared" si="63"/>
        <v>283.99</v>
      </c>
      <c r="CW415" t="str">
        <f t="shared" si="62"/>
        <v>TiNi2Sn</v>
      </c>
    </row>
    <row r="416" spans="1:101" ht="15.75" thickBot="1" x14ac:dyDescent="0.3">
      <c r="A416" t="s">
        <v>91</v>
      </c>
      <c r="B416" t="s">
        <v>553</v>
      </c>
      <c r="C416" t="s">
        <v>3144</v>
      </c>
      <c r="E416" t="s">
        <v>3145</v>
      </c>
      <c r="F416" t="s">
        <v>93</v>
      </c>
      <c r="G416" t="s">
        <v>554</v>
      </c>
      <c r="H416">
        <v>481.7</v>
      </c>
      <c r="I416">
        <v>226</v>
      </c>
      <c r="M416">
        <f t="shared" si="55"/>
        <v>0</v>
      </c>
      <c r="O416" t="s">
        <v>93</v>
      </c>
      <c r="P416" t="s">
        <v>93</v>
      </c>
      <c r="T416">
        <f t="shared" si="56"/>
        <v>0</v>
      </c>
      <c r="V416" t="s">
        <v>93</v>
      </c>
      <c r="W416" t="s">
        <v>93</v>
      </c>
      <c r="X416">
        <v>298</v>
      </c>
      <c r="Y416" t="s">
        <v>93</v>
      </c>
      <c r="Z416">
        <v>-76.2</v>
      </c>
      <c r="AA416" t="s">
        <v>95</v>
      </c>
      <c r="AB416">
        <f t="shared" si="57"/>
        <v>-158.18974465434917</v>
      </c>
      <c r="AC416" t="s">
        <v>93</v>
      </c>
      <c r="AD416">
        <v>1.5</v>
      </c>
      <c r="AE416" t="s">
        <v>95</v>
      </c>
      <c r="AF416" t="s">
        <v>93</v>
      </c>
      <c r="AH416" t="s">
        <v>93</v>
      </c>
      <c r="AI416" t="s">
        <v>93</v>
      </c>
      <c r="AJ416" t="s">
        <v>93</v>
      </c>
      <c r="AK416" t="s">
        <v>93</v>
      </c>
      <c r="AZ416">
        <v>0.75</v>
      </c>
      <c r="BG416">
        <v>0.25</v>
      </c>
      <c r="CR416">
        <f t="shared" si="58"/>
        <v>0</v>
      </c>
      <c r="CS416">
        <f t="shared" si="59"/>
        <v>0</v>
      </c>
      <c r="CT416">
        <f t="shared" si="60"/>
        <v>-158.18974465434917</v>
      </c>
      <c r="CU416" s="7">
        <f t="shared" si="61"/>
        <v>-158.18974465434917</v>
      </c>
      <c r="CV416" s="9">
        <f t="shared" si="63"/>
        <v>481.7</v>
      </c>
      <c r="CW416" t="str">
        <f t="shared" si="62"/>
        <v>DyPd3</v>
      </c>
    </row>
    <row r="417" spans="1:101" ht="15.75" thickBot="1" x14ac:dyDescent="0.3">
      <c r="A417" t="s">
        <v>91</v>
      </c>
      <c r="B417" t="s">
        <v>2731</v>
      </c>
      <c r="C417" t="s">
        <v>3144</v>
      </c>
      <c r="E417" t="s">
        <v>3145</v>
      </c>
      <c r="F417" t="s">
        <v>93</v>
      </c>
      <c r="G417" t="s">
        <v>2732</v>
      </c>
      <c r="H417">
        <v>285.1635</v>
      </c>
      <c r="I417">
        <v>1117</v>
      </c>
      <c r="J417">
        <v>0</v>
      </c>
      <c r="K417" t="s">
        <v>95</v>
      </c>
      <c r="L417">
        <v>-44.5083585</v>
      </c>
      <c r="M417">
        <f t="shared" si="55"/>
        <v>-156.0801382364854</v>
      </c>
      <c r="N417" t="s">
        <v>95</v>
      </c>
      <c r="O417" t="s">
        <v>2733</v>
      </c>
      <c r="P417" t="s">
        <v>93</v>
      </c>
      <c r="Q417">
        <v>0</v>
      </c>
      <c r="R417" t="s">
        <v>95</v>
      </c>
      <c r="S417">
        <v>-44.817265740000003</v>
      </c>
      <c r="T417">
        <f t="shared" si="56"/>
        <v>-157.16340183789302</v>
      </c>
      <c r="U417" t="s">
        <v>95</v>
      </c>
      <c r="V417">
        <v>502597</v>
      </c>
      <c r="W417" t="s">
        <v>184</v>
      </c>
      <c r="X417">
        <v>298</v>
      </c>
      <c r="Y417" t="s">
        <v>185</v>
      </c>
      <c r="Z417">
        <v>-46</v>
      </c>
      <c r="AA417" t="s">
        <v>95</v>
      </c>
      <c r="AB417">
        <f t="shared" si="57"/>
        <v>-161.31096721705268</v>
      </c>
      <c r="AC417" t="s">
        <v>93</v>
      </c>
      <c r="AD417">
        <v>2.6</v>
      </c>
      <c r="AE417" t="s">
        <v>95</v>
      </c>
      <c r="AF417" t="s">
        <v>93</v>
      </c>
      <c r="AV417">
        <v>0.5</v>
      </c>
      <c r="BR417">
        <v>0.25</v>
      </c>
      <c r="BX417">
        <v>0.25</v>
      </c>
      <c r="CR417">
        <f t="shared" si="58"/>
        <v>-156.0801382364854</v>
      </c>
      <c r="CS417">
        <f t="shared" si="59"/>
        <v>-157.16340183789302</v>
      </c>
      <c r="CT417">
        <f t="shared" si="60"/>
        <v>-161.31096721705268</v>
      </c>
      <c r="CU417" s="7">
        <f t="shared" si="61"/>
        <v>-158.18483576381036</v>
      </c>
      <c r="CV417" s="9">
        <f t="shared" si="63"/>
        <v>285.1635</v>
      </c>
      <c r="CW417" t="str">
        <f t="shared" si="62"/>
        <v>MnSiRu2</v>
      </c>
    </row>
    <row r="418" spans="1:101" ht="15.75" thickBot="1" x14ac:dyDescent="0.3">
      <c r="A418" t="s">
        <v>91</v>
      </c>
      <c r="B418" t="s">
        <v>1061</v>
      </c>
      <c r="C418" t="s">
        <v>3144</v>
      </c>
      <c r="E418" t="s">
        <v>3145</v>
      </c>
      <c r="F418" t="s">
        <v>93</v>
      </c>
      <c r="G418" t="s">
        <v>1062</v>
      </c>
      <c r="H418">
        <v>630.22590000000002</v>
      </c>
      <c r="I418">
        <v>423</v>
      </c>
      <c r="J418">
        <v>0</v>
      </c>
      <c r="K418" t="s">
        <v>95</v>
      </c>
      <c r="L418">
        <v>-101.6263436</v>
      </c>
      <c r="M418">
        <f t="shared" si="55"/>
        <v>-161.25383548978229</v>
      </c>
      <c r="N418" t="s">
        <v>95</v>
      </c>
      <c r="O418" t="s">
        <v>1063</v>
      </c>
      <c r="P418" t="s">
        <v>93</v>
      </c>
      <c r="Q418">
        <v>0</v>
      </c>
      <c r="R418" t="s">
        <v>95</v>
      </c>
      <c r="S418">
        <v>-100.9915962</v>
      </c>
      <c r="T418">
        <f t="shared" si="56"/>
        <v>-160.24666107819434</v>
      </c>
      <c r="U418" t="s">
        <v>95</v>
      </c>
      <c r="V418">
        <v>17997</v>
      </c>
      <c r="W418" t="s">
        <v>194</v>
      </c>
      <c r="X418">
        <v>298</v>
      </c>
      <c r="Y418" t="s">
        <v>103</v>
      </c>
      <c r="Z418">
        <v>-94.6</v>
      </c>
      <c r="AA418" t="s">
        <v>95</v>
      </c>
      <c r="AB418">
        <f t="shared" si="57"/>
        <v>-150.10490682785328</v>
      </c>
      <c r="AC418" t="s">
        <v>93</v>
      </c>
      <c r="AD418">
        <v>2</v>
      </c>
      <c r="AE418" t="s">
        <v>95</v>
      </c>
      <c r="AF418" t="s">
        <v>93</v>
      </c>
      <c r="AY418">
        <v>0.75</v>
      </c>
      <c r="CR418">
        <f t="shared" si="58"/>
        <v>-161.25383548978229</v>
      </c>
      <c r="CS418">
        <f t="shared" si="59"/>
        <v>-160.24666107819434</v>
      </c>
      <c r="CT418">
        <f t="shared" si="60"/>
        <v>-150.10490682785328</v>
      </c>
      <c r="CU418" s="7">
        <f t="shared" si="61"/>
        <v>-157.20180113194328</v>
      </c>
      <c r="CV418" s="9">
        <f t="shared" si="63"/>
        <v>630.22590000000002</v>
      </c>
      <c r="CW418" t="str">
        <f t="shared" si="62"/>
        <v>ScPt3</v>
      </c>
    </row>
    <row r="419" spans="1:101" ht="15.75" thickBot="1" x14ac:dyDescent="0.3">
      <c r="A419" t="s">
        <v>91</v>
      </c>
      <c r="B419" t="s">
        <v>93</v>
      </c>
      <c r="C419" t="s">
        <v>3144</v>
      </c>
      <c r="E419" t="s">
        <v>3145</v>
      </c>
      <c r="F419" t="s">
        <v>93</v>
      </c>
      <c r="G419" t="s">
        <v>1926</v>
      </c>
      <c r="H419">
        <v>472.61320000000001</v>
      </c>
      <c r="I419">
        <v>738</v>
      </c>
      <c r="M419">
        <f t="shared" si="55"/>
        <v>0</v>
      </c>
      <c r="O419" t="s">
        <v>93</v>
      </c>
      <c r="P419" t="s">
        <v>93</v>
      </c>
      <c r="T419">
        <f t="shared" si="56"/>
        <v>0</v>
      </c>
      <c r="V419" t="s">
        <v>93</v>
      </c>
      <c r="W419" t="s">
        <v>102</v>
      </c>
      <c r="X419">
        <v>298</v>
      </c>
      <c r="Y419" t="s">
        <v>103</v>
      </c>
      <c r="Z419">
        <v>-74.14</v>
      </c>
      <c r="AA419" t="s">
        <v>95</v>
      </c>
      <c r="AB419">
        <f t="shared" si="57"/>
        <v>-156.87246991831796</v>
      </c>
      <c r="AC419" t="s">
        <v>93</v>
      </c>
      <c r="AD419">
        <v>3.29</v>
      </c>
      <c r="AE419" t="s">
        <v>95</v>
      </c>
      <c r="AF419" t="s">
        <v>93</v>
      </c>
      <c r="AH419" t="s">
        <v>93</v>
      </c>
      <c r="AI419" t="s">
        <v>93</v>
      </c>
      <c r="AJ419" t="s">
        <v>93</v>
      </c>
      <c r="AK419" t="s">
        <v>93</v>
      </c>
      <c r="AR419">
        <v>0.5</v>
      </c>
      <c r="AS419">
        <v>0.4</v>
      </c>
      <c r="BF419">
        <v>0.1</v>
      </c>
      <c r="CR419">
        <f t="shared" si="58"/>
        <v>0</v>
      </c>
      <c r="CS419">
        <f t="shared" si="59"/>
        <v>0</v>
      </c>
      <c r="CT419">
        <f t="shared" si="60"/>
        <v>-156.87246991831796</v>
      </c>
      <c r="CU419" s="7">
        <f t="shared" si="61"/>
        <v>-156.87246991831796</v>
      </c>
      <c r="CV419" s="9">
        <f t="shared" si="63"/>
        <v>472.61320000000001</v>
      </c>
      <c r="CW419" t="str">
        <f t="shared" si="62"/>
        <v>Al5Ni4Rh</v>
      </c>
    </row>
    <row r="420" spans="1:101" ht="15.75" thickBot="1" x14ac:dyDescent="0.3">
      <c r="A420" t="s">
        <v>91</v>
      </c>
      <c r="B420" t="s">
        <v>93</v>
      </c>
      <c r="C420" t="s">
        <v>3144</v>
      </c>
      <c r="E420" t="s">
        <v>3145</v>
      </c>
      <c r="F420" t="s">
        <v>93</v>
      </c>
      <c r="G420" t="s">
        <v>2278</v>
      </c>
      <c r="H420">
        <v>227.00307999999899</v>
      </c>
      <c r="I420">
        <v>911</v>
      </c>
      <c r="J420">
        <v>0</v>
      </c>
      <c r="K420" t="s">
        <v>95</v>
      </c>
      <c r="L420">
        <v>-33.42032012</v>
      </c>
      <c r="M420">
        <f t="shared" si="55"/>
        <v>-147.22408224593318</v>
      </c>
      <c r="N420" t="s">
        <v>95</v>
      </c>
      <c r="O420" t="s">
        <v>2279</v>
      </c>
      <c r="P420" t="s">
        <v>93</v>
      </c>
      <c r="Q420">
        <v>0</v>
      </c>
      <c r="R420" t="s">
        <v>95</v>
      </c>
      <c r="S420">
        <v>-33.904997139999999</v>
      </c>
      <c r="T420">
        <f t="shared" si="56"/>
        <v>-149.35919433339913</v>
      </c>
      <c r="U420" t="s">
        <v>95</v>
      </c>
      <c r="V420">
        <v>10617</v>
      </c>
      <c r="W420" t="s">
        <v>159</v>
      </c>
      <c r="X420">
        <v>300</v>
      </c>
      <c r="Y420" t="s">
        <v>160</v>
      </c>
      <c r="Z420">
        <v>-39.5</v>
      </c>
      <c r="AA420" t="s">
        <v>95</v>
      </c>
      <c r="AB420">
        <f t="shared" si="57"/>
        <v>-174.00644960412069</v>
      </c>
      <c r="AF420" t="s">
        <v>93</v>
      </c>
      <c r="AR420">
        <v>0.66</v>
      </c>
      <c r="CC420">
        <v>2</v>
      </c>
      <c r="CD420" t="s">
        <v>95</v>
      </c>
      <c r="CE420" t="s">
        <v>93</v>
      </c>
      <c r="CL420">
        <v>0.33</v>
      </c>
      <c r="CR420">
        <f t="shared" si="58"/>
        <v>-147.22408224593318</v>
      </c>
      <c r="CS420">
        <f t="shared" si="59"/>
        <v>-149.35919433339913</v>
      </c>
      <c r="CT420">
        <f t="shared" si="60"/>
        <v>-174.00644960412069</v>
      </c>
      <c r="CU420" s="7">
        <f t="shared" si="61"/>
        <v>-156.863242061151</v>
      </c>
      <c r="CV420" s="9">
        <f t="shared" si="63"/>
        <v>227.00307999999899</v>
      </c>
      <c r="CW420" t="str">
        <f t="shared" si="62"/>
        <v>YbAl2</v>
      </c>
    </row>
    <row r="421" spans="1:101" ht="15.75" thickBot="1" x14ac:dyDescent="0.3">
      <c r="A421" t="s">
        <v>91</v>
      </c>
      <c r="B421" t="s">
        <v>195</v>
      </c>
      <c r="C421" t="s">
        <v>3144</v>
      </c>
      <c r="E421" t="s">
        <v>3145</v>
      </c>
      <c r="F421" t="s">
        <v>93</v>
      </c>
      <c r="G421" t="s">
        <v>2824</v>
      </c>
      <c r="H421">
        <v>197.37554</v>
      </c>
      <c r="I421">
        <v>1154</v>
      </c>
      <c r="M421">
        <f t="shared" si="55"/>
        <v>0</v>
      </c>
      <c r="O421" t="s">
        <v>93</v>
      </c>
      <c r="P421" t="s">
        <v>93</v>
      </c>
      <c r="T421">
        <f t="shared" si="56"/>
        <v>0</v>
      </c>
      <c r="V421" t="s">
        <v>93</v>
      </c>
      <c r="W421" t="s">
        <v>102</v>
      </c>
      <c r="X421">
        <v>298</v>
      </c>
      <c r="Y421" t="s">
        <v>103</v>
      </c>
      <c r="Z421">
        <v>-30.9</v>
      </c>
      <c r="AA421" t="s">
        <v>95</v>
      </c>
      <c r="AB421">
        <f t="shared" si="57"/>
        <v>-156.55435318885003</v>
      </c>
      <c r="AC421" t="s">
        <v>93</v>
      </c>
      <c r="AD421">
        <v>2.4</v>
      </c>
      <c r="AE421" t="s">
        <v>95</v>
      </c>
      <c r="AF421" t="s">
        <v>93</v>
      </c>
      <c r="AH421" t="s">
        <v>93</v>
      </c>
      <c r="AI421" t="s">
        <v>93</v>
      </c>
      <c r="AJ421" t="s">
        <v>93</v>
      </c>
      <c r="AK421" t="s">
        <v>93</v>
      </c>
      <c r="AR421">
        <v>0.25</v>
      </c>
      <c r="AS421">
        <v>0.25</v>
      </c>
      <c r="AT421">
        <v>0.5</v>
      </c>
      <c r="CR421">
        <f t="shared" si="58"/>
        <v>0</v>
      </c>
      <c r="CS421">
        <f t="shared" si="59"/>
        <v>0</v>
      </c>
      <c r="CT421">
        <f t="shared" si="60"/>
        <v>-156.55435318885003</v>
      </c>
      <c r="CU421" s="7">
        <f t="shared" si="61"/>
        <v>-156.55435318885003</v>
      </c>
      <c r="CV421" s="9">
        <f t="shared" si="63"/>
        <v>197.37554</v>
      </c>
      <c r="CW421" t="str">
        <f t="shared" si="62"/>
        <v>Fe2NiAl</v>
      </c>
    </row>
    <row r="422" spans="1:101" ht="15.75" thickBot="1" x14ac:dyDescent="0.3">
      <c r="A422" t="s">
        <v>91</v>
      </c>
      <c r="B422" t="s">
        <v>108</v>
      </c>
      <c r="C422" t="s">
        <v>3144</v>
      </c>
      <c r="E422" t="s">
        <v>3145</v>
      </c>
      <c r="F422" t="s">
        <v>93</v>
      </c>
      <c r="G422" t="s">
        <v>109</v>
      </c>
      <c r="H422">
        <v>196.7739</v>
      </c>
      <c r="I422">
        <v>4</v>
      </c>
      <c r="J422">
        <v>0</v>
      </c>
      <c r="K422" t="s">
        <v>95</v>
      </c>
      <c r="L422">
        <v>-32.45950406</v>
      </c>
      <c r="M422">
        <f t="shared" si="55"/>
        <v>-164.95838147233957</v>
      </c>
      <c r="N422" t="s">
        <v>95</v>
      </c>
      <c r="O422" t="s">
        <v>110</v>
      </c>
      <c r="P422" t="s">
        <v>93</v>
      </c>
      <c r="Q422">
        <v>0.15032844000000001</v>
      </c>
      <c r="R422" t="s">
        <v>95</v>
      </c>
      <c r="S422">
        <v>-33.103483230000002</v>
      </c>
      <c r="T422">
        <f t="shared" si="56"/>
        <v>-168.23106738241199</v>
      </c>
      <c r="U422" t="s">
        <v>95</v>
      </c>
      <c r="V422">
        <v>10681</v>
      </c>
      <c r="W422" t="s">
        <v>102</v>
      </c>
      <c r="X422">
        <v>298</v>
      </c>
      <c r="Y422" t="s">
        <v>103</v>
      </c>
      <c r="Z422">
        <v>-26.8</v>
      </c>
      <c r="AA422" t="s">
        <v>95</v>
      </c>
      <c r="AB422">
        <f t="shared" si="57"/>
        <v>-136.19692449049393</v>
      </c>
      <c r="AC422" t="s">
        <v>93</v>
      </c>
      <c r="AD422">
        <v>3.2</v>
      </c>
      <c r="AE422" t="s">
        <v>95</v>
      </c>
      <c r="AF422" t="s">
        <v>93</v>
      </c>
      <c r="AG422">
        <v>0.5</v>
      </c>
      <c r="CR422">
        <f t="shared" si="58"/>
        <v>-164.95838147233957</v>
      </c>
      <c r="CS422">
        <f t="shared" si="59"/>
        <v>-168.23106738241199</v>
      </c>
      <c r="CT422">
        <f t="shared" si="60"/>
        <v>-136.19692449049393</v>
      </c>
      <c r="CU422" s="7">
        <f t="shared" si="61"/>
        <v>-156.46212444841515</v>
      </c>
      <c r="CV422" s="9">
        <f t="shared" si="63"/>
        <v>196.7739</v>
      </c>
      <c r="CW422" t="str">
        <f t="shared" si="62"/>
        <v>YAg</v>
      </c>
    </row>
    <row r="423" spans="1:101" ht="15.75" thickBot="1" x14ac:dyDescent="0.3">
      <c r="A423" t="s">
        <v>91</v>
      </c>
      <c r="B423" t="s">
        <v>1619</v>
      </c>
      <c r="C423" t="s">
        <v>3144</v>
      </c>
      <c r="E423" t="s">
        <v>3145</v>
      </c>
      <c r="F423" t="s">
        <v>93</v>
      </c>
      <c r="G423" t="s">
        <v>1620</v>
      </c>
      <c r="H423">
        <v>568.44200000000001</v>
      </c>
      <c r="I423">
        <v>623</v>
      </c>
      <c r="J423">
        <v>0</v>
      </c>
      <c r="K423" t="s">
        <v>95</v>
      </c>
      <c r="L423">
        <v>-87.147391780000007</v>
      </c>
      <c r="M423">
        <f t="shared" si="55"/>
        <v>-153.30920618110557</v>
      </c>
      <c r="N423" t="s">
        <v>95</v>
      </c>
      <c r="O423" t="s">
        <v>1621</v>
      </c>
      <c r="P423" t="s">
        <v>93</v>
      </c>
      <c r="Q423">
        <v>0</v>
      </c>
      <c r="R423" t="s">
        <v>95</v>
      </c>
      <c r="S423">
        <v>-87.268428060000005</v>
      </c>
      <c r="T423">
        <f t="shared" si="56"/>
        <v>-153.52213253067157</v>
      </c>
      <c r="U423" t="s">
        <v>95</v>
      </c>
      <c r="V423">
        <v>3883</v>
      </c>
      <c r="W423" t="s">
        <v>1622</v>
      </c>
      <c r="X423">
        <v>298</v>
      </c>
      <c r="Y423" t="s">
        <v>1068</v>
      </c>
      <c r="Z423">
        <v>-91.9</v>
      </c>
      <c r="AA423" t="s">
        <v>95</v>
      </c>
      <c r="AB423">
        <f t="shared" si="57"/>
        <v>-161.66996808821307</v>
      </c>
      <c r="AC423" t="s">
        <v>93</v>
      </c>
      <c r="AD423">
        <v>1.9</v>
      </c>
      <c r="AE423" t="s">
        <v>95</v>
      </c>
      <c r="AF423" t="s">
        <v>93</v>
      </c>
      <c r="AP423">
        <v>0.56000000000000005</v>
      </c>
      <c r="BX423">
        <v>0.44</v>
      </c>
      <c r="CR423">
        <f t="shared" si="58"/>
        <v>-153.30920618110557</v>
      </c>
      <c r="CS423">
        <f t="shared" si="59"/>
        <v>-153.52213253067157</v>
      </c>
      <c r="CT423">
        <f t="shared" si="60"/>
        <v>-161.66996808821307</v>
      </c>
      <c r="CU423" s="7">
        <f t="shared" si="61"/>
        <v>-156.16710226666339</v>
      </c>
      <c r="CV423" s="9">
        <f t="shared" si="63"/>
        <v>568.44200000000001</v>
      </c>
      <c r="CW423" t="str">
        <f t="shared" si="62"/>
        <v>Si4Zr5</v>
      </c>
    </row>
    <row r="424" spans="1:101" ht="15.75" thickBot="1" x14ac:dyDescent="0.3">
      <c r="A424" t="s">
        <v>91</v>
      </c>
      <c r="B424" t="s">
        <v>2460</v>
      </c>
      <c r="C424" t="s">
        <v>3144</v>
      </c>
      <c r="E424" t="s">
        <v>3145</v>
      </c>
      <c r="F424" t="s">
        <v>93</v>
      </c>
      <c r="G424" t="s">
        <v>2461</v>
      </c>
      <c r="H424">
        <v>187.79903999999999</v>
      </c>
      <c r="I424">
        <v>999</v>
      </c>
      <c r="J424">
        <v>0</v>
      </c>
      <c r="K424" t="s">
        <v>95</v>
      </c>
      <c r="L424">
        <v>-30.280037950000001</v>
      </c>
      <c r="M424">
        <f t="shared" si="55"/>
        <v>-161.23638305073339</v>
      </c>
      <c r="N424" t="s">
        <v>95</v>
      </c>
      <c r="O424" t="s">
        <v>2462</v>
      </c>
      <c r="P424" t="s">
        <v>93</v>
      </c>
      <c r="Q424">
        <v>8.2687899999999998E-3</v>
      </c>
      <c r="R424" t="s">
        <v>95</v>
      </c>
      <c r="S424">
        <v>-29.86274877</v>
      </c>
      <c r="T424">
        <f t="shared" si="56"/>
        <v>-159.01438457832373</v>
      </c>
      <c r="U424" t="s">
        <v>95</v>
      </c>
      <c r="V424">
        <v>22373</v>
      </c>
      <c r="W424" t="s">
        <v>184</v>
      </c>
      <c r="X424">
        <v>298</v>
      </c>
      <c r="Y424" t="s">
        <v>185</v>
      </c>
      <c r="Z424">
        <v>-27.7</v>
      </c>
      <c r="AA424" t="s">
        <v>95</v>
      </c>
      <c r="AB424">
        <f t="shared" si="57"/>
        <v>-147.49809157703896</v>
      </c>
      <c r="AC424" t="s">
        <v>93</v>
      </c>
      <c r="AD424">
        <v>2.7</v>
      </c>
      <c r="AE424" t="s">
        <v>95</v>
      </c>
      <c r="AF424" t="s">
        <v>93</v>
      </c>
      <c r="AR424">
        <v>0.25</v>
      </c>
      <c r="BD424">
        <v>0.25</v>
      </c>
      <c r="BR424">
        <v>0.5</v>
      </c>
      <c r="CR424">
        <f t="shared" si="58"/>
        <v>-161.23638305073339</v>
      </c>
      <c r="CS424">
        <f t="shared" si="59"/>
        <v>-159.01438457832373</v>
      </c>
      <c r="CT424">
        <f t="shared" si="60"/>
        <v>-147.49809157703896</v>
      </c>
      <c r="CU424" s="7">
        <f t="shared" si="61"/>
        <v>-155.91628640203203</v>
      </c>
      <c r="CV424" s="9">
        <f t="shared" si="63"/>
        <v>187.79903999999999</v>
      </c>
      <c r="CW424" t="str">
        <f t="shared" si="62"/>
        <v>Mn2AlV</v>
      </c>
    </row>
    <row r="425" spans="1:101" ht="15.75" thickBot="1" x14ac:dyDescent="0.3">
      <c r="A425" t="s">
        <v>91</v>
      </c>
      <c r="B425" t="s">
        <v>1307</v>
      </c>
      <c r="C425" t="s">
        <v>3144</v>
      </c>
      <c r="E425" t="s">
        <v>3145</v>
      </c>
      <c r="F425" t="s">
        <v>93</v>
      </c>
      <c r="G425" t="s">
        <v>1308</v>
      </c>
      <c r="H425">
        <v>189.8228</v>
      </c>
      <c r="I425">
        <v>511</v>
      </c>
      <c r="J425">
        <v>0</v>
      </c>
      <c r="K425" t="s">
        <v>95</v>
      </c>
      <c r="L425">
        <v>-28.168068030000001</v>
      </c>
      <c r="M425">
        <f t="shared" si="55"/>
        <v>-148.39138412245526</v>
      </c>
      <c r="N425" t="s">
        <v>95</v>
      </c>
      <c r="O425" t="s">
        <v>1309</v>
      </c>
      <c r="P425" t="s">
        <v>93</v>
      </c>
      <c r="Q425">
        <v>0</v>
      </c>
      <c r="R425" t="s">
        <v>95</v>
      </c>
      <c r="S425">
        <v>-28.728832489999999</v>
      </c>
      <c r="T425">
        <f t="shared" si="56"/>
        <v>-151.34553114799698</v>
      </c>
      <c r="U425" t="s">
        <v>95</v>
      </c>
      <c r="V425">
        <v>4155</v>
      </c>
      <c r="W425" t="s">
        <v>1310</v>
      </c>
      <c r="X425">
        <v>298</v>
      </c>
      <c r="Y425" t="s">
        <v>700</v>
      </c>
      <c r="Z425">
        <v>-31.8</v>
      </c>
      <c r="AA425" t="s">
        <v>95</v>
      </c>
      <c r="AB425">
        <f t="shared" si="57"/>
        <v>-167.5246598406514</v>
      </c>
      <c r="AC425" t="s">
        <v>93</v>
      </c>
      <c r="AD425">
        <v>1.3</v>
      </c>
      <c r="AE425" t="s">
        <v>95</v>
      </c>
      <c r="AF425" t="s">
        <v>93</v>
      </c>
      <c r="AG425">
        <v>0.66</v>
      </c>
      <c r="BU425">
        <v>0.33</v>
      </c>
      <c r="CR425">
        <f t="shared" si="58"/>
        <v>-148.39138412245526</v>
      </c>
      <c r="CS425">
        <f t="shared" si="59"/>
        <v>-151.34553114799698</v>
      </c>
      <c r="CT425">
        <f t="shared" si="60"/>
        <v>-167.5246598406514</v>
      </c>
      <c r="CU425" s="7">
        <f t="shared" si="61"/>
        <v>-155.75385837036788</v>
      </c>
      <c r="CV425" s="9">
        <f t="shared" si="63"/>
        <v>189.8228</v>
      </c>
      <c r="CW425" t="str">
        <f t="shared" si="62"/>
        <v>Y2C</v>
      </c>
    </row>
    <row r="426" spans="1:101" ht="15.75" thickBot="1" x14ac:dyDescent="0.3">
      <c r="A426" t="s">
        <v>91</v>
      </c>
      <c r="B426" t="s">
        <v>1839</v>
      </c>
      <c r="C426" t="s">
        <v>3144</v>
      </c>
      <c r="E426" t="s">
        <v>3145</v>
      </c>
      <c r="F426" t="s">
        <v>93</v>
      </c>
      <c r="G426" t="s">
        <v>1840</v>
      </c>
      <c r="H426">
        <v>562.86720000000003</v>
      </c>
      <c r="I426">
        <v>702</v>
      </c>
      <c r="J426">
        <v>0</v>
      </c>
      <c r="K426" t="s">
        <v>95</v>
      </c>
      <c r="L426">
        <v>-85.444767119999995</v>
      </c>
      <c r="M426">
        <f t="shared" si="55"/>
        <v>-151.80271140332923</v>
      </c>
      <c r="N426" t="s">
        <v>95</v>
      </c>
      <c r="O426" t="s">
        <v>1841</v>
      </c>
      <c r="P426" t="s">
        <v>93</v>
      </c>
      <c r="Q426">
        <v>0</v>
      </c>
      <c r="R426" t="s">
        <v>95</v>
      </c>
      <c r="S426">
        <v>-85.606060150000005</v>
      </c>
      <c r="T426">
        <f t="shared" si="56"/>
        <v>-152.08926750395119</v>
      </c>
      <c r="U426" t="s">
        <v>95</v>
      </c>
      <c r="V426">
        <v>10687</v>
      </c>
      <c r="W426" t="s">
        <v>97</v>
      </c>
      <c r="X426">
        <v>298</v>
      </c>
      <c r="Y426" t="s">
        <v>98</v>
      </c>
      <c r="Z426">
        <v>-91.6</v>
      </c>
      <c r="AA426" t="s">
        <v>95</v>
      </c>
      <c r="AB426">
        <f t="shared" si="57"/>
        <v>-162.73820894164731</v>
      </c>
      <c r="AC426" t="s">
        <v>93</v>
      </c>
      <c r="AD426">
        <v>2.4</v>
      </c>
      <c r="AE426" t="s">
        <v>95</v>
      </c>
      <c r="AF426" t="s">
        <v>93</v>
      </c>
      <c r="BC426">
        <v>0.66</v>
      </c>
      <c r="BO426">
        <v>0.33</v>
      </c>
      <c r="CR426">
        <f t="shared" si="58"/>
        <v>-151.80271140332923</v>
      </c>
      <c r="CS426">
        <f t="shared" si="59"/>
        <v>-152.08926750395119</v>
      </c>
      <c r="CT426">
        <f t="shared" si="60"/>
        <v>-162.73820894164731</v>
      </c>
      <c r="CU426" s="7">
        <f t="shared" si="61"/>
        <v>-155.54339594964259</v>
      </c>
      <c r="CV426" s="9">
        <f t="shared" si="63"/>
        <v>562.86720000000003</v>
      </c>
      <c r="CW426" t="str">
        <f t="shared" ref="CW426:CW489" si="64">G426</f>
        <v>TmAu2</v>
      </c>
    </row>
    <row r="427" spans="1:101" ht="15.75" thickBot="1" x14ac:dyDescent="0.3">
      <c r="A427" t="s">
        <v>91</v>
      </c>
      <c r="B427" t="s">
        <v>256</v>
      </c>
      <c r="C427" t="s">
        <v>3144</v>
      </c>
      <c r="E427" t="s">
        <v>3145</v>
      </c>
      <c r="F427" t="s">
        <v>93</v>
      </c>
      <c r="G427" t="s">
        <v>257</v>
      </c>
      <c r="H427">
        <v>230.76267999999999</v>
      </c>
      <c r="I427">
        <v>76</v>
      </c>
      <c r="M427">
        <f t="shared" si="55"/>
        <v>0</v>
      </c>
      <c r="O427" t="s">
        <v>93</v>
      </c>
      <c r="P427" t="s">
        <v>93</v>
      </c>
      <c r="T427">
        <f t="shared" si="56"/>
        <v>0</v>
      </c>
      <c r="V427" t="s">
        <v>93</v>
      </c>
      <c r="W427" t="s">
        <v>102</v>
      </c>
      <c r="X427">
        <v>298</v>
      </c>
      <c r="Y427" t="s">
        <v>103</v>
      </c>
      <c r="Z427">
        <v>-35.85</v>
      </c>
      <c r="AA427" t="s">
        <v>95</v>
      </c>
      <c r="AB427">
        <f t="shared" si="57"/>
        <v>-155.3544099938517</v>
      </c>
      <c r="AC427" t="s">
        <v>93</v>
      </c>
      <c r="AD427">
        <v>1</v>
      </c>
      <c r="AE427" t="s">
        <v>95</v>
      </c>
      <c r="AF427" t="s">
        <v>93</v>
      </c>
      <c r="AH427" t="s">
        <v>93</v>
      </c>
      <c r="AI427" t="s">
        <v>93</v>
      </c>
      <c r="AJ427" t="s">
        <v>93</v>
      </c>
      <c r="AK427" t="s">
        <v>93</v>
      </c>
      <c r="AR427">
        <v>0.4</v>
      </c>
      <c r="AW427">
        <v>0.6</v>
      </c>
      <c r="CR427">
        <f t="shared" si="58"/>
        <v>0</v>
      </c>
      <c r="CS427">
        <f t="shared" si="59"/>
        <v>0</v>
      </c>
      <c r="CT427">
        <f t="shared" si="60"/>
        <v>-155.3544099938517</v>
      </c>
      <c r="CU427" s="7">
        <f t="shared" si="61"/>
        <v>-155.3544099938517</v>
      </c>
      <c r="CV427" s="9">
        <f t="shared" si="63"/>
        <v>230.76267999999999</v>
      </c>
      <c r="CW427" t="str">
        <f t="shared" si="64"/>
        <v>Al2Co3</v>
      </c>
    </row>
    <row r="428" spans="1:101" ht="15.75" thickBot="1" x14ac:dyDescent="0.3">
      <c r="A428" t="s">
        <v>91</v>
      </c>
      <c r="B428" t="s">
        <v>2028</v>
      </c>
      <c r="C428" t="s">
        <v>3144</v>
      </c>
      <c r="E428" t="s">
        <v>3145</v>
      </c>
      <c r="G428" t="s">
        <v>2029</v>
      </c>
      <c r="H428">
        <v>173.66</v>
      </c>
      <c r="I428">
        <v>798</v>
      </c>
      <c r="M428">
        <f t="shared" si="55"/>
        <v>0</v>
      </c>
      <c r="O428" t="s">
        <v>93</v>
      </c>
      <c r="P428" t="s">
        <v>93</v>
      </c>
      <c r="Q428">
        <v>1.1389592799999999</v>
      </c>
      <c r="R428" t="s">
        <v>95</v>
      </c>
      <c r="S428">
        <v>-26.89034977</v>
      </c>
      <c r="T428">
        <f t="shared" si="56"/>
        <v>-154.84481037659796</v>
      </c>
      <c r="U428" t="s">
        <v>95</v>
      </c>
      <c r="V428">
        <v>683580</v>
      </c>
      <c r="W428" t="s">
        <v>391</v>
      </c>
      <c r="X428">
        <v>1173</v>
      </c>
      <c r="Y428" t="s">
        <v>1108</v>
      </c>
      <c r="AB428">
        <f t="shared" si="57"/>
        <v>0</v>
      </c>
      <c r="AC428" t="s">
        <v>93</v>
      </c>
      <c r="AD428">
        <v>1.3</v>
      </c>
      <c r="AE428" t="s">
        <v>95</v>
      </c>
      <c r="AF428" t="s">
        <v>93</v>
      </c>
      <c r="AH428" t="s">
        <v>93</v>
      </c>
      <c r="AI428" t="s">
        <v>93</v>
      </c>
      <c r="AV428">
        <v>0.5</v>
      </c>
      <c r="CA428">
        <v>0.5</v>
      </c>
      <c r="CG428">
        <v>-28.7</v>
      </c>
      <c r="CH428" t="s">
        <v>95</v>
      </c>
      <c r="CI428" t="s">
        <v>93</v>
      </c>
      <c r="CR428">
        <f t="shared" si="58"/>
        <v>0</v>
      </c>
      <c r="CS428">
        <f t="shared" si="59"/>
        <v>-154.84481037659796</v>
      </c>
      <c r="CT428">
        <f t="shared" si="60"/>
        <v>0</v>
      </c>
      <c r="CU428" s="7">
        <f t="shared" si="61"/>
        <v>-154.84481037659796</v>
      </c>
      <c r="CV428" s="9">
        <f t="shared" si="63"/>
        <v>173.66</v>
      </c>
      <c r="CW428" t="str">
        <f t="shared" si="64"/>
        <v>GeRu</v>
      </c>
    </row>
    <row r="429" spans="1:101" ht="15.75" thickBot="1" x14ac:dyDescent="0.3">
      <c r="A429" t="s">
        <v>91</v>
      </c>
      <c r="B429" t="s">
        <v>2829</v>
      </c>
      <c r="C429" t="s">
        <v>3144</v>
      </c>
      <c r="E429" t="s">
        <v>3145</v>
      </c>
      <c r="F429" t="s">
        <v>93</v>
      </c>
      <c r="G429" t="s">
        <v>2830</v>
      </c>
      <c r="H429">
        <v>239.03149999999999</v>
      </c>
      <c r="I429">
        <v>1157</v>
      </c>
      <c r="M429">
        <f t="shared" si="55"/>
        <v>0</v>
      </c>
      <c r="O429" t="s">
        <v>93</v>
      </c>
      <c r="P429" t="s">
        <v>93</v>
      </c>
      <c r="T429">
        <f t="shared" si="56"/>
        <v>0</v>
      </c>
      <c r="V429" t="s">
        <v>93</v>
      </c>
      <c r="W429" t="s">
        <v>93</v>
      </c>
      <c r="X429">
        <v>298</v>
      </c>
      <c r="Y429" t="s">
        <v>93</v>
      </c>
      <c r="Z429">
        <v>-37</v>
      </c>
      <c r="AA429" t="s">
        <v>95</v>
      </c>
      <c r="AB429">
        <f t="shared" si="57"/>
        <v>-154.79131411550361</v>
      </c>
      <c r="AC429" t="s">
        <v>93</v>
      </c>
      <c r="AD429">
        <v>1.5</v>
      </c>
      <c r="AE429" t="s">
        <v>95</v>
      </c>
      <c r="AF429" t="s">
        <v>93</v>
      </c>
      <c r="AH429" t="s">
        <v>93</v>
      </c>
      <c r="AI429" t="s">
        <v>93</v>
      </c>
      <c r="AJ429" t="s">
        <v>93</v>
      </c>
      <c r="AK429" t="s">
        <v>93</v>
      </c>
      <c r="AV429">
        <v>0.25</v>
      </c>
      <c r="BR429">
        <v>0.5</v>
      </c>
      <c r="BX429">
        <v>0.25</v>
      </c>
      <c r="CR429">
        <f t="shared" si="58"/>
        <v>0</v>
      </c>
      <c r="CS429">
        <f t="shared" si="59"/>
        <v>0</v>
      </c>
      <c r="CT429">
        <f t="shared" si="60"/>
        <v>-154.79131411550361</v>
      </c>
      <c r="CU429" s="7">
        <f t="shared" si="61"/>
        <v>-154.79131411550361</v>
      </c>
      <c r="CV429" s="9">
        <f t="shared" si="63"/>
        <v>239.03149999999999</v>
      </c>
      <c r="CW429" t="str">
        <f t="shared" si="64"/>
        <v>Mn2RuSi</v>
      </c>
    </row>
    <row r="430" spans="1:101" ht="15.75" thickBot="1" x14ac:dyDescent="0.3">
      <c r="A430" t="s">
        <v>91</v>
      </c>
      <c r="B430" t="s">
        <v>1842</v>
      </c>
      <c r="C430" t="s">
        <v>3144</v>
      </c>
      <c r="E430" t="s">
        <v>3145</v>
      </c>
      <c r="F430" t="s">
        <v>93</v>
      </c>
      <c r="G430" t="s">
        <v>1843</v>
      </c>
      <c r="H430">
        <v>568.9</v>
      </c>
      <c r="I430">
        <v>703</v>
      </c>
      <c r="J430">
        <v>0</v>
      </c>
      <c r="K430" t="s">
        <v>95</v>
      </c>
      <c r="L430">
        <v>-85.902381559999995</v>
      </c>
      <c r="M430">
        <f t="shared" si="55"/>
        <v>-150.99733091931799</v>
      </c>
      <c r="N430" t="s">
        <v>95</v>
      </c>
      <c r="O430" t="s">
        <v>1844</v>
      </c>
      <c r="P430" t="s">
        <v>93</v>
      </c>
      <c r="Q430">
        <v>0</v>
      </c>
      <c r="R430" t="s">
        <v>95</v>
      </c>
      <c r="S430">
        <v>-85.888578559999999</v>
      </c>
      <c r="T430">
        <f t="shared" si="56"/>
        <v>-150.97306830725964</v>
      </c>
      <c r="U430" t="s">
        <v>95</v>
      </c>
      <c r="V430">
        <v>28185</v>
      </c>
      <c r="W430" t="s">
        <v>97</v>
      </c>
      <c r="X430">
        <v>298</v>
      </c>
      <c r="Y430" t="s">
        <v>98</v>
      </c>
      <c r="Z430">
        <v>-91.1</v>
      </c>
      <c r="AA430" t="s">
        <v>95</v>
      </c>
      <c r="AB430">
        <f t="shared" si="57"/>
        <v>-160.13359114079802</v>
      </c>
      <c r="AC430" t="s">
        <v>93</v>
      </c>
      <c r="AD430">
        <v>2.6</v>
      </c>
      <c r="AE430" t="s">
        <v>95</v>
      </c>
      <c r="AF430" t="s">
        <v>93</v>
      </c>
      <c r="BC430">
        <v>0.66</v>
      </c>
      <c r="BL430">
        <v>0.33</v>
      </c>
      <c r="CR430">
        <f t="shared" si="58"/>
        <v>-150.99733091931799</v>
      </c>
      <c r="CS430">
        <f t="shared" si="59"/>
        <v>-150.97306830725964</v>
      </c>
      <c r="CT430">
        <f t="shared" si="60"/>
        <v>-160.13359114079802</v>
      </c>
      <c r="CU430" s="7">
        <f t="shared" si="61"/>
        <v>-154.0346634557919</v>
      </c>
      <c r="CV430" s="9">
        <f t="shared" si="63"/>
        <v>568.9</v>
      </c>
      <c r="CW430" t="str">
        <f t="shared" si="64"/>
        <v>LuAu2</v>
      </c>
    </row>
    <row r="431" spans="1:101" ht="15.75" thickBot="1" x14ac:dyDescent="0.3">
      <c r="A431" t="s">
        <v>91</v>
      </c>
      <c r="B431" t="s">
        <v>470</v>
      </c>
      <c r="C431" t="s">
        <v>3144</v>
      </c>
      <c r="E431" t="s">
        <v>3145</v>
      </c>
      <c r="F431" t="s">
        <v>93</v>
      </c>
      <c r="G431" t="s">
        <v>471</v>
      </c>
      <c r="H431">
        <v>209.0864</v>
      </c>
      <c r="I431">
        <v>192</v>
      </c>
      <c r="J431">
        <v>0</v>
      </c>
      <c r="K431" t="s">
        <v>95</v>
      </c>
      <c r="L431">
        <v>-29.765108349999998</v>
      </c>
      <c r="M431">
        <f t="shared" si="55"/>
        <v>-142.35793600157638</v>
      </c>
      <c r="N431" t="s">
        <v>95</v>
      </c>
      <c r="O431" t="s">
        <v>472</v>
      </c>
      <c r="P431" t="s">
        <v>93</v>
      </c>
      <c r="Q431">
        <v>0</v>
      </c>
      <c r="R431" t="s">
        <v>95</v>
      </c>
      <c r="S431">
        <v>-31.000226810000001</v>
      </c>
      <c r="T431">
        <f t="shared" si="56"/>
        <v>-148.26515167892316</v>
      </c>
      <c r="U431" t="s">
        <v>95</v>
      </c>
      <c r="V431">
        <v>31202</v>
      </c>
      <c r="W431" t="s">
        <v>159</v>
      </c>
      <c r="X431">
        <v>298</v>
      </c>
      <c r="Y431" t="s">
        <v>160</v>
      </c>
      <c r="Z431">
        <v>-35.799999999999997</v>
      </c>
      <c r="AA431" t="s">
        <v>95</v>
      </c>
      <c r="AB431">
        <f t="shared" si="57"/>
        <v>-171.22108372424029</v>
      </c>
      <c r="AC431" t="s">
        <v>93</v>
      </c>
      <c r="AD431">
        <v>0.6</v>
      </c>
      <c r="AE431" t="s">
        <v>95</v>
      </c>
      <c r="AF431" t="s">
        <v>93</v>
      </c>
      <c r="AP431">
        <v>0.33</v>
      </c>
      <c r="AW431">
        <v>0.66</v>
      </c>
      <c r="CR431">
        <f t="shared" si="58"/>
        <v>-142.35793600157638</v>
      </c>
      <c r="CS431">
        <f t="shared" si="59"/>
        <v>-148.26515167892316</v>
      </c>
      <c r="CT431">
        <f t="shared" si="60"/>
        <v>-171.22108372424029</v>
      </c>
      <c r="CU431" s="7">
        <f t="shared" si="61"/>
        <v>-153.94805713491328</v>
      </c>
      <c r="CV431" s="9">
        <f t="shared" si="63"/>
        <v>209.0864</v>
      </c>
      <c r="CW431" t="str">
        <f t="shared" si="64"/>
        <v>ZrCo2</v>
      </c>
    </row>
    <row r="432" spans="1:101" ht="15.75" thickBot="1" x14ac:dyDescent="0.3">
      <c r="A432" t="s">
        <v>91</v>
      </c>
      <c r="B432" t="s">
        <v>2451</v>
      </c>
      <c r="C432" t="s">
        <v>3144</v>
      </c>
      <c r="E432" t="s">
        <v>3145</v>
      </c>
      <c r="F432" t="s">
        <v>93</v>
      </c>
      <c r="G432" t="s">
        <v>2452</v>
      </c>
      <c r="H432">
        <v>194.7175</v>
      </c>
      <c r="I432">
        <v>995</v>
      </c>
      <c r="J432">
        <v>0</v>
      </c>
      <c r="K432" t="s">
        <v>95</v>
      </c>
      <c r="L432">
        <v>-31.608663199999999</v>
      </c>
      <c r="M432">
        <f t="shared" si="55"/>
        <v>-162.3308803779835</v>
      </c>
      <c r="N432" t="s">
        <v>95</v>
      </c>
      <c r="O432" t="s">
        <v>2453</v>
      </c>
      <c r="P432" t="s">
        <v>93</v>
      </c>
      <c r="Q432">
        <v>0.50588343000000002</v>
      </c>
      <c r="R432" t="s">
        <v>95</v>
      </c>
      <c r="S432">
        <v>-32.711334549999997</v>
      </c>
      <c r="T432">
        <f t="shared" si="56"/>
        <v>-167.99380923645793</v>
      </c>
      <c r="U432" t="s">
        <v>95</v>
      </c>
      <c r="V432">
        <v>31335</v>
      </c>
      <c r="W432" t="s">
        <v>184</v>
      </c>
      <c r="X432">
        <v>298</v>
      </c>
      <c r="Y432" t="s">
        <v>185</v>
      </c>
      <c r="Z432">
        <v>-25.6</v>
      </c>
      <c r="AA432" t="s">
        <v>95</v>
      </c>
      <c r="AB432">
        <f t="shared" si="57"/>
        <v>-131.47251787846497</v>
      </c>
      <c r="AC432" t="s">
        <v>93</v>
      </c>
      <c r="AD432">
        <v>1.5</v>
      </c>
      <c r="AE432" t="s">
        <v>95</v>
      </c>
      <c r="AF432" t="s">
        <v>93</v>
      </c>
      <c r="AT432">
        <v>0.5</v>
      </c>
      <c r="BR432">
        <v>0.25</v>
      </c>
      <c r="BX432">
        <v>0.25</v>
      </c>
      <c r="CR432">
        <f t="shared" si="58"/>
        <v>-162.3308803779835</v>
      </c>
      <c r="CS432">
        <f t="shared" si="59"/>
        <v>-167.99380923645793</v>
      </c>
      <c r="CT432">
        <f t="shared" si="60"/>
        <v>-131.47251787846497</v>
      </c>
      <c r="CU432" s="7">
        <f t="shared" si="61"/>
        <v>-153.93240249763548</v>
      </c>
      <c r="CV432" s="9">
        <f t="shared" si="63"/>
        <v>194.7175</v>
      </c>
      <c r="CW432" t="str">
        <f t="shared" si="64"/>
        <v>MnFe2Si</v>
      </c>
    </row>
    <row r="433" spans="1:101" ht="15.75" thickBot="1" x14ac:dyDescent="0.3">
      <c r="A433" t="s">
        <v>91</v>
      </c>
      <c r="B433" t="s">
        <v>2889</v>
      </c>
      <c r="C433" t="s">
        <v>3144</v>
      </c>
      <c r="E433" t="s">
        <v>3145</v>
      </c>
      <c r="F433" t="s">
        <v>93</v>
      </c>
      <c r="G433" t="s">
        <v>2890</v>
      </c>
      <c r="H433">
        <v>319.74799999999999</v>
      </c>
      <c r="I433">
        <v>1182</v>
      </c>
      <c r="J433">
        <v>0</v>
      </c>
      <c r="K433" t="s">
        <v>95</v>
      </c>
      <c r="L433">
        <v>-44.172877849999999</v>
      </c>
      <c r="M433">
        <f t="shared" si="55"/>
        <v>-138.14903564682186</v>
      </c>
      <c r="N433" t="s">
        <v>95</v>
      </c>
      <c r="O433" t="s">
        <v>2891</v>
      </c>
      <c r="P433" t="s">
        <v>93</v>
      </c>
      <c r="Q433">
        <v>0</v>
      </c>
      <c r="R433" t="s">
        <v>95</v>
      </c>
      <c r="S433">
        <v>-44.210037720000003</v>
      </c>
      <c r="T433">
        <f t="shared" si="56"/>
        <v>-138.2652517607616</v>
      </c>
      <c r="U433" t="s">
        <v>95</v>
      </c>
      <c r="V433">
        <v>17256</v>
      </c>
      <c r="W433" t="s">
        <v>172</v>
      </c>
      <c r="X433">
        <v>298</v>
      </c>
      <c r="Y433" t="s">
        <v>179</v>
      </c>
      <c r="Z433">
        <v>-58.7</v>
      </c>
      <c r="AA433" t="s">
        <v>95</v>
      </c>
      <c r="AB433">
        <f t="shared" si="57"/>
        <v>-183.58207088081866</v>
      </c>
      <c r="AC433" t="s">
        <v>93</v>
      </c>
      <c r="AD433">
        <v>2.8</v>
      </c>
      <c r="AE433" t="s">
        <v>95</v>
      </c>
      <c r="AF433" t="s">
        <v>93</v>
      </c>
      <c r="AY433">
        <v>0.33300000000000002</v>
      </c>
      <c r="BR433">
        <v>0.33300000000000002</v>
      </c>
      <c r="BY433">
        <v>0.33300000000000002</v>
      </c>
      <c r="CR433">
        <f t="shared" si="58"/>
        <v>-138.14903564682186</v>
      </c>
      <c r="CS433">
        <f t="shared" si="59"/>
        <v>-138.2652517607616</v>
      </c>
      <c r="CT433">
        <f t="shared" si="60"/>
        <v>-183.58207088081866</v>
      </c>
      <c r="CU433" s="7">
        <f t="shared" si="61"/>
        <v>-153.33211942946738</v>
      </c>
      <c r="CV433" s="9">
        <f t="shared" si="63"/>
        <v>319.74799999999999</v>
      </c>
      <c r="CW433" t="str">
        <f t="shared" si="64"/>
        <v>MnGaPt</v>
      </c>
    </row>
    <row r="434" spans="1:101" ht="15.75" thickBot="1" x14ac:dyDescent="0.3">
      <c r="A434" t="s">
        <v>91</v>
      </c>
      <c r="B434" t="s">
        <v>197</v>
      </c>
      <c r="C434" t="s">
        <v>3144</v>
      </c>
      <c r="E434" t="s">
        <v>3145</v>
      </c>
      <c r="F434" t="s">
        <v>93</v>
      </c>
      <c r="G434" t="s">
        <v>198</v>
      </c>
      <c r="H434">
        <v>200.22854000000001</v>
      </c>
      <c r="I434">
        <v>32</v>
      </c>
      <c r="M434">
        <f t="shared" si="55"/>
        <v>0</v>
      </c>
      <c r="O434" t="s">
        <v>93</v>
      </c>
      <c r="P434" t="s">
        <v>93</v>
      </c>
      <c r="T434">
        <f t="shared" si="56"/>
        <v>0</v>
      </c>
      <c r="V434" t="s">
        <v>93</v>
      </c>
      <c r="W434" t="s">
        <v>102</v>
      </c>
      <c r="X434">
        <v>298</v>
      </c>
      <c r="Y434" t="s">
        <v>103</v>
      </c>
      <c r="Z434">
        <v>-30.6</v>
      </c>
      <c r="AA434" t="s">
        <v>95</v>
      </c>
      <c r="AB434">
        <f t="shared" si="57"/>
        <v>-152.8253664537533</v>
      </c>
      <c r="AC434" t="s">
        <v>93</v>
      </c>
      <c r="AD434">
        <v>1.8</v>
      </c>
      <c r="AE434" t="s">
        <v>95</v>
      </c>
      <c r="AF434" t="s">
        <v>93</v>
      </c>
      <c r="AH434" t="s">
        <v>93</v>
      </c>
      <c r="AI434" t="s">
        <v>93</v>
      </c>
      <c r="AJ434" t="s">
        <v>93</v>
      </c>
      <c r="AK434" t="s">
        <v>93</v>
      </c>
      <c r="AR434">
        <v>0.25</v>
      </c>
      <c r="AS434">
        <v>0.5</v>
      </c>
      <c r="AT434">
        <v>0.25</v>
      </c>
      <c r="CR434">
        <f t="shared" si="58"/>
        <v>0</v>
      </c>
      <c r="CS434">
        <f t="shared" si="59"/>
        <v>0</v>
      </c>
      <c r="CT434">
        <f t="shared" si="60"/>
        <v>-152.8253664537533</v>
      </c>
      <c r="CU434" s="7">
        <f t="shared" si="61"/>
        <v>-152.8253664537533</v>
      </c>
      <c r="CV434" s="9">
        <f t="shared" si="63"/>
        <v>200.22854000000001</v>
      </c>
      <c r="CW434" t="str">
        <f t="shared" si="64"/>
        <v>AlFeNi2</v>
      </c>
    </row>
    <row r="435" spans="1:101" ht="15.75" thickBot="1" x14ac:dyDescent="0.3">
      <c r="A435" t="s">
        <v>91</v>
      </c>
      <c r="B435" t="s">
        <v>1836</v>
      </c>
      <c r="C435" t="s">
        <v>3144</v>
      </c>
      <c r="E435" t="s">
        <v>3145</v>
      </c>
      <c r="F435" t="s">
        <v>93</v>
      </c>
      <c r="G435" t="s">
        <v>1837</v>
      </c>
      <c r="H435">
        <v>561.19299999999998</v>
      </c>
      <c r="I435">
        <v>701</v>
      </c>
      <c r="J435">
        <v>0</v>
      </c>
      <c r="K435" t="s">
        <v>95</v>
      </c>
      <c r="L435">
        <v>-84.883323790000006</v>
      </c>
      <c r="M435">
        <f t="shared" si="55"/>
        <v>-151.25513645038339</v>
      </c>
      <c r="N435" t="s">
        <v>95</v>
      </c>
      <c r="O435" t="s">
        <v>1838</v>
      </c>
      <c r="P435" t="s">
        <v>93</v>
      </c>
      <c r="Q435">
        <v>0</v>
      </c>
      <c r="R435" t="s">
        <v>95</v>
      </c>
      <c r="S435">
        <v>-85.032965739999995</v>
      </c>
      <c r="T435">
        <f t="shared" si="56"/>
        <v>-151.52178615912885</v>
      </c>
      <c r="U435" t="s">
        <v>95</v>
      </c>
      <c r="V435">
        <v>10721</v>
      </c>
      <c r="W435" t="s">
        <v>97</v>
      </c>
      <c r="X435">
        <v>298</v>
      </c>
      <c r="Y435" t="s">
        <v>98</v>
      </c>
      <c r="Z435">
        <v>-85.9</v>
      </c>
      <c r="AA435" t="s">
        <v>95</v>
      </c>
      <c r="AB435">
        <f t="shared" si="57"/>
        <v>-153.06677025550925</v>
      </c>
      <c r="AC435" t="s">
        <v>93</v>
      </c>
      <c r="AD435">
        <v>1.9</v>
      </c>
      <c r="AE435" t="s">
        <v>95</v>
      </c>
      <c r="AF435" t="s">
        <v>93</v>
      </c>
      <c r="BC435">
        <v>0.66</v>
      </c>
      <c r="BH435">
        <v>0.33</v>
      </c>
      <c r="CR435">
        <f t="shared" si="58"/>
        <v>-151.25513645038339</v>
      </c>
      <c r="CS435">
        <f t="shared" si="59"/>
        <v>-151.52178615912885</v>
      </c>
      <c r="CT435">
        <f t="shared" si="60"/>
        <v>-153.06677025550925</v>
      </c>
      <c r="CU435" s="7">
        <f t="shared" si="61"/>
        <v>-151.94789762167383</v>
      </c>
      <c r="CV435" s="9">
        <f t="shared" si="63"/>
        <v>561.19299999999998</v>
      </c>
      <c r="CW435" t="str">
        <f t="shared" si="64"/>
        <v>ErAu2</v>
      </c>
    </row>
    <row r="436" spans="1:101" ht="15.75" thickBot="1" x14ac:dyDescent="0.3">
      <c r="A436" t="s">
        <v>91</v>
      </c>
      <c r="B436" t="s">
        <v>2886</v>
      </c>
      <c r="C436" t="s">
        <v>3144</v>
      </c>
      <c r="E436" t="s">
        <v>3145</v>
      </c>
      <c r="F436" t="s">
        <v>93</v>
      </c>
      <c r="G436" t="s">
        <v>2887</v>
      </c>
      <c r="H436">
        <v>492.27</v>
      </c>
      <c r="I436">
        <v>1181</v>
      </c>
      <c r="J436">
        <v>47.494885070000002</v>
      </c>
      <c r="K436" t="s">
        <v>95</v>
      </c>
      <c r="L436">
        <v>-26.807074570000001</v>
      </c>
      <c r="M436">
        <f t="shared" si="55"/>
        <v>-54.456039510837556</v>
      </c>
      <c r="N436" t="s">
        <v>95</v>
      </c>
      <c r="O436" t="s">
        <v>2888</v>
      </c>
      <c r="P436" t="s">
        <v>93</v>
      </c>
      <c r="Q436">
        <v>0</v>
      </c>
      <c r="R436" t="s">
        <v>95</v>
      </c>
      <c r="S436">
        <v>-97.942059279999995</v>
      </c>
      <c r="T436">
        <f t="shared" si="56"/>
        <v>-198.96004079062305</v>
      </c>
      <c r="U436" t="s">
        <v>95</v>
      </c>
      <c r="V436">
        <v>566182</v>
      </c>
      <c r="W436" t="s">
        <v>1370</v>
      </c>
      <c r="X436">
        <v>298</v>
      </c>
      <c r="Y436" t="s">
        <v>1983</v>
      </c>
      <c r="Z436">
        <v>-98.8</v>
      </c>
      <c r="AA436" t="s">
        <v>95</v>
      </c>
      <c r="AB436">
        <f t="shared" si="57"/>
        <v>-200.70286631320212</v>
      </c>
      <c r="AC436" t="s">
        <v>93</v>
      </c>
      <c r="AD436">
        <v>3.4</v>
      </c>
      <c r="AE436" t="s">
        <v>95</v>
      </c>
      <c r="AF436" t="s">
        <v>93</v>
      </c>
      <c r="AQ436">
        <v>0.33300000000000002</v>
      </c>
      <c r="AY436">
        <v>0.33300000000000002</v>
      </c>
      <c r="CF436">
        <v>0.33300000000000002</v>
      </c>
      <c r="CR436">
        <f t="shared" si="58"/>
        <v>-54.456039510837556</v>
      </c>
      <c r="CS436">
        <f t="shared" si="59"/>
        <v>-198.96004079062305</v>
      </c>
      <c r="CT436">
        <f t="shared" si="60"/>
        <v>-200.70286631320212</v>
      </c>
      <c r="CU436" s="7">
        <f t="shared" si="61"/>
        <v>-151.37298220488756</v>
      </c>
      <c r="CV436" s="9">
        <f t="shared" si="63"/>
        <v>492.27</v>
      </c>
      <c r="CW436" t="str">
        <f t="shared" si="64"/>
        <v>HfSnPt</v>
      </c>
    </row>
    <row r="437" spans="1:101" ht="15.75" thickBot="1" x14ac:dyDescent="0.3">
      <c r="A437" t="s">
        <v>91</v>
      </c>
      <c r="B437" t="s">
        <v>1331</v>
      </c>
      <c r="C437" t="s">
        <v>3144</v>
      </c>
      <c r="E437" t="s">
        <v>3145</v>
      </c>
      <c r="F437" t="s">
        <v>93</v>
      </c>
      <c r="G437" t="s">
        <v>1332</v>
      </c>
      <c r="H437">
        <v>188.95239999999899</v>
      </c>
      <c r="I437">
        <v>518</v>
      </c>
      <c r="M437">
        <f t="shared" si="55"/>
        <v>0</v>
      </c>
      <c r="O437" t="s">
        <v>93</v>
      </c>
      <c r="P437" t="s">
        <v>1333</v>
      </c>
      <c r="T437">
        <f t="shared" si="56"/>
        <v>0</v>
      </c>
      <c r="V437" t="s">
        <v>93</v>
      </c>
      <c r="W437" t="s">
        <v>93</v>
      </c>
      <c r="X437">
        <v>298</v>
      </c>
      <c r="Y437" t="s">
        <v>93</v>
      </c>
      <c r="Z437">
        <v>-28.6</v>
      </c>
      <c r="AA437" t="s">
        <v>95</v>
      </c>
      <c r="AB437">
        <f t="shared" si="57"/>
        <v>-151.36087183862261</v>
      </c>
      <c r="AC437" t="s">
        <v>93</v>
      </c>
      <c r="AD437">
        <v>1.2</v>
      </c>
      <c r="AE437" t="s">
        <v>95</v>
      </c>
      <c r="AF437" t="s">
        <v>93</v>
      </c>
      <c r="AH437" t="s">
        <v>93</v>
      </c>
      <c r="AI437" t="s">
        <v>93</v>
      </c>
      <c r="AJ437" t="s">
        <v>93</v>
      </c>
      <c r="AK437" t="s">
        <v>93</v>
      </c>
      <c r="BJ437">
        <v>0.33</v>
      </c>
      <c r="BU437">
        <v>0.66</v>
      </c>
      <c r="CR437">
        <f t="shared" si="58"/>
        <v>0</v>
      </c>
      <c r="CS437">
        <f t="shared" si="59"/>
        <v>0</v>
      </c>
      <c r="CT437">
        <f t="shared" si="60"/>
        <v>-151.36087183862261</v>
      </c>
      <c r="CU437" s="7">
        <f t="shared" si="61"/>
        <v>-151.36087183862261</v>
      </c>
      <c r="CV437" s="9">
        <f t="shared" si="63"/>
        <v>188.95239999999899</v>
      </c>
      <c r="CW437" t="str">
        <f t="shared" si="64"/>
        <v>HoC2</v>
      </c>
    </row>
    <row r="438" spans="1:101" ht="15.75" thickBot="1" x14ac:dyDescent="0.3">
      <c r="A438" t="s">
        <v>91</v>
      </c>
      <c r="B438" t="s">
        <v>1566</v>
      </c>
      <c r="C438" t="s">
        <v>3144</v>
      </c>
      <c r="E438" t="s">
        <v>3145</v>
      </c>
      <c r="F438" t="s">
        <v>93</v>
      </c>
      <c r="G438" t="s">
        <v>1567</v>
      </c>
      <c r="H438">
        <v>418.26549999999997</v>
      </c>
      <c r="I438">
        <v>602</v>
      </c>
      <c r="M438">
        <f t="shared" si="55"/>
        <v>0</v>
      </c>
      <c r="O438" t="s">
        <v>93</v>
      </c>
      <c r="P438" t="s">
        <v>1569</v>
      </c>
      <c r="T438">
        <f t="shared" si="56"/>
        <v>0</v>
      </c>
      <c r="V438" t="s">
        <v>93</v>
      </c>
      <c r="W438" t="s">
        <v>93</v>
      </c>
      <c r="X438">
        <v>298</v>
      </c>
      <c r="Y438" t="s">
        <v>93</v>
      </c>
      <c r="Z438">
        <v>-63.3</v>
      </c>
      <c r="AA438" t="s">
        <v>95</v>
      </c>
      <c r="AB438">
        <f t="shared" si="57"/>
        <v>-151.3392809112872</v>
      </c>
      <c r="AC438" t="s">
        <v>93</v>
      </c>
      <c r="AD438">
        <v>2.2999999999999998</v>
      </c>
      <c r="AE438" t="s">
        <v>95</v>
      </c>
      <c r="AF438" t="s">
        <v>93</v>
      </c>
      <c r="AH438" t="s">
        <v>93</v>
      </c>
      <c r="AI438" t="s">
        <v>93</v>
      </c>
      <c r="AJ438" t="s">
        <v>93</v>
      </c>
      <c r="AK438" t="s">
        <v>93</v>
      </c>
      <c r="AY438">
        <v>0.66</v>
      </c>
      <c r="BX438">
        <v>0.33</v>
      </c>
      <c r="CR438">
        <f t="shared" si="58"/>
        <v>0</v>
      </c>
      <c r="CS438">
        <f t="shared" si="59"/>
        <v>0</v>
      </c>
      <c r="CT438">
        <f t="shared" si="60"/>
        <v>-151.3392809112872</v>
      </c>
      <c r="CU438" s="7">
        <f t="shared" si="61"/>
        <v>-151.3392809112872</v>
      </c>
      <c r="CV438" s="9">
        <f t="shared" si="63"/>
        <v>418.26549999999997</v>
      </c>
      <c r="CW438" t="str">
        <f t="shared" si="64"/>
        <v>SiPt2</v>
      </c>
    </row>
    <row r="439" spans="1:101" ht="15.75" thickBot="1" x14ac:dyDescent="0.3">
      <c r="A439" t="s">
        <v>91</v>
      </c>
      <c r="B439" t="s">
        <v>1833</v>
      </c>
      <c r="C439" t="s">
        <v>3144</v>
      </c>
      <c r="E439" t="s">
        <v>3145</v>
      </c>
      <c r="F439" t="s">
        <v>93</v>
      </c>
      <c r="G439" t="s">
        <v>1834</v>
      </c>
      <c r="H439">
        <v>558.86339999999996</v>
      </c>
      <c r="I439">
        <v>700</v>
      </c>
      <c r="J439">
        <v>0</v>
      </c>
      <c r="K439" t="s">
        <v>95</v>
      </c>
      <c r="L439">
        <v>-84.346889360000006</v>
      </c>
      <c r="M439">
        <f t="shared" si="55"/>
        <v>-150.92577069817062</v>
      </c>
      <c r="N439" t="s">
        <v>95</v>
      </c>
      <c r="O439" t="s">
        <v>1835</v>
      </c>
      <c r="P439" t="s">
        <v>93</v>
      </c>
      <c r="Q439">
        <v>0</v>
      </c>
      <c r="R439" t="s">
        <v>95</v>
      </c>
      <c r="S439">
        <v>-84.404212909999998</v>
      </c>
      <c r="T439">
        <f t="shared" si="56"/>
        <v>-151.02834236416271</v>
      </c>
      <c r="U439" t="s">
        <v>95</v>
      </c>
      <c r="V439">
        <v>10738</v>
      </c>
      <c r="W439" t="s">
        <v>97</v>
      </c>
      <c r="X439">
        <v>298</v>
      </c>
      <c r="Y439" t="s">
        <v>98</v>
      </c>
      <c r="Z439">
        <v>-84.6</v>
      </c>
      <c r="AA439" t="s">
        <v>95</v>
      </c>
      <c r="AB439">
        <f t="shared" si="57"/>
        <v>-151.37867321424162</v>
      </c>
      <c r="AC439" t="s">
        <v>93</v>
      </c>
      <c r="AD439">
        <v>1.4</v>
      </c>
      <c r="AE439" t="s">
        <v>95</v>
      </c>
      <c r="AF439" t="s">
        <v>93</v>
      </c>
      <c r="BC439">
        <v>0.66</v>
      </c>
      <c r="BJ439">
        <v>0.33</v>
      </c>
      <c r="CR439">
        <f t="shared" si="58"/>
        <v>-150.92577069817062</v>
      </c>
      <c r="CS439">
        <f t="shared" si="59"/>
        <v>-151.02834236416271</v>
      </c>
      <c r="CT439">
        <f t="shared" si="60"/>
        <v>-151.37867321424162</v>
      </c>
      <c r="CU439" s="7">
        <f t="shared" si="61"/>
        <v>-151.11092875885834</v>
      </c>
      <c r="CV439" s="9">
        <f t="shared" si="63"/>
        <v>558.86339999999996</v>
      </c>
      <c r="CW439" t="str">
        <f t="shared" si="64"/>
        <v>HoAu2</v>
      </c>
    </row>
    <row r="440" spans="1:101" ht="15.75" thickBot="1" x14ac:dyDescent="0.3">
      <c r="A440" t="s">
        <v>91</v>
      </c>
      <c r="B440" t="s">
        <v>717</v>
      </c>
      <c r="C440" t="s">
        <v>3144</v>
      </c>
      <c r="E440" t="s">
        <v>3145</v>
      </c>
      <c r="F440" t="s">
        <v>93</v>
      </c>
      <c r="G440" t="s">
        <v>718</v>
      </c>
      <c r="H440">
        <v>473.34589999999997</v>
      </c>
      <c r="I440">
        <v>287</v>
      </c>
      <c r="J440">
        <v>0</v>
      </c>
      <c r="K440" t="s">
        <v>95</v>
      </c>
      <c r="L440">
        <v>-76.814180680000007</v>
      </c>
      <c r="M440">
        <f t="shared" si="55"/>
        <v>-162.279171912126</v>
      </c>
      <c r="N440" t="s">
        <v>95</v>
      </c>
      <c r="O440" t="s">
        <v>719</v>
      </c>
      <c r="P440" t="s">
        <v>93</v>
      </c>
      <c r="Q440">
        <v>0</v>
      </c>
      <c r="R440" t="s">
        <v>95</v>
      </c>
      <c r="S440">
        <v>-77.33241538</v>
      </c>
      <c r="T440">
        <f t="shared" si="56"/>
        <v>-163.37400488733505</v>
      </c>
      <c r="U440" t="s">
        <v>95</v>
      </c>
      <c r="V440">
        <v>17537</v>
      </c>
      <c r="W440" t="s">
        <v>159</v>
      </c>
      <c r="X440">
        <v>298</v>
      </c>
      <c r="Y440" t="s">
        <v>160</v>
      </c>
      <c r="Z440">
        <v>-59.4</v>
      </c>
      <c r="AA440" t="s">
        <v>95</v>
      </c>
      <c r="AB440">
        <f t="shared" si="57"/>
        <v>-125.48962608527928</v>
      </c>
      <c r="AC440" t="s">
        <v>93</v>
      </c>
      <c r="AD440">
        <v>2.8</v>
      </c>
      <c r="AE440" t="s">
        <v>95</v>
      </c>
      <c r="AF440" t="s">
        <v>93</v>
      </c>
      <c r="AG440">
        <v>0.33</v>
      </c>
      <c r="BB440">
        <v>0.66</v>
      </c>
      <c r="CR440">
        <f t="shared" si="58"/>
        <v>-162.279171912126</v>
      </c>
      <c r="CS440">
        <f t="shared" si="59"/>
        <v>-163.37400488733505</v>
      </c>
      <c r="CT440">
        <f t="shared" si="60"/>
        <v>-125.48962608527928</v>
      </c>
      <c r="CU440" s="7">
        <f t="shared" si="61"/>
        <v>-150.38093429491343</v>
      </c>
      <c r="CV440" s="9">
        <f t="shared" si="63"/>
        <v>473.34589999999997</v>
      </c>
      <c r="CW440" t="str">
        <f t="shared" si="64"/>
        <v>YIr2</v>
      </c>
    </row>
    <row r="441" spans="1:101" ht="15.75" thickBot="1" x14ac:dyDescent="0.3">
      <c r="A441" t="s">
        <v>91</v>
      </c>
      <c r="B441" t="s">
        <v>93</v>
      </c>
      <c r="C441" t="s">
        <v>3144</v>
      </c>
      <c r="E441" t="s">
        <v>3145</v>
      </c>
      <c r="F441" t="s">
        <v>93</v>
      </c>
      <c r="G441" t="s">
        <v>349</v>
      </c>
      <c r="H441">
        <v>497.10307999999998</v>
      </c>
      <c r="I441">
        <v>147</v>
      </c>
      <c r="M441">
        <f t="shared" si="55"/>
        <v>0</v>
      </c>
      <c r="O441" t="s">
        <v>93</v>
      </c>
      <c r="P441" t="s">
        <v>93</v>
      </c>
      <c r="T441">
        <f t="shared" si="56"/>
        <v>0</v>
      </c>
      <c r="V441" t="s">
        <v>93</v>
      </c>
      <c r="W441" t="s">
        <v>102</v>
      </c>
      <c r="X441">
        <v>298</v>
      </c>
      <c r="Y441" t="s">
        <v>103</v>
      </c>
      <c r="Z441">
        <v>-74.75</v>
      </c>
      <c r="AA441" t="s">
        <v>95</v>
      </c>
      <c r="AB441">
        <f t="shared" si="57"/>
        <v>-150.37122682885007</v>
      </c>
      <c r="AC441" t="s">
        <v>93</v>
      </c>
      <c r="AD441">
        <v>3.68</v>
      </c>
      <c r="AE441" t="s">
        <v>95</v>
      </c>
      <c r="AF441" t="s">
        <v>93</v>
      </c>
      <c r="AH441" t="s">
        <v>93</v>
      </c>
      <c r="AI441" t="s">
        <v>93</v>
      </c>
      <c r="AJ441" t="s">
        <v>93</v>
      </c>
      <c r="AK441" t="s">
        <v>93</v>
      </c>
      <c r="AR441">
        <v>0.4</v>
      </c>
      <c r="AS441">
        <v>0.2</v>
      </c>
      <c r="BB441">
        <v>0.4</v>
      </c>
      <c r="CR441">
        <f t="shared" si="58"/>
        <v>0</v>
      </c>
      <c r="CS441">
        <f t="shared" si="59"/>
        <v>0</v>
      </c>
      <c r="CT441">
        <f t="shared" si="60"/>
        <v>-150.37122682885007</v>
      </c>
      <c r="CU441" s="7">
        <f t="shared" si="61"/>
        <v>-150.37122682885007</v>
      </c>
      <c r="CV441" s="9">
        <f t="shared" si="63"/>
        <v>497.10307999999998</v>
      </c>
      <c r="CW441" t="str">
        <f t="shared" si="64"/>
        <v>Al2Ir2Ni</v>
      </c>
    </row>
    <row r="442" spans="1:101" ht="15.75" thickBot="1" x14ac:dyDescent="0.3">
      <c r="A442" t="s">
        <v>484</v>
      </c>
      <c r="B442" t="s">
        <v>1930</v>
      </c>
      <c r="C442" t="s">
        <v>3138</v>
      </c>
      <c r="D442" t="s">
        <v>3139</v>
      </c>
      <c r="F442" t="s">
        <v>3140</v>
      </c>
      <c r="G442" t="s">
        <v>1931</v>
      </c>
      <c r="H442">
        <v>457.27</v>
      </c>
      <c r="I442">
        <v>742</v>
      </c>
      <c r="J442">
        <v>0</v>
      </c>
      <c r="K442" t="s">
        <v>95</v>
      </c>
      <c r="L442">
        <v>-66.762763570000004</v>
      </c>
      <c r="M442">
        <f t="shared" si="55"/>
        <v>-146.00293824217641</v>
      </c>
      <c r="N442" t="s">
        <v>95</v>
      </c>
      <c r="O442" t="s">
        <v>1932</v>
      </c>
      <c r="P442" t="s">
        <v>93</v>
      </c>
      <c r="T442">
        <f t="shared" si="56"/>
        <v>0</v>
      </c>
      <c r="V442" t="s">
        <v>93</v>
      </c>
      <c r="W442" t="s">
        <v>339</v>
      </c>
      <c r="X442">
        <v>298</v>
      </c>
      <c r="Y442" t="s">
        <v>1403</v>
      </c>
      <c r="Z442">
        <v>-70.75</v>
      </c>
      <c r="AA442" t="s">
        <v>95</v>
      </c>
      <c r="AB442">
        <f t="shared" si="57"/>
        <v>-154.72259277888338</v>
      </c>
      <c r="AC442" t="s">
        <v>93</v>
      </c>
      <c r="AD442">
        <v>2.39</v>
      </c>
      <c r="AE442" t="s">
        <v>95</v>
      </c>
      <c r="AF442" t="s">
        <v>93</v>
      </c>
      <c r="AJ442" t="s">
        <v>93</v>
      </c>
      <c r="AK442" t="s">
        <v>93</v>
      </c>
      <c r="BA442">
        <v>0.625</v>
      </c>
      <c r="CA442">
        <v>0.375</v>
      </c>
      <c r="CR442">
        <f t="shared" si="58"/>
        <v>-146.00293824217641</v>
      </c>
      <c r="CS442">
        <f t="shared" si="59"/>
        <v>0</v>
      </c>
      <c r="CT442">
        <f t="shared" si="60"/>
        <v>-154.72259277888338</v>
      </c>
      <c r="CU442" s="7">
        <f t="shared" si="61"/>
        <v>-150.3627655105299</v>
      </c>
      <c r="CV442" s="9">
        <f t="shared" si="63"/>
        <v>457.27</v>
      </c>
      <c r="CW442" t="str">
        <f t="shared" si="64"/>
        <v>Ti5Ge3</v>
      </c>
    </row>
    <row r="443" spans="1:101" ht="15.75" thickBot="1" x14ac:dyDescent="0.3">
      <c r="A443" t="s">
        <v>91</v>
      </c>
      <c r="B443" t="s">
        <v>1162</v>
      </c>
      <c r="C443" t="s">
        <v>3144</v>
      </c>
      <c r="E443" t="s">
        <v>3145</v>
      </c>
      <c r="F443" t="s">
        <v>93</v>
      </c>
      <c r="G443" t="s">
        <v>1163</v>
      </c>
      <c r="H443">
        <v>259.43462</v>
      </c>
      <c r="I443">
        <v>457</v>
      </c>
      <c r="J443">
        <v>0</v>
      </c>
      <c r="K443" t="s">
        <v>95</v>
      </c>
      <c r="L443">
        <v>-38.144900649999997</v>
      </c>
      <c r="M443">
        <f t="shared" si="55"/>
        <v>-147.03088065116367</v>
      </c>
      <c r="N443" t="s">
        <v>95</v>
      </c>
      <c r="O443" t="s">
        <v>1164</v>
      </c>
      <c r="P443" t="s">
        <v>93</v>
      </c>
      <c r="Q443">
        <v>0</v>
      </c>
      <c r="R443" t="s">
        <v>95</v>
      </c>
      <c r="S443">
        <v>-38.236569699999997</v>
      </c>
      <c r="T443">
        <f t="shared" si="56"/>
        <v>-147.38422227534627</v>
      </c>
      <c r="U443" t="s">
        <v>95</v>
      </c>
      <c r="V443">
        <v>19074</v>
      </c>
      <c r="W443" t="s">
        <v>1161</v>
      </c>
      <c r="X443">
        <v>298</v>
      </c>
      <c r="Y443" t="s">
        <v>98</v>
      </c>
      <c r="Z443">
        <v>-40.6</v>
      </c>
      <c r="AA443" t="s">
        <v>95</v>
      </c>
      <c r="AB443">
        <f t="shared" si="57"/>
        <v>-156.49414869919829</v>
      </c>
      <c r="AC443" t="s">
        <v>93</v>
      </c>
      <c r="AD443">
        <v>0.8</v>
      </c>
      <c r="AE443" t="s">
        <v>95</v>
      </c>
      <c r="AF443" t="s">
        <v>93</v>
      </c>
      <c r="AQ443">
        <v>0.25</v>
      </c>
      <c r="AR443">
        <v>0.75</v>
      </c>
      <c r="CR443">
        <f t="shared" si="58"/>
        <v>-147.03088065116367</v>
      </c>
      <c r="CS443">
        <f t="shared" si="59"/>
        <v>-147.38422227534627</v>
      </c>
      <c r="CT443">
        <f t="shared" si="60"/>
        <v>-156.49414869919829</v>
      </c>
      <c r="CU443" s="7">
        <f t="shared" si="61"/>
        <v>-150.30308387523607</v>
      </c>
      <c r="CV443" s="9">
        <f t="shared" si="63"/>
        <v>259.43462</v>
      </c>
      <c r="CW443" t="str">
        <f t="shared" si="64"/>
        <v>HfAl3</v>
      </c>
    </row>
    <row r="444" spans="1:101" ht="15.75" thickBot="1" x14ac:dyDescent="0.3">
      <c r="A444" t="s">
        <v>91</v>
      </c>
      <c r="B444" t="s">
        <v>93</v>
      </c>
      <c r="C444" t="s">
        <v>3144</v>
      </c>
      <c r="E444" t="s">
        <v>3145</v>
      </c>
      <c r="F444" t="s">
        <v>93</v>
      </c>
      <c r="G444" t="s">
        <v>1927</v>
      </c>
      <c r="H444">
        <v>516.81870000000004</v>
      </c>
      <c r="I444">
        <v>739</v>
      </c>
      <c r="M444">
        <f t="shared" si="55"/>
        <v>0</v>
      </c>
      <c r="O444" t="s">
        <v>93</v>
      </c>
      <c r="P444" t="s">
        <v>93</v>
      </c>
      <c r="T444">
        <f t="shared" si="56"/>
        <v>0</v>
      </c>
      <c r="V444" t="s">
        <v>93</v>
      </c>
      <c r="W444" t="s">
        <v>102</v>
      </c>
      <c r="X444">
        <v>298</v>
      </c>
      <c r="Y444" t="s">
        <v>103</v>
      </c>
      <c r="Z444">
        <v>-77.37</v>
      </c>
      <c r="AA444" t="s">
        <v>95</v>
      </c>
      <c r="AB444">
        <f t="shared" si="57"/>
        <v>-149.70433538879303</v>
      </c>
      <c r="AC444" t="s">
        <v>93</v>
      </c>
      <c r="AD444">
        <v>2.4700000000000002</v>
      </c>
      <c r="AE444" t="s">
        <v>95</v>
      </c>
      <c r="AF444" t="s">
        <v>93</v>
      </c>
      <c r="AH444" t="s">
        <v>93</v>
      </c>
      <c r="AI444" t="s">
        <v>93</v>
      </c>
      <c r="AJ444" t="s">
        <v>93</v>
      </c>
      <c r="AK444" t="s">
        <v>93</v>
      </c>
      <c r="AR444">
        <v>0.5</v>
      </c>
      <c r="AS444">
        <v>0.3</v>
      </c>
      <c r="BF444">
        <v>0.2</v>
      </c>
      <c r="CR444">
        <f t="shared" si="58"/>
        <v>0</v>
      </c>
      <c r="CS444">
        <f t="shared" si="59"/>
        <v>0</v>
      </c>
      <c r="CT444">
        <f t="shared" si="60"/>
        <v>-149.70433538879303</v>
      </c>
      <c r="CU444" s="7">
        <f t="shared" si="61"/>
        <v>-149.70433538879303</v>
      </c>
      <c r="CV444" s="9">
        <f t="shared" si="63"/>
        <v>516.81870000000004</v>
      </c>
      <c r="CW444" t="str">
        <f t="shared" si="64"/>
        <v>Al5Ni3Rh2</v>
      </c>
    </row>
    <row r="445" spans="1:101" ht="15.75" thickBot="1" x14ac:dyDescent="0.3">
      <c r="A445" t="s">
        <v>91</v>
      </c>
      <c r="B445" t="s">
        <v>1830</v>
      </c>
      <c r="C445" t="s">
        <v>3144</v>
      </c>
      <c r="E445" t="s">
        <v>3145</v>
      </c>
      <c r="F445" t="s">
        <v>93</v>
      </c>
      <c r="G445" t="s">
        <v>1831</v>
      </c>
      <c r="H445">
        <v>556.43299999999999</v>
      </c>
      <c r="I445">
        <v>699</v>
      </c>
      <c r="J445">
        <v>0</v>
      </c>
      <c r="K445" t="s">
        <v>95</v>
      </c>
      <c r="L445">
        <v>-83.824671929999994</v>
      </c>
      <c r="M445">
        <f t="shared" si="55"/>
        <v>-150.64647842597401</v>
      </c>
      <c r="N445" t="s">
        <v>95</v>
      </c>
      <c r="O445" t="s">
        <v>1832</v>
      </c>
      <c r="P445" t="s">
        <v>93</v>
      </c>
      <c r="Q445">
        <v>0</v>
      </c>
      <c r="R445" t="s">
        <v>95</v>
      </c>
      <c r="S445">
        <v>-83.606839579999999</v>
      </c>
      <c r="T445">
        <f t="shared" si="56"/>
        <v>-150.25499849937009</v>
      </c>
      <c r="U445" t="s">
        <v>95</v>
      </c>
      <c r="V445">
        <v>10716</v>
      </c>
      <c r="W445" t="s">
        <v>97</v>
      </c>
      <c r="X445">
        <v>298</v>
      </c>
      <c r="Y445" t="s">
        <v>98</v>
      </c>
      <c r="Z445">
        <v>-77.8</v>
      </c>
      <c r="AA445" t="s">
        <v>95</v>
      </c>
      <c r="AB445">
        <f t="shared" si="57"/>
        <v>-139.81916960352817</v>
      </c>
      <c r="AC445" t="s">
        <v>93</v>
      </c>
      <c r="AD445">
        <v>1.9</v>
      </c>
      <c r="AE445" t="s">
        <v>95</v>
      </c>
      <c r="AF445" t="s">
        <v>93</v>
      </c>
      <c r="BC445">
        <v>0.66</v>
      </c>
      <c r="BG445">
        <v>0.33</v>
      </c>
      <c r="CR445">
        <f t="shared" si="58"/>
        <v>-150.64647842597401</v>
      </c>
      <c r="CS445">
        <f t="shared" si="59"/>
        <v>-150.25499849937009</v>
      </c>
      <c r="CT445">
        <f t="shared" si="60"/>
        <v>-139.81916960352817</v>
      </c>
      <c r="CU445" s="7">
        <f t="shared" si="61"/>
        <v>-146.90688217629076</v>
      </c>
      <c r="CV445" s="9">
        <f t="shared" si="63"/>
        <v>556.43299999999999</v>
      </c>
      <c r="CW445" t="str">
        <f t="shared" si="64"/>
        <v>DyAu2</v>
      </c>
    </row>
    <row r="446" spans="1:101" ht="15.75" thickBot="1" x14ac:dyDescent="0.3">
      <c r="A446" t="s">
        <v>91</v>
      </c>
      <c r="B446" t="s">
        <v>93</v>
      </c>
      <c r="C446" t="s">
        <v>3144</v>
      </c>
      <c r="E446" t="s">
        <v>3145</v>
      </c>
      <c r="F446" t="s">
        <v>93</v>
      </c>
      <c r="G446" t="s">
        <v>208</v>
      </c>
      <c r="H446">
        <v>224.35708</v>
      </c>
      <c r="I446">
        <v>41</v>
      </c>
      <c r="M446">
        <f t="shared" si="55"/>
        <v>0</v>
      </c>
      <c r="O446" t="s">
        <v>93</v>
      </c>
      <c r="P446" t="s">
        <v>93</v>
      </c>
      <c r="T446">
        <f t="shared" si="56"/>
        <v>0</v>
      </c>
      <c r="V446" t="s">
        <v>93</v>
      </c>
      <c r="W446" t="s">
        <v>102</v>
      </c>
      <c r="X446">
        <v>298</v>
      </c>
      <c r="Y446" t="s">
        <v>103</v>
      </c>
      <c r="Z446">
        <v>-32.799999999999997</v>
      </c>
      <c r="AA446" t="s">
        <v>95</v>
      </c>
      <c r="AB446">
        <f t="shared" si="57"/>
        <v>-146.19552010571718</v>
      </c>
      <c r="AC446" t="s">
        <v>93</v>
      </c>
      <c r="AD446">
        <v>2.7</v>
      </c>
      <c r="AE446" t="s">
        <v>95</v>
      </c>
      <c r="AF446" t="s">
        <v>93</v>
      </c>
      <c r="AH446" t="s">
        <v>93</v>
      </c>
      <c r="AI446" t="s">
        <v>93</v>
      </c>
      <c r="AJ446" t="s">
        <v>93</v>
      </c>
      <c r="AK446" t="s">
        <v>93</v>
      </c>
      <c r="AR446">
        <v>0.4</v>
      </c>
      <c r="AS446">
        <v>0.2</v>
      </c>
      <c r="AT446">
        <v>0.4</v>
      </c>
      <c r="CR446">
        <f t="shared" si="58"/>
        <v>0</v>
      </c>
      <c r="CS446">
        <f t="shared" si="59"/>
        <v>0</v>
      </c>
      <c r="CT446">
        <f t="shared" si="60"/>
        <v>-146.19552010571718</v>
      </c>
      <c r="CU446" s="7">
        <f t="shared" si="61"/>
        <v>-146.19552010571718</v>
      </c>
      <c r="CV446" s="9">
        <f t="shared" si="63"/>
        <v>224.35708</v>
      </c>
      <c r="CW446" t="str">
        <f t="shared" si="64"/>
        <v>Al2Fe2Ni</v>
      </c>
    </row>
    <row r="447" spans="1:101" ht="15.75" thickBot="1" x14ac:dyDescent="0.3">
      <c r="A447" t="s">
        <v>91</v>
      </c>
      <c r="B447" t="s">
        <v>427</v>
      </c>
      <c r="C447" t="s">
        <v>3144</v>
      </c>
      <c r="E447" t="s">
        <v>3145</v>
      </c>
      <c r="F447" t="s">
        <v>93</v>
      </c>
      <c r="G447" t="s">
        <v>428</v>
      </c>
      <c r="H447">
        <v>198.82</v>
      </c>
      <c r="I447">
        <v>176</v>
      </c>
      <c r="J447">
        <v>0</v>
      </c>
      <c r="K447" t="s">
        <v>95</v>
      </c>
      <c r="L447">
        <v>-30.71374844</v>
      </c>
      <c r="M447">
        <f t="shared" si="55"/>
        <v>-154.48017523387989</v>
      </c>
      <c r="N447" t="s">
        <v>95</v>
      </c>
      <c r="O447" t="s">
        <v>429</v>
      </c>
      <c r="P447" t="s">
        <v>93</v>
      </c>
      <c r="Q447">
        <v>0</v>
      </c>
      <c r="R447" t="s">
        <v>95</v>
      </c>
      <c r="S447">
        <v>-25.85900586</v>
      </c>
      <c r="T447">
        <f t="shared" si="56"/>
        <v>-130.06239744492507</v>
      </c>
      <c r="U447" t="s">
        <v>95</v>
      </c>
      <c r="V447">
        <v>19828</v>
      </c>
      <c r="W447" t="s">
        <v>430</v>
      </c>
      <c r="X447">
        <v>298</v>
      </c>
      <c r="Y447" t="s">
        <v>147</v>
      </c>
      <c r="Z447">
        <v>-30.3</v>
      </c>
      <c r="AA447" t="s">
        <v>95</v>
      </c>
      <c r="AB447">
        <f t="shared" si="57"/>
        <v>-152.39915501458609</v>
      </c>
      <c r="AC447" t="s">
        <v>93</v>
      </c>
      <c r="AD447">
        <v>1.4</v>
      </c>
      <c r="AE447" t="s">
        <v>95</v>
      </c>
      <c r="AF447" t="s">
        <v>93</v>
      </c>
      <c r="AM447">
        <v>0.5</v>
      </c>
      <c r="AS447">
        <v>0.5</v>
      </c>
      <c r="CR447">
        <f t="shared" si="58"/>
        <v>-154.48017523387989</v>
      </c>
      <c r="CS447">
        <f t="shared" si="59"/>
        <v>-130.06239744492507</v>
      </c>
      <c r="CT447">
        <f t="shared" si="60"/>
        <v>-152.39915501458609</v>
      </c>
      <c r="CU447" s="7">
        <f t="shared" si="61"/>
        <v>-145.64724256446368</v>
      </c>
      <c r="CV447" s="9">
        <f t="shared" si="63"/>
        <v>198.82</v>
      </c>
      <c r="CW447" t="str">
        <f t="shared" si="64"/>
        <v>CeNi</v>
      </c>
    </row>
    <row r="448" spans="1:101" ht="15.75" thickBot="1" x14ac:dyDescent="0.3">
      <c r="A448" t="s">
        <v>91</v>
      </c>
      <c r="B448" t="s">
        <v>470</v>
      </c>
      <c r="C448" t="s">
        <v>3144</v>
      </c>
      <c r="E448" t="s">
        <v>3145</v>
      </c>
      <c r="G448" t="s">
        <v>471</v>
      </c>
      <c r="H448">
        <v>209.0864</v>
      </c>
      <c r="I448">
        <v>759</v>
      </c>
      <c r="J448">
        <v>0</v>
      </c>
      <c r="K448" t="s">
        <v>95</v>
      </c>
      <c r="L448">
        <v>-29.765108349999998</v>
      </c>
      <c r="M448">
        <f t="shared" si="55"/>
        <v>-142.35793600157638</v>
      </c>
      <c r="N448" t="s">
        <v>95</v>
      </c>
      <c r="O448" t="s">
        <v>472</v>
      </c>
      <c r="P448" t="s">
        <v>93</v>
      </c>
      <c r="Q448">
        <v>0</v>
      </c>
      <c r="R448" t="s">
        <v>95</v>
      </c>
      <c r="S448">
        <v>-31.000226810000001</v>
      </c>
      <c r="T448">
        <f t="shared" si="56"/>
        <v>-148.26515167892316</v>
      </c>
      <c r="U448" t="s">
        <v>95</v>
      </c>
      <c r="V448">
        <v>31202</v>
      </c>
      <c r="W448" t="s">
        <v>159</v>
      </c>
      <c r="X448">
        <v>1700</v>
      </c>
      <c r="Y448" t="s">
        <v>160</v>
      </c>
      <c r="AB448">
        <f t="shared" si="57"/>
        <v>0</v>
      </c>
      <c r="AC448" t="s">
        <v>93</v>
      </c>
      <c r="AD448">
        <v>2</v>
      </c>
      <c r="AE448" t="s">
        <v>95</v>
      </c>
      <c r="AF448" t="s">
        <v>93</v>
      </c>
      <c r="AP448">
        <v>0.33</v>
      </c>
      <c r="AW448">
        <v>0.67</v>
      </c>
      <c r="CG448">
        <v>-41</v>
      </c>
      <c r="CH448" t="s">
        <v>95</v>
      </c>
      <c r="CI448" t="s">
        <v>93</v>
      </c>
      <c r="CR448">
        <f t="shared" si="58"/>
        <v>-142.35793600157638</v>
      </c>
      <c r="CS448">
        <f t="shared" si="59"/>
        <v>-148.26515167892316</v>
      </c>
      <c r="CT448">
        <f t="shared" si="60"/>
        <v>0</v>
      </c>
      <c r="CU448" s="7">
        <f t="shared" si="61"/>
        <v>-145.31154384024978</v>
      </c>
      <c r="CV448" s="9">
        <f t="shared" si="63"/>
        <v>209.0864</v>
      </c>
      <c r="CW448" t="str">
        <f t="shared" si="64"/>
        <v>ZrCo2</v>
      </c>
    </row>
    <row r="449" spans="1:101" ht="15.75" thickBot="1" x14ac:dyDescent="0.3">
      <c r="A449" t="s">
        <v>91</v>
      </c>
      <c r="B449" t="s">
        <v>93</v>
      </c>
      <c r="C449" t="s">
        <v>3144</v>
      </c>
      <c r="E449" t="s">
        <v>3145</v>
      </c>
      <c r="F449" t="s">
        <v>93</v>
      </c>
      <c r="G449" t="s">
        <v>205</v>
      </c>
      <c r="H449">
        <v>285.91007999999999</v>
      </c>
      <c r="I449">
        <v>38</v>
      </c>
      <c r="M449">
        <f t="shared" si="55"/>
        <v>0</v>
      </c>
      <c r="O449" t="s">
        <v>93</v>
      </c>
      <c r="P449" t="s">
        <v>93</v>
      </c>
      <c r="T449">
        <f t="shared" si="56"/>
        <v>0</v>
      </c>
      <c r="V449" t="s">
        <v>93</v>
      </c>
      <c r="W449" t="s">
        <v>102</v>
      </c>
      <c r="X449">
        <v>298</v>
      </c>
      <c r="Y449" t="s">
        <v>103</v>
      </c>
      <c r="Z449">
        <v>-41.5</v>
      </c>
      <c r="AA449" t="s">
        <v>95</v>
      </c>
      <c r="AB449">
        <f t="shared" si="57"/>
        <v>-145.15053124394916</v>
      </c>
      <c r="AC449" t="s">
        <v>93</v>
      </c>
      <c r="AD449">
        <v>1.2</v>
      </c>
      <c r="AE449" t="s">
        <v>95</v>
      </c>
      <c r="AF449" t="s">
        <v>93</v>
      </c>
      <c r="AH449" t="s">
        <v>93</v>
      </c>
      <c r="AI449" t="s">
        <v>93</v>
      </c>
      <c r="AJ449" t="s">
        <v>93</v>
      </c>
      <c r="AK449" t="s">
        <v>93</v>
      </c>
      <c r="AR449">
        <v>0.33</v>
      </c>
      <c r="AS449">
        <v>0.5</v>
      </c>
      <c r="AT449">
        <v>0.17</v>
      </c>
      <c r="CR449">
        <f t="shared" si="58"/>
        <v>0</v>
      </c>
      <c r="CS449">
        <f t="shared" si="59"/>
        <v>0</v>
      </c>
      <c r="CT449">
        <f t="shared" si="60"/>
        <v>-145.15053124394916</v>
      </c>
      <c r="CU449" s="7">
        <f t="shared" si="61"/>
        <v>-145.15053124394916</v>
      </c>
      <c r="CV449" s="9">
        <f t="shared" si="63"/>
        <v>285.91007999999999</v>
      </c>
      <c r="CW449" t="str">
        <f t="shared" si="64"/>
        <v>Al2FeNi3</v>
      </c>
    </row>
    <row r="450" spans="1:101" ht="15.75" thickBot="1" x14ac:dyDescent="0.3">
      <c r="A450" t="s">
        <v>91</v>
      </c>
      <c r="B450" t="s">
        <v>93</v>
      </c>
      <c r="C450" t="s">
        <v>3144</v>
      </c>
      <c r="E450" t="s">
        <v>3145</v>
      </c>
      <c r="F450" t="s">
        <v>93</v>
      </c>
      <c r="G450" t="s">
        <v>1928</v>
      </c>
      <c r="H450">
        <v>561.02419999999995</v>
      </c>
      <c r="I450">
        <v>740</v>
      </c>
      <c r="M450">
        <f t="shared" ref="M450:M513" si="65">(1000/H450)*L450</f>
        <v>0</v>
      </c>
      <c r="O450" t="s">
        <v>93</v>
      </c>
      <c r="P450" t="s">
        <v>93</v>
      </c>
      <c r="T450">
        <f t="shared" ref="T450:T513" si="66">(1000/H450)*S450</f>
        <v>0</v>
      </c>
      <c r="V450" t="s">
        <v>93</v>
      </c>
      <c r="W450" t="s">
        <v>102</v>
      </c>
      <c r="X450">
        <v>298</v>
      </c>
      <c r="Y450" t="s">
        <v>103</v>
      </c>
      <c r="Z450">
        <v>-81.42</v>
      </c>
      <c r="AA450" t="s">
        <v>95</v>
      </c>
      <c r="AB450">
        <f t="shared" ref="AB450:AB513" si="67">(1000/H450)*Z450</f>
        <v>-145.12742944065516</v>
      </c>
      <c r="AC450" t="s">
        <v>93</v>
      </c>
      <c r="AD450">
        <v>3.38</v>
      </c>
      <c r="AE450" t="s">
        <v>95</v>
      </c>
      <c r="AF450" t="s">
        <v>93</v>
      </c>
      <c r="AH450" t="s">
        <v>93</v>
      </c>
      <c r="AI450" t="s">
        <v>93</v>
      </c>
      <c r="AJ450" t="s">
        <v>93</v>
      </c>
      <c r="AK450" t="s">
        <v>93</v>
      </c>
      <c r="AR450">
        <v>0.5</v>
      </c>
      <c r="AS450">
        <v>0.2</v>
      </c>
      <c r="BF450">
        <v>0.3</v>
      </c>
      <c r="CR450">
        <f t="shared" ref="CR450:CR513" si="68">VALUE(M450)</f>
        <v>0</v>
      </c>
      <c r="CS450">
        <f t="shared" ref="CS450:CS513" si="69">VALUE(T450)</f>
        <v>0</v>
      </c>
      <c r="CT450">
        <f t="shared" ref="CT450:CT513" si="70">VALUE(AB450)</f>
        <v>-145.12742944065516</v>
      </c>
      <c r="CU450" s="7">
        <f t="shared" ref="CU450:CU513" si="71">SUM(CR450:CT450)/(COUNTIF(CR450:CT450,"&lt;&gt;0")-COUNTBLANK(CR450:CT450)-(COUNTA(CR450:CT450)-COUNT(CR450:CT450)))</f>
        <v>-145.12742944065516</v>
      </c>
      <c r="CV450" s="9">
        <f t="shared" si="63"/>
        <v>561.02419999999995</v>
      </c>
      <c r="CW450" t="str">
        <f t="shared" si="64"/>
        <v>Al5Ni2Rh3</v>
      </c>
    </row>
    <row r="451" spans="1:101" ht="15.75" thickBot="1" x14ac:dyDescent="0.3">
      <c r="A451" t="s">
        <v>91</v>
      </c>
      <c r="B451" t="s">
        <v>729</v>
      </c>
      <c r="C451" t="s">
        <v>3144</v>
      </c>
      <c r="E451" t="s">
        <v>3145</v>
      </c>
      <c r="F451" t="s">
        <v>93</v>
      </c>
      <c r="G451" t="s">
        <v>730</v>
      </c>
      <c r="H451">
        <v>197.60550000000001</v>
      </c>
      <c r="I451">
        <v>291</v>
      </c>
      <c r="M451">
        <f t="shared" si="65"/>
        <v>0</v>
      </c>
      <c r="O451" t="s">
        <v>93</v>
      </c>
      <c r="P451" t="s">
        <v>93</v>
      </c>
      <c r="Q451">
        <v>0</v>
      </c>
      <c r="R451" t="s">
        <v>95</v>
      </c>
      <c r="S451">
        <v>-32.518023169999999</v>
      </c>
      <c r="T451">
        <f t="shared" si="66"/>
        <v>-164.56031421190198</v>
      </c>
      <c r="U451" t="s">
        <v>95</v>
      </c>
      <c r="V451">
        <v>30648</v>
      </c>
      <c r="W451" t="s">
        <v>430</v>
      </c>
      <c r="X451">
        <v>298</v>
      </c>
      <c r="Y451" t="s">
        <v>147</v>
      </c>
      <c r="Z451">
        <v>-24.8</v>
      </c>
      <c r="AA451" t="s">
        <v>95</v>
      </c>
      <c r="AB451">
        <f t="shared" si="67"/>
        <v>-125.50257963467617</v>
      </c>
      <c r="AC451" t="s">
        <v>93</v>
      </c>
      <c r="AD451">
        <v>1.1000000000000001</v>
      </c>
      <c r="AE451" t="s">
        <v>95</v>
      </c>
      <c r="AF451" t="s">
        <v>93</v>
      </c>
      <c r="AH451" t="s">
        <v>93</v>
      </c>
      <c r="AI451" t="s">
        <v>93</v>
      </c>
      <c r="AL451">
        <v>0.5</v>
      </c>
      <c r="AS451">
        <v>0.5</v>
      </c>
      <c r="CR451">
        <f t="shared" si="68"/>
        <v>0</v>
      </c>
      <c r="CS451">
        <f t="shared" si="69"/>
        <v>-164.56031421190198</v>
      </c>
      <c r="CT451">
        <f t="shared" si="70"/>
        <v>-125.50257963467617</v>
      </c>
      <c r="CU451" s="7">
        <f t="shared" si="71"/>
        <v>-145.03144692328908</v>
      </c>
      <c r="CV451" s="9">
        <f t="shared" ref="CV451:CV514" si="72">H451</f>
        <v>197.60550000000001</v>
      </c>
      <c r="CW451" t="str">
        <f t="shared" si="64"/>
        <v>LaNi</v>
      </c>
    </row>
    <row r="452" spans="1:101" ht="15.75" thickBot="1" x14ac:dyDescent="0.3">
      <c r="A452" t="s">
        <v>91</v>
      </c>
      <c r="B452" t="s">
        <v>2682</v>
      </c>
      <c r="C452" t="s">
        <v>3144</v>
      </c>
      <c r="E452" t="s">
        <v>3145</v>
      </c>
      <c r="F452" t="s">
        <v>93</v>
      </c>
      <c r="G452" t="s">
        <v>2683</v>
      </c>
      <c r="H452">
        <v>509.98</v>
      </c>
      <c r="I452">
        <v>1096</v>
      </c>
      <c r="M452">
        <f t="shared" si="65"/>
        <v>0</v>
      </c>
      <c r="O452" t="s">
        <v>93</v>
      </c>
      <c r="P452" t="s">
        <v>93</v>
      </c>
      <c r="Q452">
        <v>3.8071702300000001</v>
      </c>
      <c r="R452" t="s">
        <v>95</v>
      </c>
      <c r="S452">
        <v>-70.138865069999994</v>
      </c>
      <c r="T452">
        <f t="shared" si="66"/>
        <v>-137.53257984626848</v>
      </c>
      <c r="U452" t="s">
        <v>95</v>
      </c>
      <c r="V452">
        <v>463005</v>
      </c>
      <c r="W452" t="s">
        <v>184</v>
      </c>
      <c r="X452">
        <v>298</v>
      </c>
      <c r="Y452" t="s">
        <v>185</v>
      </c>
      <c r="Z452">
        <v>-77.599999999999994</v>
      </c>
      <c r="AA452" t="s">
        <v>95</v>
      </c>
      <c r="AB452">
        <f t="shared" si="67"/>
        <v>-152.16282991489862</v>
      </c>
      <c r="AC452" t="s">
        <v>93</v>
      </c>
      <c r="AD452">
        <v>1.6</v>
      </c>
      <c r="AE452" t="s">
        <v>95</v>
      </c>
      <c r="AF452" t="s">
        <v>93</v>
      </c>
      <c r="AH452" t="s">
        <v>93</v>
      </c>
      <c r="AI452" t="s">
        <v>93</v>
      </c>
      <c r="AQ452">
        <v>0.25</v>
      </c>
      <c r="AZ452">
        <v>0.5</v>
      </c>
      <c r="CF452">
        <v>0.25</v>
      </c>
      <c r="CR452">
        <f t="shared" si="68"/>
        <v>0</v>
      </c>
      <c r="CS452">
        <f t="shared" si="69"/>
        <v>-137.53257984626848</v>
      </c>
      <c r="CT452">
        <f t="shared" si="70"/>
        <v>-152.16282991489862</v>
      </c>
      <c r="CU452" s="7">
        <f t="shared" si="71"/>
        <v>-144.84770488058354</v>
      </c>
      <c r="CV452" s="9">
        <f t="shared" si="72"/>
        <v>509.98</v>
      </c>
      <c r="CW452" t="str">
        <f t="shared" si="64"/>
        <v>HfSnPd2</v>
      </c>
    </row>
    <row r="453" spans="1:101" ht="15.75" thickBot="1" x14ac:dyDescent="0.3">
      <c r="A453" t="s">
        <v>91</v>
      </c>
      <c r="B453" t="s">
        <v>1461</v>
      </c>
      <c r="C453" t="s">
        <v>3144</v>
      </c>
      <c r="E453" t="s">
        <v>3145</v>
      </c>
      <c r="F453" t="s">
        <v>93</v>
      </c>
      <c r="G453" t="s">
        <v>1462</v>
      </c>
      <c r="H453">
        <v>312.06549999999999</v>
      </c>
      <c r="I453">
        <v>561</v>
      </c>
      <c r="M453">
        <f t="shared" si="65"/>
        <v>0</v>
      </c>
      <c r="O453" t="s">
        <v>93</v>
      </c>
      <c r="P453" t="s">
        <v>93</v>
      </c>
      <c r="T453">
        <f t="shared" si="66"/>
        <v>0</v>
      </c>
      <c r="V453" t="s">
        <v>93</v>
      </c>
      <c r="W453" t="s">
        <v>1366</v>
      </c>
      <c r="X453">
        <v>298</v>
      </c>
      <c r="Y453" t="s">
        <v>1093</v>
      </c>
      <c r="Z453">
        <v>-44.9</v>
      </c>
      <c r="AA453" t="s">
        <v>95</v>
      </c>
      <c r="AB453">
        <f t="shared" si="67"/>
        <v>-143.88005082266383</v>
      </c>
      <c r="AC453" t="s">
        <v>93</v>
      </c>
      <c r="AD453">
        <v>1.2</v>
      </c>
      <c r="AE453" t="s">
        <v>95</v>
      </c>
      <c r="AF453" t="s">
        <v>93</v>
      </c>
      <c r="AH453" t="s">
        <v>93</v>
      </c>
      <c r="AI453" t="s">
        <v>93</v>
      </c>
      <c r="AJ453" t="s">
        <v>93</v>
      </c>
      <c r="AK453" t="s">
        <v>93</v>
      </c>
      <c r="BF453">
        <v>0.25</v>
      </c>
      <c r="BY453">
        <v>0.75</v>
      </c>
      <c r="CR453">
        <f t="shared" si="68"/>
        <v>0</v>
      </c>
      <c r="CS453">
        <f t="shared" si="69"/>
        <v>0</v>
      </c>
      <c r="CT453">
        <f t="shared" si="70"/>
        <v>-143.88005082266383</v>
      </c>
      <c r="CU453" s="7">
        <f t="shared" si="71"/>
        <v>-143.88005082266383</v>
      </c>
      <c r="CV453" s="9">
        <f t="shared" si="72"/>
        <v>312.06549999999999</v>
      </c>
      <c r="CW453" t="str">
        <f t="shared" si="64"/>
        <v>Ga3Rh</v>
      </c>
    </row>
    <row r="454" spans="1:101" ht="15.75" thickBot="1" x14ac:dyDescent="0.3">
      <c r="A454" t="s">
        <v>91</v>
      </c>
      <c r="B454" t="s">
        <v>411</v>
      </c>
      <c r="C454" t="s">
        <v>3144</v>
      </c>
      <c r="E454" t="s">
        <v>3145</v>
      </c>
      <c r="F454" t="s">
        <v>93</v>
      </c>
      <c r="G454" t="s">
        <v>412</v>
      </c>
      <c r="H454">
        <v>375.45650000000001</v>
      </c>
      <c r="I454">
        <v>169</v>
      </c>
      <c r="J454">
        <v>0</v>
      </c>
      <c r="K454" t="s">
        <v>95</v>
      </c>
      <c r="L454">
        <v>-52.073201609999998</v>
      </c>
      <c r="M454">
        <f t="shared" si="65"/>
        <v>-138.69303530502202</v>
      </c>
      <c r="N454" t="s">
        <v>95</v>
      </c>
      <c r="O454" t="s">
        <v>413</v>
      </c>
      <c r="P454" t="s">
        <v>93</v>
      </c>
      <c r="Q454">
        <v>0</v>
      </c>
      <c r="R454" t="s">
        <v>95</v>
      </c>
      <c r="S454">
        <v>-52.463825239999998</v>
      </c>
      <c r="T454">
        <f t="shared" si="66"/>
        <v>-139.73343180901117</v>
      </c>
      <c r="U454" t="s">
        <v>95</v>
      </c>
      <c r="V454">
        <v>28171</v>
      </c>
      <c r="W454" t="s">
        <v>135</v>
      </c>
      <c r="X454">
        <v>298</v>
      </c>
      <c r="Y454" t="s">
        <v>136</v>
      </c>
      <c r="Z454">
        <v>-57.03</v>
      </c>
      <c r="AA454" t="s">
        <v>95</v>
      </c>
      <c r="AB454">
        <f t="shared" si="67"/>
        <v>-151.89509304007257</v>
      </c>
      <c r="AC454" t="s">
        <v>93</v>
      </c>
      <c r="AD454">
        <v>1.29</v>
      </c>
      <c r="AE454" t="s">
        <v>95</v>
      </c>
      <c r="AF454" t="s">
        <v>93</v>
      </c>
      <c r="AQ454">
        <v>0.5</v>
      </c>
      <c r="BC454">
        <v>0.5</v>
      </c>
      <c r="CR454">
        <f t="shared" si="68"/>
        <v>-138.69303530502202</v>
      </c>
      <c r="CS454">
        <f t="shared" si="69"/>
        <v>-139.73343180901117</v>
      </c>
      <c r="CT454">
        <f t="shared" si="70"/>
        <v>-151.89509304007257</v>
      </c>
      <c r="CU454" s="7">
        <f t="shared" si="71"/>
        <v>-143.44052005136859</v>
      </c>
      <c r="CV454" s="9">
        <f t="shared" si="72"/>
        <v>375.45650000000001</v>
      </c>
      <c r="CW454" t="str">
        <f t="shared" si="64"/>
        <v>HfAu</v>
      </c>
    </row>
    <row r="455" spans="1:101" ht="15.75" thickBot="1" x14ac:dyDescent="0.3">
      <c r="A455" t="s">
        <v>91</v>
      </c>
      <c r="B455" t="s">
        <v>501</v>
      </c>
      <c r="C455" t="s">
        <v>3144</v>
      </c>
      <c r="E455" t="s">
        <v>3145</v>
      </c>
      <c r="F455" t="s">
        <v>93</v>
      </c>
      <c r="G455" t="s">
        <v>502</v>
      </c>
      <c r="H455">
        <v>152.45189999999999</v>
      </c>
      <c r="I455">
        <v>203</v>
      </c>
      <c r="J455">
        <v>0</v>
      </c>
      <c r="K455" t="s">
        <v>95</v>
      </c>
      <c r="L455">
        <v>-22.722735839999999</v>
      </c>
      <c r="M455">
        <f t="shared" si="65"/>
        <v>-149.04855787300781</v>
      </c>
      <c r="N455" t="s">
        <v>95</v>
      </c>
      <c r="O455" t="s">
        <v>503</v>
      </c>
      <c r="P455" t="s">
        <v>93</v>
      </c>
      <c r="Q455">
        <v>0</v>
      </c>
      <c r="R455" t="s">
        <v>95</v>
      </c>
      <c r="S455">
        <v>-23.53798433</v>
      </c>
      <c r="T455">
        <f t="shared" si="66"/>
        <v>-154.39613628954444</v>
      </c>
      <c r="U455" t="s">
        <v>95</v>
      </c>
      <c r="V455">
        <v>88957</v>
      </c>
      <c r="W455" t="s">
        <v>102</v>
      </c>
      <c r="X455">
        <v>298</v>
      </c>
      <c r="Y455" t="s">
        <v>103</v>
      </c>
      <c r="Z455">
        <v>-19.34</v>
      </c>
      <c r="AA455" t="s">
        <v>95</v>
      </c>
      <c r="AB455">
        <f t="shared" si="67"/>
        <v>-126.85968492357262</v>
      </c>
      <c r="AC455" t="s">
        <v>93</v>
      </c>
      <c r="AD455">
        <v>0.22</v>
      </c>
      <c r="AE455" t="s">
        <v>95</v>
      </c>
      <c r="AF455" t="s">
        <v>93</v>
      </c>
      <c r="AG455">
        <v>0.5</v>
      </c>
      <c r="AX455">
        <v>0.5</v>
      </c>
      <c r="CR455">
        <f t="shared" si="68"/>
        <v>-149.04855787300781</v>
      </c>
      <c r="CS455">
        <f t="shared" si="69"/>
        <v>-154.39613628954444</v>
      </c>
      <c r="CT455">
        <f t="shared" si="70"/>
        <v>-126.85968492357262</v>
      </c>
      <c r="CU455" s="7">
        <f t="shared" si="71"/>
        <v>-143.4347930287083</v>
      </c>
      <c r="CV455" s="9">
        <f t="shared" si="72"/>
        <v>152.45189999999999</v>
      </c>
      <c r="CW455" t="str">
        <f t="shared" si="64"/>
        <v>YCu</v>
      </c>
    </row>
    <row r="456" spans="1:101" ht="15.75" thickBot="1" x14ac:dyDescent="0.3">
      <c r="A456" t="s">
        <v>91</v>
      </c>
      <c r="B456" t="s">
        <v>1868</v>
      </c>
      <c r="C456" t="s">
        <v>3144</v>
      </c>
      <c r="E456" t="s">
        <v>3145</v>
      </c>
      <c r="F456" t="s">
        <v>93</v>
      </c>
      <c r="G456" t="s">
        <v>1869</v>
      </c>
      <c r="H456">
        <v>258.26799999999997</v>
      </c>
      <c r="I456">
        <v>713</v>
      </c>
      <c r="M456">
        <f t="shared" si="65"/>
        <v>0</v>
      </c>
      <c r="O456" t="s">
        <v>93</v>
      </c>
      <c r="P456" t="s">
        <v>93</v>
      </c>
      <c r="T456">
        <f t="shared" si="66"/>
        <v>0</v>
      </c>
      <c r="V456" t="s">
        <v>93</v>
      </c>
      <c r="W456" t="s">
        <v>358</v>
      </c>
      <c r="X456">
        <v>298</v>
      </c>
      <c r="Y456" t="s">
        <v>359</v>
      </c>
      <c r="Z456">
        <v>-37</v>
      </c>
      <c r="AA456" t="s">
        <v>95</v>
      </c>
      <c r="AB456">
        <f t="shared" si="67"/>
        <v>-143.26203788312915</v>
      </c>
      <c r="AC456" t="s">
        <v>93</v>
      </c>
      <c r="AD456">
        <v>2.7</v>
      </c>
      <c r="AE456" t="s">
        <v>95</v>
      </c>
      <c r="AF456" t="s">
        <v>93</v>
      </c>
      <c r="AH456" t="s">
        <v>93</v>
      </c>
      <c r="AI456" t="s">
        <v>93</v>
      </c>
      <c r="AJ456" t="s">
        <v>93</v>
      </c>
      <c r="AK456" t="s">
        <v>93</v>
      </c>
      <c r="BN456">
        <v>0.5</v>
      </c>
      <c r="CR456">
        <f t="shared" si="68"/>
        <v>0</v>
      </c>
      <c r="CS456">
        <f t="shared" si="69"/>
        <v>0</v>
      </c>
      <c r="CT456">
        <f t="shared" si="70"/>
        <v>-143.26203788312915</v>
      </c>
      <c r="CU456" s="7">
        <f t="shared" si="71"/>
        <v>-143.26203788312915</v>
      </c>
      <c r="CV456" s="9">
        <f t="shared" si="72"/>
        <v>258.26799999999997</v>
      </c>
      <c r="CW456" t="str">
        <f t="shared" si="64"/>
        <v>AgSm</v>
      </c>
    </row>
    <row r="457" spans="1:101" ht="15.75" thickBot="1" x14ac:dyDescent="0.3">
      <c r="A457" t="s">
        <v>91</v>
      </c>
      <c r="B457" t="s">
        <v>783</v>
      </c>
      <c r="C457" t="s">
        <v>3144</v>
      </c>
      <c r="E457" t="s">
        <v>3145</v>
      </c>
      <c r="F457" t="s">
        <v>93</v>
      </c>
      <c r="G457" t="s">
        <v>784</v>
      </c>
      <c r="H457">
        <v>202.94</v>
      </c>
      <c r="I457">
        <v>315</v>
      </c>
      <c r="J457">
        <v>0</v>
      </c>
      <c r="K457" t="s">
        <v>95</v>
      </c>
      <c r="L457">
        <v>-30.642900539999999</v>
      </c>
      <c r="M457">
        <f t="shared" si="65"/>
        <v>-150.99487799349563</v>
      </c>
      <c r="N457" t="s">
        <v>95</v>
      </c>
      <c r="O457" t="s">
        <v>785</v>
      </c>
      <c r="P457" t="s">
        <v>93</v>
      </c>
      <c r="Q457">
        <v>0</v>
      </c>
      <c r="R457" t="s">
        <v>95</v>
      </c>
      <c r="S457">
        <v>-31.398065219999999</v>
      </c>
      <c r="T457">
        <f t="shared" si="66"/>
        <v>-154.71600088696167</v>
      </c>
      <c r="U457" t="s">
        <v>95</v>
      </c>
      <c r="V457">
        <v>30796</v>
      </c>
      <c r="W457" t="s">
        <v>430</v>
      </c>
      <c r="X457">
        <v>298</v>
      </c>
      <c r="Y457" t="s">
        <v>147</v>
      </c>
      <c r="Z457">
        <v>-25</v>
      </c>
      <c r="AA457" t="s">
        <v>95</v>
      </c>
      <c r="AB457">
        <f t="shared" si="67"/>
        <v>-123.18911993692718</v>
      </c>
      <c r="AC457" t="s">
        <v>93</v>
      </c>
      <c r="AD457">
        <v>1.5</v>
      </c>
      <c r="AE457" t="s">
        <v>95</v>
      </c>
      <c r="AF457" t="s">
        <v>93</v>
      </c>
      <c r="AO457">
        <v>0.5</v>
      </c>
      <c r="AS457">
        <v>0.5</v>
      </c>
      <c r="CR457">
        <f t="shared" si="68"/>
        <v>-150.99487799349563</v>
      </c>
      <c r="CS457">
        <f t="shared" si="69"/>
        <v>-154.71600088696167</v>
      </c>
      <c r="CT457">
        <f t="shared" si="70"/>
        <v>-123.18911993692718</v>
      </c>
      <c r="CU457" s="7">
        <f t="shared" si="71"/>
        <v>-142.96666627246148</v>
      </c>
      <c r="CV457" s="9">
        <f t="shared" si="72"/>
        <v>202.94</v>
      </c>
      <c r="CW457" t="str">
        <f t="shared" si="64"/>
        <v>NdNi</v>
      </c>
    </row>
    <row r="458" spans="1:101" ht="15.75" thickBot="1" x14ac:dyDescent="0.3">
      <c r="A458" t="s">
        <v>484</v>
      </c>
      <c r="B458" t="s">
        <v>93</v>
      </c>
      <c r="C458" t="s">
        <v>3138</v>
      </c>
      <c r="D458" t="s">
        <v>3139</v>
      </c>
      <c r="F458" t="s">
        <v>3140</v>
      </c>
      <c r="G458" t="s">
        <v>2335</v>
      </c>
      <c r="H458">
        <v>279.89999999999998</v>
      </c>
      <c r="I458">
        <v>941</v>
      </c>
      <c r="J458">
        <v>0</v>
      </c>
      <c r="K458" t="s">
        <v>95</v>
      </c>
      <c r="L458">
        <v>-43.663414920000001</v>
      </c>
      <c r="M458">
        <f t="shared" si="65"/>
        <v>-155.99648060021437</v>
      </c>
      <c r="N458" t="s">
        <v>95</v>
      </c>
      <c r="O458" t="s">
        <v>2336</v>
      </c>
      <c r="P458" t="s">
        <v>93</v>
      </c>
      <c r="Q458">
        <v>0</v>
      </c>
      <c r="R458" t="s">
        <v>95</v>
      </c>
      <c r="S458">
        <v>-43.67076411</v>
      </c>
      <c r="T458">
        <f t="shared" si="66"/>
        <v>-156.02273708467311</v>
      </c>
      <c r="U458" t="s">
        <v>95</v>
      </c>
      <c r="V458">
        <v>19331</v>
      </c>
      <c r="W458" t="s">
        <v>159</v>
      </c>
      <c r="X458">
        <v>298</v>
      </c>
      <c r="Y458" t="s">
        <v>160</v>
      </c>
      <c r="Z458">
        <v>-32.6</v>
      </c>
      <c r="AA458" t="s">
        <v>95</v>
      </c>
      <c r="AB458">
        <f t="shared" si="67"/>
        <v>-116.47016791711327</v>
      </c>
      <c r="AC458" t="s">
        <v>93</v>
      </c>
      <c r="AD458">
        <v>1.8</v>
      </c>
      <c r="AE458" t="s">
        <v>95</v>
      </c>
      <c r="AF458" t="s">
        <v>93</v>
      </c>
      <c r="AS458">
        <v>0.66800000000000004</v>
      </c>
      <c r="BG458">
        <v>0.33200000000000002</v>
      </c>
      <c r="CR458">
        <f t="shared" si="68"/>
        <v>-155.99648060021437</v>
      </c>
      <c r="CS458">
        <f t="shared" si="69"/>
        <v>-156.02273708467311</v>
      </c>
      <c r="CT458">
        <f t="shared" si="70"/>
        <v>-116.47016791711327</v>
      </c>
      <c r="CU458" s="7">
        <f t="shared" si="71"/>
        <v>-142.82979520066692</v>
      </c>
      <c r="CV458" s="9">
        <f t="shared" si="72"/>
        <v>279.89999999999998</v>
      </c>
      <c r="CW458" t="str">
        <f t="shared" si="64"/>
        <v>DyNi2</v>
      </c>
    </row>
    <row r="459" spans="1:101" ht="15.75" thickBot="1" x14ac:dyDescent="0.3">
      <c r="A459" t="s">
        <v>91</v>
      </c>
      <c r="B459" t="s">
        <v>832</v>
      </c>
      <c r="C459" t="s">
        <v>3144</v>
      </c>
      <c r="E459" t="s">
        <v>3145</v>
      </c>
      <c r="F459" t="s">
        <v>93</v>
      </c>
      <c r="G459" t="s">
        <v>833</v>
      </c>
      <c r="H459">
        <v>199.60769999999999</v>
      </c>
      <c r="I459">
        <v>332</v>
      </c>
      <c r="J459">
        <v>0</v>
      </c>
      <c r="K459" t="s">
        <v>95</v>
      </c>
      <c r="L459">
        <v>-28.190002710000002</v>
      </c>
      <c r="M459">
        <f t="shared" si="65"/>
        <v>-141.22703037007091</v>
      </c>
      <c r="N459" t="s">
        <v>95</v>
      </c>
      <c r="O459" t="s">
        <v>834</v>
      </c>
      <c r="P459" t="s">
        <v>93</v>
      </c>
      <c r="Q459">
        <v>0</v>
      </c>
      <c r="R459" t="s">
        <v>95</v>
      </c>
      <c r="S459">
        <v>-28.940745570000001</v>
      </c>
      <c r="T459">
        <f t="shared" si="66"/>
        <v>-144.98812205140385</v>
      </c>
      <c r="U459" t="s">
        <v>95</v>
      </c>
      <c r="V459">
        <v>30838</v>
      </c>
      <c r="W459" t="s">
        <v>430</v>
      </c>
      <c r="X459">
        <v>298</v>
      </c>
      <c r="Y459" t="s">
        <v>147</v>
      </c>
      <c r="Z459">
        <v>-28.1</v>
      </c>
      <c r="AA459" t="s">
        <v>95</v>
      </c>
      <c r="AB459">
        <f t="shared" si="67"/>
        <v>-140.77613238367059</v>
      </c>
      <c r="AC459" t="s">
        <v>93</v>
      </c>
      <c r="AD459">
        <v>1.1000000000000001</v>
      </c>
      <c r="AE459" t="s">
        <v>95</v>
      </c>
      <c r="AF459" t="s">
        <v>93</v>
      </c>
      <c r="AN459">
        <v>0.5</v>
      </c>
      <c r="AS459">
        <v>0.5</v>
      </c>
      <c r="CR459">
        <f t="shared" si="68"/>
        <v>-141.22703037007091</v>
      </c>
      <c r="CS459">
        <f t="shared" si="69"/>
        <v>-144.98812205140385</v>
      </c>
      <c r="CT459">
        <f t="shared" si="70"/>
        <v>-140.77613238367059</v>
      </c>
      <c r="CU459" s="7">
        <f t="shared" si="71"/>
        <v>-142.33042826838178</v>
      </c>
      <c r="CV459" s="9">
        <f t="shared" si="72"/>
        <v>199.60769999999999</v>
      </c>
      <c r="CW459" t="str">
        <f t="shared" si="64"/>
        <v>PrNi</v>
      </c>
    </row>
    <row r="460" spans="1:101" ht="15.75" thickBot="1" x14ac:dyDescent="0.3">
      <c r="A460" t="s">
        <v>91</v>
      </c>
      <c r="B460" t="s">
        <v>588</v>
      </c>
      <c r="C460" t="s">
        <v>3144</v>
      </c>
      <c r="E460" t="s">
        <v>3145</v>
      </c>
      <c r="F460" t="s">
        <v>93</v>
      </c>
      <c r="G460" t="s">
        <v>589</v>
      </c>
      <c r="H460">
        <v>551.70000000000005</v>
      </c>
      <c r="I460">
        <v>239</v>
      </c>
      <c r="J460">
        <v>0</v>
      </c>
      <c r="K460" t="s">
        <v>95</v>
      </c>
      <c r="L460">
        <v>-79.466475990000006</v>
      </c>
      <c r="M460">
        <f t="shared" si="65"/>
        <v>-144.03928945078849</v>
      </c>
      <c r="N460" t="s">
        <v>95</v>
      </c>
      <c r="O460" t="s">
        <v>590</v>
      </c>
      <c r="P460" t="s">
        <v>93</v>
      </c>
      <c r="Q460">
        <v>0</v>
      </c>
      <c r="R460" t="s">
        <v>95</v>
      </c>
      <c r="S460">
        <v>-80.031046989999993</v>
      </c>
      <c r="T460">
        <f t="shared" si="66"/>
        <v>-145.06261915896317</v>
      </c>
      <c r="U460" t="s">
        <v>95</v>
      </c>
      <c r="V460">
        <v>29997</v>
      </c>
      <c r="W460" t="s">
        <v>159</v>
      </c>
      <c r="X460">
        <v>298</v>
      </c>
      <c r="Y460" t="s">
        <v>160</v>
      </c>
      <c r="Z460">
        <v>-75.900000000000006</v>
      </c>
      <c r="AA460" t="s">
        <v>95</v>
      </c>
      <c r="AB460">
        <f t="shared" si="67"/>
        <v>-137.5747688961392</v>
      </c>
      <c r="AC460" t="s">
        <v>93</v>
      </c>
      <c r="AD460">
        <v>2.2000000000000002</v>
      </c>
      <c r="AE460" t="s">
        <v>95</v>
      </c>
      <c r="AF460" t="s">
        <v>93</v>
      </c>
      <c r="BB460">
        <v>0.66</v>
      </c>
      <c r="BH460">
        <v>0.33</v>
      </c>
      <c r="CR460">
        <f t="shared" si="68"/>
        <v>-144.03928945078849</v>
      </c>
      <c r="CS460">
        <f t="shared" si="69"/>
        <v>-145.06261915896317</v>
      </c>
      <c r="CT460">
        <f t="shared" si="70"/>
        <v>-137.5747688961392</v>
      </c>
      <c r="CU460" s="7">
        <f t="shared" si="71"/>
        <v>-142.2255591686303</v>
      </c>
      <c r="CV460" s="9">
        <f t="shared" si="72"/>
        <v>551.70000000000005</v>
      </c>
      <c r="CW460" t="str">
        <f t="shared" si="64"/>
        <v>ErIr2</v>
      </c>
    </row>
    <row r="461" spans="1:101" ht="15.75" thickBot="1" x14ac:dyDescent="0.3">
      <c r="A461" t="s">
        <v>484</v>
      </c>
      <c r="B461" t="s">
        <v>1614</v>
      </c>
      <c r="C461" t="s">
        <v>3138</v>
      </c>
      <c r="D461" t="s">
        <v>3139</v>
      </c>
      <c r="F461" t="s">
        <v>3140</v>
      </c>
      <c r="G461" t="s">
        <v>1615</v>
      </c>
      <c r="H461">
        <v>540.35649999999998</v>
      </c>
      <c r="I461">
        <v>621</v>
      </c>
      <c r="J461">
        <v>0.72828300999999995</v>
      </c>
      <c r="K461" t="s">
        <v>95</v>
      </c>
      <c r="L461">
        <v>-78.900368270000001</v>
      </c>
      <c r="M461">
        <f t="shared" si="65"/>
        <v>-146.01539589141612</v>
      </c>
      <c r="N461" t="s">
        <v>95</v>
      </c>
      <c r="O461" t="s">
        <v>1616</v>
      </c>
      <c r="P461" t="s">
        <v>93</v>
      </c>
      <c r="Q461">
        <v>0.77054772000000005</v>
      </c>
      <c r="R461" t="s">
        <v>95</v>
      </c>
      <c r="S461">
        <v>-79.03882265</v>
      </c>
      <c r="T461">
        <f t="shared" si="66"/>
        <v>-146.2716237335907</v>
      </c>
      <c r="U461" t="s">
        <v>95</v>
      </c>
      <c r="V461">
        <v>31218</v>
      </c>
      <c r="W461" t="s">
        <v>339</v>
      </c>
      <c r="X461">
        <v>298</v>
      </c>
      <c r="Y461" t="s">
        <v>1403</v>
      </c>
      <c r="Z461">
        <v>-71.7</v>
      </c>
      <c r="AA461" t="s">
        <v>95</v>
      </c>
      <c r="AB461">
        <f t="shared" si="67"/>
        <v>-132.69017768824841</v>
      </c>
      <c r="AC461" t="s">
        <v>93</v>
      </c>
      <c r="AD461">
        <v>4.8</v>
      </c>
      <c r="AE461" t="s">
        <v>95</v>
      </c>
      <c r="AF461" t="s">
        <v>93</v>
      </c>
      <c r="AP461">
        <v>0.625</v>
      </c>
      <c r="BX461">
        <v>0.375</v>
      </c>
      <c r="CR461">
        <f t="shared" si="68"/>
        <v>-146.01539589141612</v>
      </c>
      <c r="CS461">
        <f t="shared" si="69"/>
        <v>-146.2716237335907</v>
      </c>
      <c r="CT461">
        <f t="shared" si="70"/>
        <v>-132.69017768824841</v>
      </c>
      <c r="CU461" s="7">
        <f t="shared" si="71"/>
        <v>-141.65906577108507</v>
      </c>
      <c r="CV461" s="9">
        <f t="shared" si="72"/>
        <v>540.35649999999998</v>
      </c>
      <c r="CW461" t="str">
        <f t="shared" si="64"/>
        <v>Zr5Si3</v>
      </c>
    </row>
    <row r="462" spans="1:101" ht="15.75" thickBot="1" x14ac:dyDescent="0.3">
      <c r="A462" t="s">
        <v>91</v>
      </c>
      <c r="B462" t="s">
        <v>1877</v>
      </c>
      <c r="C462" t="s">
        <v>3144</v>
      </c>
      <c r="E462" t="s">
        <v>3145</v>
      </c>
      <c r="F462" t="s">
        <v>93</v>
      </c>
      <c r="G462" t="s">
        <v>1878</v>
      </c>
      <c r="H462">
        <v>544.33299999999997</v>
      </c>
      <c r="I462">
        <v>717</v>
      </c>
      <c r="M462">
        <f t="shared" si="65"/>
        <v>0</v>
      </c>
      <c r="O462" t="s">
        <v>93</v>
      </c>
      <c r="P462" t="s">
        <v>93</v>
      </c>
      <c r="T462">
        <f t="shared" si="66"/>
        <v>0</v>
      </c>
      <c r="V462" t="s">
        <v>93</v>
      </c>
      <c r="W462" t="s">
        <v>379</v>
      </c>
      <c r="X462">
        <v>298</v>
      </c>
      <c r="Y462" t="s">
        <v>136</v>
      </c>
      <c r="Z462">
        <v>-77.099999999999994</v>
      </c>
      <c r="AA462" t="s">
        <v>95</v>
      </c>
      <c r="AB462">
        <f t="shared" si="67"/>
        <v>-141.64123799218493</v>
      </c>
      <c r="AC462" t="s">
        <v>93</v>
      </c>
      <c r="AD462">
        <v>1.3</v>
      </c>
      <c r="AE462" t="s">
        <v>95</v>
      </c>
      <c r="AF462" t="s">
        <v>93</v>
      </c>
      <c r="AH462" t="s">
        <v>93</v>
      </c>
      <c r="AI462" t="s">
        <v>93</v>
      </c>
      <c r="AJ462" t="s">
        <v>93</v>
      </c>
      <c r="AK462" t="s">
        <v>93</v>
      </c>
      <c r="BC462">
        <v>0.66</v>
      </c>
      <c r="BN462">
        <v>0.33</v>
      </c>
      <c r="CR462">
        <f t="shared" si="68"/>
        <v>0</v>
      </c>
      <c r="CS462">
        <f t="shared" si="69"/>
        <v>0</v>
      </c>
      <c r="CT462">
        <f t="shared" si="70"/>
        <v>-141.64123799218493</v>
      </c>
      <c r="CU462" s="7">
        <f t="shared" si="71"/>
        <v>-141.64123799218493</v>
      </c>
      <c r="CV462" s="9">
        <f t="shared" si="72"/>
        <v>544.33299999999997</v>
      </c>
      <c r="CW462" t="str">
        <f t="shared" si="64"/>
        <v>Au2Sm</v>
      </c>
    </row>
    <row r="463" spans="1:101" ht="15.75" thickBot="1" x14ac:dyDescent="0.3">
      <c r="A463" t="s">
        <v>91</v>
      </c>
      <c r="B463" t="s">
        <v>195</v>
      </c>
      <c r="C463" t="s">
        <v>3144</v>
      </c>
      <c r="E463" t="s">
        <v>3145</v>
      </c>
      <c r="F463" t="s">
        <v>93</v>
      </c>
      <c r="G463" t="s">
        <v>196</v>
      </c>
      <c r="H463">
        <v>197.37554</v>
      </c>
      <c r="I463">
        <v>31</v>
      </c>
      <c r="M463">
        <f t="shared" si="65"/>
        <v>0</v>
      </c>
      <c r="O463" t="s">
        <v>93</v>
      </c>
      <c r="P463" t="s">
        <v>93</v>
      </c>
      <c r="T463">
        <f t="shared" si="66"/>
        <v>0</v>
      </c>
      <c r="V463" t="s">
        <v>93</v>
      </c>
      <c r="W463" t="s">
        <v>102</v>
      </c>
      <c r="X463">
        <v>298</v>
      </c>
      <c r="Y463" t="s">
        <v>103</v>
      </c>
      <c r="Z463">
        <v>-27.9</v>
      </c>
      <c r="AA463" t="s">
        <v>95</v>
      </c>
      <c r="AB463">
        <f t="shared" si="67"/>
        <v>-141.35490142294228</v>
      </c>
      <c r="AC463" t="s">
        <v>93</v>
      </c>
      <c r="AD463">
        <v>1.4</v>
      </c>
      <c r="AE463" t="s">
        <v>95</v>
      </c>
      <c r="AF463" t="s">
        <v>93</v>
      </c>
      <c r="AH463" t="s">
        <v>93</v>
      </c>
      <c r="AI463" t="s">
        <v>93</v>
      </c>
      <c r="AJ463" t="s">
        <v>93</v>
      </c>
      <c r="AK463" t="s">
        <v>93</v>
      </c>
      <c r="AR463">
        <v>0.25</v>
      </c>
      <c r="AS463">
        <v>0.25</v>
      </c>
      <c r="AT463">
        <v>0.5</v>
      </c>
      <c r="CR463">
        <f t="shared" si="68"/>
        <v>0</v>
      </c>
      <c r="CS463">
        <f t="shared" si="69"/>
        <v>0</v>
      </c>
      <c r="CT463">
        <f t="shared" si="70"/>
        <v>-141.35490142294228</v>
      </c>
      <c r="CU463" s="7">
        <f t="shared" si="71"/>
        <v>-141.35490142294228</v>
      </c>
      <c r="CV463" s="9">
        <f t="shared" si="72"/>
        <v>197.37554</v>
      </c>
      <c r="CW463" t="str">
        <f t="shared" si="64"/>
        <v>AlFe2Ni</v>
      </c>
    </row>
    <row r="464" spans="1:101" ht="15.75" thickBot="1" x14ac:dyDescent="0.3">
      <c r="A464" t="s">
        <v>91</v>
      </c>
      <c r="B464" t="s">
        <v>680</v>
      </c>
      <c r="C464" t="s">
        <v>3144</v>
      </c>
      <c r="E464" t="s">
        <v>3145</v>
      </c>
      <c r="F464" t="s">
        <v>93</v>
      </c>
      <c r="G464" t="s">
        <v>681</v>
      </c>
      <c r="H464">
        <v>549.37040000000002</v>
      </c>
      <c r="I464">
        <v>275</v>
      </c>
      <c r="J464">
        <v>0</v>
      </c>
      <c r="K464" t="s">
        <v>95</v>
      </c>
      <c r="L464">
        <v>-78.951410150000001</v>
      </c>
      <c r="M464">
        <f t="shared" si="65"/>
        <v>-143.71253010719181</v>
      </c>
      <c r="N464" t="s">
        <v>95</v>
      </c>
      <c r="O464" t="s">
        <v>682</v>
      </c>
      <c r="P464" t="s">
        <v>93</v>
      </c>
      <c r="Q464">
        <v>0</v>
      </c>
      <c r="R464" t="s">
        <v>95</v>
      </c>
      <c r="S464">
        <v>-79.412286760000001</v>
      </c>
      <c r="T464">
        <f t="shared" si="66"/>
        <v>-144.55144791200982</v>
      </c>
      <c r="U464" t="s">
        <v>95</v>
      </c>
      <c r="V464">
        <v>17458</v>
      </c>
      <c r="W464" t="s">
        <v>159</v>
      </c>
      <c r="X464">
        <v>298</v>
      </c>
      <c r="Y464" t="s">
        <v>160</v>
      </c>
      <c r="Z464">
        <v>-74.400000000000006</v>
      </c>
      <c r="AA464" t="s">
        <v>95</v>
      </c>
      <c r="AB464">
        <f t="shared" si="67"/>
        <v>-135.42775511749451</v>
      </c>
      <c r="AC464" t="s">
        <v>93</v>
      </c>
      <c r="AD464">
        <v>2</v>
      </c>
      <c r="AE464" t="s">
        <v>95</v>
      </c>
      <c r="AF464" t="s">
        <v>93</v>
      </c>
      <c r="BB464">
        <v>0.66</v>
      </c>
      <c r="BJ464">
        <v>0.33</v>
      </c>
      <c r="CR464">
        <f t="shared" si="68"/>
        <v>-143.71253010719181</v>
      </c>
      <c r="CS464">
        <f t="shared" si="69"/>
        <v>-144.55144791200982</v>
      </c>
      <c r="CT464">
        <f t="shared" si="70"/>
        <v>-135.42775511749451</v>
      </c>
      <c r="CU464" s="7">
        <f t="shared" si="71"/>
        <v>-141.23057771223205</v>
      </c>
      <c r="CV464" s="9">
        <f t="shared" si="72"/>
        <v>549.37040000000002</v>
      </c>
      <c r="CW464" t="str">
        <f t="shared" si="64"/>
        <v>HoIr2</v>
      </c>
    </row>
    <row r="465" spans="1:101" ht="15.75" thickBot="1" x14ac:dyDescent="0.3">
      <c r="A465" t="s">
        <v>91</v>
      </c>
      <c r="B465" t="s">
        <v>2798</v>
      </c>
      <c r="C465" t="s">
        <v>3144</v>
      </c>
      <c r="E465" t="s">
        <v>3145</v>
      </c>
      <c r="F465" t="s">
        <v>93</v>
      </c>
      <c r="G465" t="s">
        <v>2799</v>
      </c>
      <c r="H465">
        <v>333.339</v>
      </c>
      <c r="I465">
        <v>1144</v>
      </c>
      <c r="J465">
        <v>0</v>
      </c>
      <c r="K465" t="s">
        <v>95</v>
      </c>
      <c r="L465">
        <v>-42.735630800000003</v>
      </c>
      <c r="M465">
        <f t="shared" si="65"/>
        <v>-128.20471291988036</v>
      </c>
      <c r="N465" t="s">
        <v>95</v>
      </c>
      <c r="O465" t="s">
        <v>2800</v>
      </c>
      <c r="P465" t="s">
        <v>93</v>
      </c>
      <c r="Q465">
        <v>4.9059400000000003E-2</v>
      </c>
      <c r="R465" t="s">
        <v>95</v>
      </c>
      <c r="S465">
        <v>-43.368100429999998</v>
      </c>
      <c r="T465">
        <f t="shared" si="66"/>
        <v>-130.10208955447757</v>
      </c>
      <c r="U465" t="s">
        <v>95</v>
      </c>
      <c r="V465">
        <v>647271</v>
      </c>
      <c r="W465" t="s">
        <v>184</v>
      </c>
      <c r="X465">
        <v>298</v>
      </c>
      <c r="Y465" t="s">
        <v>185</v>
      </c>
      <c r="Z465">
        <v>-55</v>
      </c>
      <c r="AA465" t="s">
        <v>95</v>
      </c>
      <c r="AB465">
        <f t="shared" si="67"/>
        <v>-164.99719504768419</v>
      </c>
      <c r="AC465" t="s">
        <v>93</v>
      </c>
      <c r="AD465">
        <v>2.4</v>
      </c>
      <c r="AE465" t="s">
        <v>95</v>
      </c>
      <c r="AF465" t="s">
        <v>93</v>
      </c>
      <c r="BF465">
        <v>0.5</v>
      </c>
      <c r="BR465">
        <v>0.25</v>
      </c>
      <c r="CA465">
        <v>0.25</v>
      </c>
      <c r="CR465">
        <f t="shared" si="68"/>
        <v>-128.20471291988036</v>
      </c>
      <c r="CS465">
        <f t="shared" si="69"/>
        <v>-130.10208955447757</v>
      </c>
      <c r="CT465">
        <f t="shared" si="70"/>
        <v>-164.99719504768419</v>
      </c>
      <c r="CU465" s="7">
        <f t="shared" si="71"/>
        <v>-141.10133250734737</v>
      </c>
      <c r="CV465" s="9">
        <f t="shared" si="72"/>
        <v>333.339</v>
      </c>
      <c r="CW465" t="str">
        <f t="shared" si="64"/>
        <v>MnGeRh2</v>
      </c>
    </row>
    <row r="466" spans="1:101" ht="15.75" thickBot="1" x14ac:dyDescent="0.3">
      <c r="A466" t="s">
        <v>91</v>
      </c>
      <c r="B466" t="s">
        <v>637</v>
      </c>
      <c r="C466" t="s">
        <v>3144</v>
      </c>
      <c r="E466" t="s">
        <v>3145</v>
      </c>
      <c r="F466" t="s">
        <v>93</v>
      </c>
      <c r="G466" t="s">
        <v>638</v>
      </c>
      <c r="H466">
        <v>354.59</v>
      </c>
      <c r="I466">
        <v>258</v>
      </c>
      <c r="J466">
        <v>0</v>
      </c>
      <c r="K466" t="s">
        <v>95</v>
      </c>
      <c r="L466">
        <v>-52.063210840000004</v>
      </c>
      <c r="M466">
        <f t="shared" si="65"/>
        <v>-146.82650621844951</v>
      </c>
      <c r="N466" t="s">
        <v>95</v>
      </c>
      <c r="O466" t="s">
        <v>639</v>
      </c>
      <c r="P466" t="s">
        <v>93</v>
      </c>
      <c r="T466">
        <f t="shared" si="66"/>
        <v>0</v>
      </c>
      <c r="V466" t="s">
        <v>93</v>
      </c>
      <c r="W466" t="s">
        <v>640</v>
      </c>
      <c r="X466">
        <v>298</v>
      </c>
      <c r="Y466" t="s">
        <v>179</v>
      </c>
      <c r="Z466">
        <v>-47.8</v>
      </c>
      <c r="AA466" t="s">
        <v>95</v>
      </c>
      <c r="AB466">
        <f t="shared" si="67"/>
        <v>-134.80357596096903</v>
      </c>
      <c r="AC466" t="s">
        <v>93</v>
      </c>
      <c r="AD466">
        <v>1.4</v>
      </c>
      <c r="AE466" t="s">
        <v>95</v>
      </c>
      <c r="AF466" t="s">
        <v>93</v>
      </c>
      <c r="AJ466" t="s">
        <v>93</v>
      </c>
      <c r="AK466" t="s">
        <v>93</v>
      </c>
      <c r="AQ466">
        <v>0.25</v>
      </c>
      <c r="AS466">
        <v>0.75</v>
      </c>
      <c r="CR466">
        <f t="shared" si="68"/>
        <v>-146.82650621844951</v>
      </c>
      <c r="CS466">
        <f t="shared" si="69"/>
        <v>0</v>
      </c>
      <c r="CT466">
        <f t="shared" si="70"/>
        <v>-134.80357596096903</v>
      </c>
      <c r="CU466" s="7">
        <f t="shared" si="71"/>
        <v>-140.81504108970927</v>
      </c>
      <c r="CV466" s="9">
        <f t="shared" si="72"/>
        <v>354.59</v>
      </c>
      <c r="CW466" t="str">
        <f t="shared" si="64"/>
        <v>HfNi3</v>
      </c>
    </row>
    <row r="467" spans="1:101" ht="15.75" thickBot="1" x14ac:dyDescent="0.3">
      <c r="A467" t="s">
        <v>91</v>
      </c>
      <c r="B467" t="s">
        <v>93</v>
      </c>
      <c r="C467" t="s">
        <v>3144</v>
      </c>
      <c r="E467" t="s">
        <v>3145</v>
      </c>
      <c r="F467" t="s">
        <v>93</v>
      </c>
      <c r="G467" t="s">
        <v>308</v>
      </c>
      <c r="H467">
        <v>619.20770000000005</v>
      </c>
      <c r="I467">
        <v>117</v>
      </c>
      <c r="M467">
        <f t="shared" si="65"/>
        <v>0</v>
      </c>
      <c r="O467" t="s">
        <v>93</v>
      </c>
      <c r="P467" t="s">
        <v>93</v>
      </c>
      <c r="T467">
        <f t="shared" si="66"/>
        <v>0</v>
      </c>
      <c r="V467" t="s">
        <v>93</v>
      </c>
      <c r="W467" t="s">
        <v>102</v>
      </c>
      <c r="X467">
        <v>298</v>
      </c>
      <c r="Y467" t="s">
        <v>103</v>
      </c>
      <c r="Z467">
        <v>-87.16</v>
      </c>
      <c r="AA467" t="s">
        <v>95</v>
      </c>
      <c r="AB467">
        <f t="shared" si="67"/>
        <v>-140.76052348832224</v>
      </c>
      <c r="AC467" t="s">
        <v>93</v>
      </c>
      <c r="AD467">
        <v>4.8499999999999996</v>
      </c>
      <c r="AE467" t="s">
        <v>95</v>
      </c>
      <c r="AF467" t="s">
        <v>93</v>
      </c>
      <c r="AH467" t="s">
        <v>93</v>
      </c>
      <c r="AI467" t="s">
        <v>93</v>
      </c>
      <c r="AJ467" t="s">
        <v>93</v>
      </c>
      <c r="AK467" t="s">
        <v>93</v>
      </c>
      <c r="AR467">
        <v>0.5</v>
      </c>
      <c r="AS467">
        <v>0.1</v>
      </c>
      <c r="AZ467">
        <v>0.4</v>
      </c>
      <c r="CR467">
        <f t="shared" si="68"/>
        <v>0</v>
      </c>
      <c r="CS467">
        <f t="shared" si="69"/>
        <v>0</v>
      </c>
      <c r="CT467">
        <f t="shared" si="70"/>
        <v>-140.76052348832224</v>
      </c>
      <c r="CU467" s="7">
        <f t="shared" si="71"/>
        <v>-140.76052348832224</v>
      </c>
      <c r="CV467" s="9">
        <f t="shared" si="72"/>
        <v>619.20770000000005</v>
      </c>
      <c r="CW467" t="str">
        <f t="shared" si="64"/>
        <v>Al5NiPd4</v>
      </c>
    </row>
    <row r="468" spans="1:101" ht="15.75" thickBot="1" x14ac:dyDescent="0.3">
      <c r="A468" t="s">
        <v>91</v>
      </c>
      <c r="B468" t="s">
        <v>2679</v>
      </c>
      <c r="C468" t="s">
        <v>3144</v>
      </c>
      <c r="E468" t="s">
        <v>3145</v>
      </c>
      <c r="F468" t="s">
        <v>93</v>
      </c>
      <c r="G468" t="s">
        <v>2680</v>
      </c>
      <c r="H468">
        <v>506.11</v>
      </c>
      <c r="I468">
        <v>1095</v>
      </c>
      <c r="J468">
        <v>0</v>
      </c>
      <c r="K468" t="s">
        <v>95</v>
      </c>
      <c r="L468">
        <v>-67.379685850000001</v>
      </c>
      <c r="M468">
        <f t="shared" si="65"/>
        <v>-133.13249263993993</v>
      </c>
      <c r="N468" t="s">
        <v>95</v>
      </c>
      <c r="O468" t="s">
        <v>2681</v>
      </c>
      <c r="P468" t="s">
        <v>93</v>
      </c>
      <c r="Q468">
        <v>0.56908265000000002</v>
      </c>
      <c r="R468" t="s">
        <v>95</v>
      </c>
      <c r="S468">
        <v>-66.955740829999996</v>
      </c>
      <c r="T468">
        <f t="shared" si="66"/>
        <v>-132.29483873071069</v>
      </c>
      <c r="U468" t="s">
        <v>95</v>
      </c>
      <c r="V468">
        <v>467796</v>
      </c>
      <c r="W468" t="s">
        <v>184</v>
      </c>
      <c r="X468">
        <v>298</v>
      </c>
      <c r="Y468" t="s">
        <v>185</v>
      </c>
      <c r="Z468">
        <v>-76.400000000000006</v>
      </c>
      <c r="AA468" t="s">
        <v>95</v>
      </c>
      <c r="AB468">
        <f t="shared" si="67"/>
        <v>-150.95532591729071</v>
      </c>
      <c r="AC468" t="s">
        <v>93</v>
      </c>
      <c r="AD468">
        <v>1.4</v>
      </c>
      <c r="AE468" t="s">
        <v>95</v>
      </c>
      <c r="AF468" t="s">
        <v>93</v>
      </c>
      <c r="AQ468">
        <v>0.25</v>
      </c>
      <c r="AZ468">
        <v>0.5</v>
      </c>
      <c r="BZ468">
        <v>0.25</v>
      </c>
      <c r="CR468">
        <f t="shared" si="68"/>
        <v>-133.13249263993993</v>
      </c>
      <c r="CS468">
        <f t="shared" si="69"/>
        <v>-132.29483873071069</v>
      </c>
      <c r="CT468">
        <f t="shared" si="70"/>
        <v>-150.95532591729071</v>
      </c>
      <c r="CU468" s="7">
        <f t="shared" si="71"/>
        <v>-138.79421909598045</v>
      </c>
      <c r="CV468" s="9">
        <f t="shared" si="72"/>
        <v>506.11</v>
      </c>
      <c r="CW468" t="str">
        <f t="shared" si="64"/>
        <v>Pd2HfIn</v>
      </c>
    </row>
    <row r="469" spans="1:101" ht="15.75" thickBot="1" x14ac:dyDescent="0.3">
      <c r="A469" t="s">
        <v>91</v>
      </c>
      <c r="B469" t="s">
        <v>843</v>
      </c>
      <c r="C469" t="s">
        <v>3144</v>
      </c>
      <c r="E469" t="s">
        <v>3145</v>
      </c>
      <c r="F469" t="s">
        <v>93</v>
      </c>
      <c r="G469" t="s">
        <v>844</v>
      </c>
      <c r="H469">
        <v>217.62540000000001</v>
      </c>
      <c r="I469">
        <v>336</v>
      </c>
      <c r="J469">
        <v>2.4360130000000001E-2</v>
      </c>
      <c r="K469" t="s">
        <v>95</v>
      </c>
      <c r="L469">
        <v>-42.47172527</v>
      </c>
      <c r="M469">
        <f t="shared" si="65"/>
        <v>-195.15978038409119</v>
      </c>
      <c r="N469" t="s">
        <v>95</v>
      </c>
      <c r="O469" t="s">
        <v>845</v>
      </c>
      <c r="P469" t="s">
        <v>93</v>
      </c>
      <c r="Q469">
        <v>3.5352500000000002E-2</v>
      </c>
      <c r="R469" t="s">
        <v>95</v>
      </c>
      <c r="S469">
        <v>-11.18059731</v>
      </c>
      <c r="T469">
        <f t="shared" si="66"/>
        <v>-51.375424513866484</v>
      </c>
      <c r="U469" t="s">
        <v>95</v>
      </c>
      <c r="V469">
        <v>17831</v>
      </c>
      <c r="W469" t="s">
        <v>846</v>
      </c>
      <c r="X469">
        <v>298</v>
      </c>
      <c r="Y469" t="s">
        <v>782</v>
      </c>
      <c r="Z469">
        <v>-36.799999999999997</v>
      </c>
      <c r="AA469" t="s">
        <v>95</v>
      </c>
      <c r="AB469">
        <f t="shared" si="67"/>
        <v>-169.09790860809443</v>
      </c>
      <c r="AC469" t="s">
        <v>93</v>
      </c>
      <c r="AD469">
        <v>1.4</v>
      </c>
      <c r="AE469" t="s">
        <v>95</v>
      </c>
      <c r="AF469" t="s">
        <v>93</v>
      </c>
      <c r="AS469">
        <v>0.5</v>
      </c>
      <c r="BK469">
        <v>0.5</v>
      </c>
      <c r="CR469">
        <f t="shared" si="68"/>
        <v>-195.15978038409119</v>
      </c>
      <c r="CS469">
        <f t="shared" si="69"/>
        <v>-51.375424513866484</v>
      </c>
      <c r="CT469">
        <f t="shared" si="70"/>
        <v>-169.09790860809443</v>
      </c>
      <c r="CU469" s="7">
        <f t="shared" si="71"/>
        <v>-138.54437116868402</v>
      </c>
      <c r="CV469" s="9">
        <f t="shared" si="72"/>
        <v>217.62540000000001</v>
      </c>
      <c r="CW469" t="str">
        <f t="shared" si="64"/>
        <v>TbNi</v>
      </c>
    </row>
    <row r="470" spans="1:101" ht="15.75" thickBot="1" x14ac:dyDescent="0.3">
      <c r="A470" t="s">
        <v>91</v>
      </c>
      <c r="B470" t="s">
        <v>555</v>
      </c>
      <c r="C470" t="s">
        <v>3144</v>
      </c>
      <c r="E470" t="s">
        <v>3145</v>
      </c>
      <c r="F470" t="s">
        <v>93</v>
      </c>
      <c r="G470" t="s">
        <v>556</v>
      </c>
      <c r="H470">
        <v>546.94000000000005</v>
      </c>
      <c r="I470">
        <v>227</v>
      </c>
      <c r="J470">
        <v>0</v>
      </c>
      <c r="K470" t="s">
        <v>95</v>
      </c>
      <c r="L470">
        <v>-78.400778970000005</v>
      </c>
      <c r="M470">
        <f t="shared" si="65"/>
        <v>-143.34438689801442</v>
      </c>
      <c r="N470" t="s">
        <v>95</v>
      </c>
      <c r="O470" t="s">
        <v>557</v>
      </c>
      <c r="P470" t="s">
        <v>93</v>
      </c>
      <c r="Q470">
        <v>0</v>
      </c>
      <c r="R470" t="s">
        <v>95</v>
      </c>
      <c r="S470">
        <v>-78.684982880000007</v>
      </c>
      <c r="T470">
        <f t="shared" si="66"/>
        <v>-143.86401228653966</v>
      </c>
      <c r="U470" t="s">
        <v>95</v>
      </c>
      <c r="V470">
        <v>29881</v>
      </c>
      <c r="W470" t="s">
        <v>159</v>
      </c>
      <c r="X470">
        <v>298</v>
      </c>
      <c r="Y470" t="s">
        <v>160</v>
      </c>
      <c r="Z470">
        <v>-69.900000000000006</v>
      </c>
      <c r="AA470" t="s">
        <v>95</v>
      </c>
      <c r="AB470">
        <f t="shared" si="67"/>
        <v>-127.80195268219549</v>
      </c>
      <c r="AC470" t="s">
        <v>93</v>
      </c>
      <c r="AD470">
        <v>2.1</v>
      </c>
      <c r="AE470" t="s">
        <v>95</v>
      </c>
      <c r="AF470" t="s">
        <v>93</v>
      </c>
      <c r="BB470">
        <v>0.66</v>
      </c>
      <c r="BG470">
        <v>0.33</v>
      </c>
      <c r="CR470">
        <f t="shared" si="68"/>
        <v>-143.34438689801442</v>
      </c>
      <c r="CS470">
        <f t="shared" si="69"/>
        <v>-143.86401228653966</v>
      </c>
      <c r="CT470">
        <f t="shared" si="70"/>
        <v>-127.80195268219549</v>
      </c>
      <c r="CU470" s="7">
        <f t="shared" si="71"/>
        <v>-138.3367839555832</v>
      </c>
      <c r="CV470" s="9">
        <f t="shared" si="72"/>
        <v>546.94000000000005</v>
      </c>
      <c r="CW470" t="str">
        <f t="shared" si="64"/>
        <v>DyIr2</v>
      </c>
    </row>
    <row r="471" spans="1:101" ht="15.75" thickBot="1" x14ac:dyDescent="0.3">
      <c r="A471" t="s">
        <v>91</v>
      </c>
      <c r="B471" t="s">
        <v>1611</v>
      </c>
      <c r="C471" t="s">
        <v>3144</v>
      </c>
      <c r="E471" t="s">
        <v>3145</v>
      </c>
      <c r="F471" t="s">
        <v>93</v>
      </c>
      <c r="G471" t="s">
        <v>1612</v>
      </c>
      <c r="H471">
        <v>528.78599999999994</v>
      </c>
      <c r="I471">
        <v>620</v>
      </c>
      <c r="J471">
        <v>0</v>
      </c>
      <c r="K471" t="s">
        <v>95</v>
      </c>
      <c r="L471">
        <v>-69.380644599999997</v>
      </c>
      <c r="M471">
        <f t="shared" si="65"/>
        <v>-131.20741585442883</v>
      </c>
      <c r="N471" t="s">
        <v>95</v>
      </c>
      <c r="O471" t="s">
        <v>1613</v>
      </c>
      <c r="P471" t="s">
        <v>93</v>
      </c>
      <c r="Q471">
        <v>0</v>
      </c>
      <c r="R471" t="s">
        <v>95</v>
      </c>
      <c r="S471">
        <v>-69.567730280000006</v>
      </c>
      <c r="T471">
        <f t="shared" si="66"/>
        <v>-131.56121811091825</v>
      </c>
      <c r="U471" t="s">
        <v>95</v>
      </c>
      <c r="V471">
        <v>8194</v>
      </c>
      <c r="W471" t="s">
        <v>339</v>
      </c>
      <c r="X471">
        <v>298</v>
      </c>
      <c r="Y471" t="s">
        <v>1403</v>
      </c>
      <c r="Z471">
        <v>-80.400000000000006</v>
      </c>
      <c r="AA471" t="s">
        <v>95</v>
      </c>
      <c r="AB471">
        <f t="shared" si="67"/>
        <v>-152.04638549432099</v>
      </c>
      <c r="AC471" t="s">
        <v>93</v>
      </c>
      <c r="AD471">
        <v>2.2999999999999998</v>
      </c>
      <c r="AE471" t="s">
        <v>95</v>
      </c>
      <c r="AF471" t="s">
        <v>93</v>
      </c>
      <c r="AG471">
        <v>0.625</v>
      </c>
      <c r="BX471">
        <v>0.375</v>
      </c>
      <c r="CR471">
        <f t="shared" si="68"/>
        <v>-131.20741585442883</v>
      </c>
      <c r="CS471">
        <f t="shared" si="69"/>
        <v>-131.56121811091825</v>
      </c>
      <c r="CT471">
        <f t="shared" si="70"/>
        <v>-152.04638549432099</v>
      </c>
      <c r="CU471" s="7">
        <f t="shared" si="71"/>
        <v>-138.27167315322268</v>
      </c>
      <c r="CV471" s="9">
        <f t="shared" si="72"/>
        <v>528.78599999999994</v>
      </c>
      <c r="CW471" t="str">
        <f t="shared" si="64"/>
        <v>Y5Si3</v>
      </c>
    </row>
    <row r="472" spans="1:101" ht="15.75" thickBot="1" x14ac:dyDescent="0.3">
      <c r="A472" t="s">
        <v>91</v>
      </c>
      <c r="B472" t="s">
        <v>710</v>
      </c>
      <c r="C472" t="s">
        <v>3144</v>
      </c>
      <c r="E472" t="s">
        <v>3145</v>
      </c>
      <c r="F472" t="s">
        <v>93</v>
      </c>
      <c r="G472" t="s">
        <v>711</v>
      </c>
      <c r="H472">
        <v>559.40700000000004</v>
      </c>
      <c r="I472">
        <v>285</v>
      </c>
      <c r="J472">
        <v>0</v>
      </c>
      <c r="K472" t="s">
        <v>95</v>
      </c>
      <c r="L472">
        <v>-79.857139180000004</v>
      </c>
      <c r="M472">
        <f t="shared" si="65"/>
        <v>-142.75319969181652</v>
      </c>
      <c r="N472" t="s">
        <v>95</v>
      </c>
      <c r="O472" t="s">
        <v>712</v>
      </c>
      <c r="P472" t="s">
        <v>93</v>
      </c>
      <c r="Q472">
        <v>0</v>
      </c>
      <c r="R472" t="s">
        <v>95</v>
      </c>
      <c r="S472">
        <v>-80.261568890000007</v>
      </c>
      <c r="T472">
        <f t="shared" si="66"/>
        <v>-143.47616116709301</v>
      </c>
      <c r="U472" t="s">
        <v>95</v>
      </c>
      <c r="V472">
        <v>17493</v>
      </c>
      <c r="W472" t="s">
        <v>159</v>
      </c>
      <c r="X472">
        <v>298</v>
      </c>
      <c r="Y472" t="s">
        <v>160</v>
      </c>
      <c r="Z472">
        <v>-71</v>
      </c>
      <c r="AA472" t="s">
        <v>95</v>
      </c>
      <c r="AB472">
        <f t="shared" si="67"/>
        <v>-126.92011362031579</v>
      </c>
      <c r="AC472" t="s">
        <v>93</v>
      </c>
      <c r="AD472">
        <v>1.2</v>
      </c>
      <c r="AE472" t="s">
        <v>95</v>
      </c>
      <c r="AF472" t="s">
        <v>93</v>
      </c>
      <c r="BB472">
        <v>0.66</v>
      </c>
      <c r="BL472">
        <v>0.33</v>
      </c>
      <c r="CR472">
        <f t="shared" si="68"/>
        <v>-142.75319969181652</v>
      </c>
      <c r="CS472">
        <f t="shared" si="69"/>
        <v>-143.47616116709301</v>
      </c>
      <c r="CT472">
        <f t="shared" si="70"/>
        <v>-126.92011362031579</v>
      </c>
      <c r="CU472" s="7">
        <f t="shared" si="71"/>
        <v>-137.7164914930751</v>
      </c>
      <c r="CV472" s="9">
        <f t="shared" si="72"/>
        <v>559.40700000000004</v>
      </c>
      <c r="CW472" t="str">
        <f t="shared" si="64"/>
        <v>LuIr2</v>
      </c>
    </row>
    <row r="473" spans="1:101" ht="15.75" thickBot="1" x14ac:dyDescent="0.3">
      <c r="A473" t="s">
        <v>91</v>
      </c>
      <c r="B473" t="s">
        <v>93</v>
      </c>
      <c r="C473" t="s">
        <v>3144</v>
      </c>
      <c r="E473" t="s">
        <v>3145</v>
      </c>
      <c r="F473" t="s">
        <v>93</v>
      </c>
      <c r="G473" t="s">
        <v>306</v>
      </c>
      <c r="H473">
        <v>523.80769999999995</v>
      </c>
      <c r="I473">
        <v>115</v>
      </c>
      <c r="M473">
        <f t="shared" si="65"/>
        <v>0</v>
      </c>
      <c r="O473" t="s">
        <v>93</v>
      </c>
      <c r="P473" t="s">
        <v>93</v>
      </c>
      <c r="T473">
        <f t="shared" si="66"/>
        <v>0</v>
      </c>
      <c r="V473" t="s">
        <v>93</v>
      </c>
      <c r="W473" t="s">
        <v>102</v>
      </c>
      <c r="X473">
        <v>298</v>
      </c>
      <c r="Y473" t="s">
        <v>103</v>
      </c>
      <c r="Z473">
        <v>-72.13</v>
      </c>
      <c r="AA473" t="s">
        <v>95</v>
      </c>
      <c r="AB473">
        <f t="shared" si="67"/>
        <v>-137.70320673025617</v>
      </c>
      <c r="AC473" t="s">
        <v>93</v>
      </c>
      <c r="AD473">
        <v>1.19</v>
      </c>
      <c r="AE473" t="s">
        <v>95</v>
      </c>
      <c r="AF473" t="s">
        <v>93</v>
      </c>
      <c r="AH473" t="s">
        <v>93</v>
      </c>
      <c r="AI473" t="s">
        <v>93</v>
      </c>
      <c r="AJ473" t="s">
        <v>93</v>
      </c>
      <c r="AK473" t="s">
        <v>93</v>
      </c>
      <c r="AR473">
        <v>0.5</v>
      </c>
      <c r="AS473">
        <v>0.3</v>
      </c>
      <c r="AZ473">
        <v>0.2</v>
      </c>
      <c r="CR473">
        <f t="shared" si="68"/>
        <v>0</v>
      </c>
      <c r="CS473">
        <f t="shared" si="69"/>
        <v>0</v>
      </c>
      <c r="CT473">
        <f t="shared" si="70"/>
        <v>-137.70320673025617</v>
      </c>
      <c r="CU473" s="7">
        <f t="shared" si="71"/>
        <v>-137.70320673025617</v>
      </c>
      <c r="CV473" s="9">
        <f t="shared" si="72"/>
        <v>523.80769999999995</v>
      </c>
      <c r="CW473" t="str">
        <f t="shared" si="64"/>
        <v>Al5Ni3Pd2</v>
      </c>
    </row>
    <row r="474" spans="1:101" ht="15.75" thickBot="1" x14ac:dyDescent="0.3">
      <c r="A474" t="s">
        <v>91</v>
      </c>
      <c r="B474" t="s">
        <v>93</v>
      </c>
      <c r="C474" t="s">
        <v>3144</v>
      </c>
      <c r="E474" t="s">
        <v>3145</v>
      </c>
      <c r="F474" t="s">
        <v>93</v>
      </c>
      <c r="G474" t="s">
        <v>305</v>
      </c>
      <c r="H474">
        <v>476.10770000000002</v>
      </c>
      <c r="I474">
        <v>114</v>
      </c>
      <c r="M474">
        <f t="shared" si="65"/>
        <v>0</v>
      </c>
      <c r="O474" t="s">
        <v>93</v>
      </c>
      <c r="P474" t="s">
        <v>93</v>
      </c>
      <c r="T474">
        <f t="shared" si="66"/>
        <v>0</v>
      </c>
      <c r="V474" t="s">
        <v>93</v>
      </c>
      <c r="W474" t="s">
        <v>102</v>
      </c>
      <c r="X474">
        <v>298</v>
      </c>
      <c r="Y474" t="s">
        <v>103</v>
      </c>
      <c r="Z474">
        <v>-65.39</v>
      </c>
      <c r="AA474" t="s">
        <v>95</v>
      </c>
      <c r="AB474">
        <f t="shared" si="67"/>
        <v>-137.34287431184163</v>
      </c>
      <c r="AC474" t="s">
        <v>93</v>
      </c>
      <c r="AD474">
        <v>1.26</v>
      </c>
      <c r="AE474" t="s">
        <v>95</v>
      </c>
      <c r="AF474" t="s">
        <v>93</v>
      </c>
      <c r="AH474" t="s">
        <v>93</v>
      </c>
      <c r="AI474" t="s">
        <v>93</v>
      </c>
      <c r="AJ474" t="s">
        <v>93</v>
      </c>
      <c r="AK474" t="s">
        <v>93</v>
      </c>
      <c r="AR474">
        <v>0.5</v>
      </c>
      <c r="AS474">
        <v>0.4</v>
      </c>
      <c r="AZ474">
        <v>0.1</v>
      </c>
      <c r="CR474">
        <f t="shared" si="68"/>
        <v>0</v>
      </c>
      <c r="CS474">
        <f t="shared" si="69"/>
        <v>0</v>
      </c>
      <c r="CT474">
        <f t="shared" si="70"/>
        <v>-137.34287431184163</v>
      </c>
      <c r="CU474" s="7">
        <f t="shared" si="71"/>
        <v>-137.34287431184163</v>
      </c>
      <c r="CV474" s="9">
        <f t="shared" si="72"/>
        <v>476.10770000000002</v>
      </c>
      <c r="CW474" t="str">
        <f t="shared" si="64"/>
        <v>Al5Ni4Pd</v>
      </c>
    </row>
    <row r="475" spans="1:101" ht="15.75" thickBot="1" x14ac:dyDescent="0.3">
      <c r="A475" t="s">
        <v>91</v>
      </c>
      <c r="B475" t="s">
        <v>961</v>
      </c>
      <c r="C475" t="s">
        <v>3144</v>
      </c>
      <c r="E475" t="s">
        <v>3145</v>
      </c>
      <c r="F475" t="s">
        <v>93</v>
      </c>
      <c r="G475" t="s">
        <v>962</v>
      </c>
      <c r="H475">
        <v>674.17589999999996</v>
      </c>
      <c r="I475">
        <v>384</v>
      </c>
      <c r="J475">
        <v>0</v>
      </c>
      <c r="K475" t="s">
        <v>95</v>
      </c>
      <c r="L475">
        <v>-95.004652989999997</v>
      </c>
      <c r="M475">
        <f t="shared" si="65"/>
        <v>-140.91968133242378</v>
      </c>
      <c r="N475" t="s">
        <v>95</v>
      </c>
      <c r="O475" t="s">
        <v>963</v>
      </c>
      <c r="P475" t="s">
        <v>93</v>
      </c>
      <c r="Q475">
        <v>0</v>
      </c>
      <c r="R475" t="s">
        <v>95</v>
      </c>
      <c r="S475">
        <v>-94.66495295</v>
      </c>
      <c r="T475">
        <f t="shared" si="66"/>
        <v>-140.41580683913503</v>
      </c>
      <c r="U475" t="s">
        <v>95</v>
      </c>
      <c r="V475">
        <v>18031</v>
      </c>
      <c r="W475" t="s">
        <v>194</v>
      </c>
      <c r="X475">
        <v>298</v>
      </c>
      <c r="Y475" t="s">
        <v>103</v>
      </c>
      <c r="Z475">
        <v>-86.9</v>
      </c>
      <c r="AA475" t="s">
        <v>95</v>
      </c>
      <c r="AB475">
        <f t="shared" si="67"/>
        <v>-128.89811101227443</v>
      </c>
      <c r="AC475" t="s">
        <v>93</v>
      </c>
      <c r="AD475">
        <v>2</v>
      </c>
      <c r="AE475" t="s">
        <v>95</v>
      </c>
      <c r="AF475" t="s">
        <v>93</v>
      </c>
      <c r="AG475">
        <v>0.25</v>
      </c>
      <c r="AY475">
        <v>0.75</v>
      </c>
      <c r="CR475">
        <f t="shared" si="68"/>
        <v>-140.91968133242378</v>
      </c>
      <c r="CS475">
        <f t="shared" si="69"/>
        <v>-140.41580683913503</v>
      </c>
      <c r="CT475">
        <f t="shared" si="70"/>
        <v>-128.89811101227443</v>
      </c>
      <c r="CU475" s="7">
        <f t="shared" si="71"/>
        <v>-136.74453306127774</v>
      </c>
      <c r="CV475" s="9">
        <f t="shared" si="72"/>
        <v>674.17589999999996</v>
      </c>
      <c r="CW475" t="str">
        <f t="shared" si="64"/>
        <v>YPt3</v>
      </c>
    </row>
    <row r="476" spans="1:101" ht="15.75" thickBot="1" x14ac:dyDescent="0.3">
      <c r="A476" t="s">
        <v>91</v>
      </c>
      <c r="B476" t="s">
        <v>93</v>
      </c>
      <c r="C476" t="s">
        <v>3144</v>
      </c>
      <c r="E476" t="s">
        <v>3145</v>
      </c>
      <c r="F476" t="s">
        <v>93</v>
      </c>
      <c r="G476" t="s">
        <v>307</v>
      </c>
      <c r="H476">
        <v>571.5077</v>
      </c>
      <c r="I476">
        <v>116</v>
      </c>
      <c r="M476">
        <f t="shared" si="65"/>
        <v>0</v>
      </c>
      <c r="O476" t="s">
        <v>93</v>
      </c>
      <c r="P476" t="s">
        <v>93</v>
      </c>
      <c r="T476">
        <f t="shared" si="66"/>
        <v>0</v>
      </c>
      <c r="V476" t="s">
        <v>93</v>
      </c>
      <c r="W476" t="s">
        <v>102</v>
      </c>
      <c r="X476">
        <v>298</v>
      </c>
      <c r="Y476" t="s">
        <v>103</v>
      </c>
      <c r="Z476">
        <v>-77.959999999999994</v>
      </c>
      <c r="AA476" t="s">
        <v>95</v>
      </c>
      <c r="AB476">
        <f t="shared" si="67"/>
        <v>-136.41111047147746</v>
      </c>
      <c r="AC476" t="s">
        <v>93</v>
      </c>
      <c r="AD476">
        <v>4.3</v>
      </c>
      <c r="AE476" t="s">
        <v>95</v>
      </c>
      <c r="AF476" t="s">
        <v>93</v>
      </c>
      <c r="AH476" t="s">
        <v>93</v>
      </c>
      <c r="AI476" t="s">
        <v>93</v>
      </c>
      <c r="AJ476" t="s">
        <v>93</v>
      </c>
      <c r="AK476" t="s">
        <v>93</v>
      </c>
      <c r="AR476">
        <v>0.5</v>
      </c>
      <c r="AS476">
        <v>0.2</v>
      </c>
      <c r="AZ476">
        <v>0.3</v>
      </c>
      <c r="CR476">
        <f t="shared" si="68"/>
        <v>0</v>
      </c>
      <c r="CS476">
        <f t="shared" si="69"/>
        <v>0</v>
      </c>
      <c r="CT476">
        <f t="shared" si="70"/>
        <v>-136.41111047147746</v>
      </c>
      <c r="CU476" s="7">
        <f t="shared" si="71"/>
        <v>-136.41111047147746</v>
      </c>
      <c r="CV476" s="9">
        <f t="shared" si="72"/>
        <v>571.5077</v>
      </c>
      <c r="CW476" t="str">
        <f t="shared" si="64"/>
        <v>Al5Ni2Pd3</v>
      </c>
    </row>
    <row r="477" spans="1:101" ht="15.75" thickBot="1" x14ac:dyDescent="0.3">
      <c r="A477" t="s">
        <v>91</v>
      </c>
      <c r="B477" t="s">
        <v>1827</v>
      </c>
      <c r="C477" t="s">
        <v>3144</v>
      </c>
      <c r="E477" t="s">
        <v>3145</v>
      </c>
      <c r="F477" t="s">
        <v>93</v>
      </c>
      <c r="G477" t="s">
        <v>1828</v>
      </c>
      <c r="H477">
        <v>552.85839999999996</v>
      </c>
      <c r="I477">
        <v>698</v>
      </c>
      <c r="J477">
        <v>0</v>
      </c>
      <c r="K477" t="s">
        <v>95</v>
      </c>
      <c r="L477">
        <v>-83.061942709999997</v>
      </c>
      <c r="M477">
        <f t="shared" si="65"/>
        <v>-150.24089841087701</v>
      </c>
      <c r="N477" t="s">
        <v>95</v>
      </c>
      <c r="O477" t="s">
        <v>1829</v>
      </c>
      <c r="P477" t="s">
        <v>93</v>
      </c>
      <c r="Q477">
        <v>0</v>
      </c>
      <c r="R477" t="s">
        <v>95</v>
      </c>
      <c r="S477">
        <v>-61.684359860000001</v>
      </c>
      <c r="T477">
        <f t="shared" si="66"/>
        <v>-111.57352381731019</v>
      </c>
      <c r="U477" t="s">
        <v>95</v>
      </c>
      <c r="V477">
        <v>10811</v>
      </c>
      <c r="W477" t="s">
        <v>97</v>
      </c>
      <c r="X477">
        <v>298</v>
      </c>
      <c r="Y477" t="s">
        <v>98</v>
      </c>
      <c r="Z477">
        <v>-81.2</v>
      </c>
      <c r="AA477" t="s">
        <v>95</v>
      </c>
      <c r="AB477">
        <f t="shared" si="67"/>
        <v>-146.8730510380235</v>
      </c>
      <c r="AC477" t="s">
        <v>93</v>
      </c>
      <c r="AD477">
        <v>1.3</v>
      </c>
      <c r="AE477" t="s">
        <v>95</v>
      </c>
      <c r="AF477" t="s">
        <v>93</v>
      </c>
      <c r="BC477">
        <v>0.66</v>
      </c>
      <c r="BK477">
        <v>0.33</v>
      </c>
      <c r="CR477">
        <f t="shared" si="68"/>
        <v>-150.24089841087701</v>
      </c>
      <c r="CS477">
        <f t="shared" si="69"/>
        <v>-111.57352381731019</v>
      </c>
      <c r="CT477">
        <f t="shared" si="70"/>
        <v>-146.8730510380235</v>
      </c>
      <c r="CU477" s="7">
        <f t="shared" si="71"/>
        <v>-136.22915775540358</v>
      </c>
      <c r="CV477" s="9">
        <f t="shared" si="72"/>
        <v>552.85839999999996</v>
      </c>
      <c r="CW477" t="str">
        <f t="shared" si="64"/>
        <v>TbAu2</v>
      </c>
    </row>
    <row r="478" spans="1:101" ht="15.75" thickBot="1" x14ac:dyDescent="0.3">
      <c r="A478" t="s">
        <v>91</v>
      </c>
      <c r="B478" t="s">
        <v>774</v>
      </c>
      <c r="C478" t="s">
        <v>3144</v>
      </c>
      <c r="E478" t="s">
        <v>3145</v>
      </c>
      <c r="F478" t="s">
        <v>93</v>
      </c>
      <c r="G478" t="s">
        <v>775</v>
      </c>
      <c r="H478">
        <v>760.23699999999997</v>
      </c>
      <c r="I478">
        <v>312</v>
      </c>
      <c r="M478">
        <f t="shared" si="65"/>
        <v>0</v>
      </c>
      <c r="O478" t="s">
        <v>93</v>
      </c>
      <c r="P478" t="s">
        <v>93</v>
      </c>
      <c r="T478">
        <f t="shared" si="66"/>
        <v>0</v>
      </c>
      <c r="V478" t="s">
        <v>93</v>
      </c>
      <c r="W478" t="s">
        <v>93</v>
      </c>
      <c r="X478">
        <v>298</v>
      </c>
      <c r="Y478" t="s">
        <v>93</v>
      </c>
      <c r="Z478">
        <v>-103.4</v>
      </c>
      <c r="AA478" t="s">
        <v>95</v>
      </c>
      <c r="AB478">
        <f t="shared" si="67"/>
        <v>-136.01021786627066</v>
      </c>
      <c r="AC478" t="s">
        <v>93</v>
      </c>
      <c r="AD478">
        <v>2.7</v>
      </c>
      <c r="AE478" t="s">
        <v>95</v>
      </c>
      <c r="AF478" t="s">
        <v>93</v>
      </c>
      <c r="AH478" t="s">
        <v>93</v>
      </c>
      <c r="AI478" t="s">
        <v>93</v>
      </c>
      <c r="AJ478" t="s">
        <v>93</v>
      </c>
      <c r="AK478" t="s">
        <v>93</v>
      </c>
      <c r="AY478">
        <v>0.75</v>
      </c>
      <c r="BL478">
        <v>0.25</v>
      </c>
      <c r="CR478">
        <f t="shared" si="68"/>
        <v>0</v>
      </c>
      <c r="CS478">
        <f t="shared" si="69"/>
        <v>0</v>
      </c>
      <c r="CT478">
        <f t="shared" si="70"/>
        <v>-136.01021786627066</v>
      </c>
      <c r="CU478" s="7">
        <f t="shared" si="71"/>
        <v>-136.01021786627066</v>
      </c>
      <c r="CV478" s="9">
        <f t="shared" si="72"/>
        <v>760.23699999999997</v>
      </c>
      <c r="CW478" t="str">
        <f t="shared" si="64"/>
        <v>LuPt3</v>
      </c>
    </row>
    <row r="479" spans="1:101" ht="15.75" thickBot="1" x14ac:dyDescent="0.3">
      <c r="A479" t="s">
        <v>91</v>
      </c>
      <c r="B479" t="s">
        <v>2698</v>
      </c>
      <c r="C479" t="s">
        <v>3144</v>
      </c>
      <c r="E479" t="s">
        <v>3145</v>
      </c>
      <c r="F479" t="s">
        <v>93</v>
      </c>
      <c r="G479" t="s">
        <v>2699</v>
      </c>
      <c r="H479">
        <v>375.52</v>
      </c>
      <c r="I479">
        <v>1103</v>
      </c>
      <c r="J479">
        <v>0</v>
      </c>
      <c r="K479" t="s">
        <v>95</v>
      </c>
      <c r="L479">
        <v>-55.471599220000002</v>
      </c>
      <c r="M479">
        <f t="shared" si="65"/>
        <v>-147.71942698125267</v>
      </c>
      <c r="N479" t="s">
        <v>95</v>
      </c>
      <c r="O479" t="s">
        <v>2700</v>
      </c>
      <c r="P479" t="s">
        <v>93</v>
      </c>
      <c r="Q479">
        <v>0.55609341000000001</v>
      </c>
      <c r="R479" t="s">
        <v>95</v>
      </c>
      <c r="S479">
        <v>-55.99665572</v>
      </c>
      <c r="T479">
        <f t="shared" si="66"/>
        <v>-149.11763879420539</v>
      </c>
      <c r="U479" t="s">
        <v>95</v>
      </c>
      <c r="V479">
        <v>463323</v>
      </c>
      <c r="W479" t="s">
        <v>184</v>
      </c>
      <c r="X479">
        <v>298</v>
      </c>
      <c r="Y479" t="s">
        <v>185</v>
      </c>
      <c r="Z479">
        <v>-41</v>
      </c>
      <c r="AA479" t="s">
        <v>95</v>
      </c>
      <c r="AB479">
        <f t="shared" si="67"/>
        <v>-109.18193438432041</v>
      </c>
      <c r="AC479" t="s">
        <v>93</v>
      </c>
      <c r="AD479">
        <v>2.5</v>
      </c>
      <c r="AE479" t="s">
        <v>95</v>
      </c>
      <c r="AF479" t="s">
        <v>93</v>
      </c>
      <c r="AZ479">
        <v>0.5</v>
      </c>
      <c r="BA479">
        <v>0.25</v>
      </c>
      <c r="BZ479">
        <v>0.25</v>
      </c>
      <c r="CR479">
        <f t="shared" si="68"/>
        <v>-147.71942698125267</v>
      </c>
      <c r="CS479">
        <f t="shared" si="69"/>
        <v>-149.11763879420539</v>
      </c>
      <c r="CT479">
        <f t="shared" si="70"/>
        <v>-109.18193438432041</v>
      </c>
      <c r="CU479" s="7">
        <f t="shared" si="71"/>
        <v>-135.33966671992616</v>
      </c>
      <c r="CV479" s="9">
        <f t="shared" si="72"/>
        <v>375.52</v>
      </c>
      <c r="CW479" t="str">
        <f t="shared" si="64"/>
        <v>TiInPd2</v>
      </c>
    </row>
    <row r="480" spans="1:101" ht="15.75" thickBot="1" x14ac:dyDescent="0.3">
      <c r="A480" t="s">
        <v>484</v>
      </c>
      <c r="B480" t="s">
        <v>2341</v>
      </c>
      <c r="C480" t="s">
        <v>3138</v>
      </c>
      <c r="D480" t="s">
        <v>3139</v>
      </c>
      <c r="F480" t="s">
        <v>3140</v>
      </c>
      <c r="G480" t="s">
        <v>2342</v>
      </c>
      <c r="H480">
        <v>274.64999999999998</v>
      </c>
      <c r="I480">
        <v>950</v>
      </c>
      <c r="J480">
        <v>0</v>
      </c>
      <c r="K480" t="s">
        <v>95</v>
      </c>
      <c r="L480">
        <v>-39.27666164</v>
      </c>
      <c r="M480">
        <f t="shared" si="65"/>
        <v>-143.00623207718917</v>
      </c>
      <c r="N480" t="s">
        <v>95</v>
      </c>
      <c r="O480" t="s">
        <v>2343</v>
      </c>
      <c r="P480" t="s">
        <v>93</v>
      </c>
      <c r="Q480">
        <v>0</v>
      </c>
      <c r="R480" t="s">
        <v>95</v>
      </c>
      <c r="S480">
        <v>-40.021930990000001</v>
      </c>
      <c r="T480">
        <f t="shared" si="66"/>
        <v>-145.71975601674862</v>
      </c>
      <c r="U480" t="s">
        <v>95</v>
      </c>
      <c r="V480">
        <v>18494</v>
      </c>
      <c r="W480" t="s">
        <v>159</v>
      </c>
      <c r="X480">
        <v>298</v>
      </c>
      <c r="Y480" t="s">
        <v>160</v>
      </c>
      <c r="Z480">
        <v>-32</v>
      </c>
      <c r="AA480" t="s">
        <v>95</v>
      </c>
      <c r="AB480">
        <f t="shared" si="67"/>
        <v>-116.51192426724924</v>
      </c>
      <c r="AC480" t="s">
        <v>93</v>
      </c>
      <c r="AD480">
        <v>1.3</v>
      </c>
      <c r="AE480" t="s">
        <v>95</v>
      </c>
      <c r="AF480" t="s">
        <v>93</v>
      </c>
      <c r="AS480">
        <v>0.66700000000000004</v>
      </c>
      <c r="BI480">
        <v>0.33300000000000002</v>
      </c>
      <c r="CR480">
        <f t="shared" si="68"/>
        <v>-143.00623207718917</v>
      </c>
      <c r="CS480">
        <f t="shared" si="69"/>
        <v>-145.71975601674862</v>
      </c>
      <c r="CT480">
        <f t="shared" si="70"/>
        <v>-116.51192426724924</v>
      </c>
      <c r="CU480" s="7">
        <f t="shared" si="71"/>
        <v>-135.07930412039568</v>
      </c>
      <c r="CV480" s="9">
        <f t="shared" si="72"/>
        <v>274.64999999999998</v>
      </c>
      <c r="CW480" t="str">
        <f t="shared" si="64"/>
        <v>GdNi2</v>
      </c>
    </row>
    <row r="481" spans="1:101" ht="15.75" thickBot="1" x14ac:dyDescent="0.3">
      <c r="A481" t="s">
        <v>91</v>
      </c>
      <c r="B481" t="s">
        <v>1887</v>
      </c>
      <c r="C481" t="s">
        <v>3144</v>
      </c>
      <c r="E481" t="s">
        <v>3145</v>
      </c>
      <c r="F481" t="s">
        <v>93</v>
      </c>
      <c r="G481" t="s">
        <v>1888</v>
      </c>
      <c r="H481">
        <v>275.12799999999999</v>
      </c>
      <c r="I481">
        <v>721</v>
      </c>
      <c r="J481">
        <v>0</v>
      </c>
      <c r="K481" t="s">
        <v>95</v>
      </c>
      <c r="L481">
        <v>-32.760601880000003</v>
      </c>
      <c r="M481">
        <f t="shared" si="65"/>
        <v>-119.07403782966475</v>
      </c>
      <c r="N481" t="s">
        <v>95</v>
      </c>
      <c r="O481" t="s">
        <v>1889</v>
      </c>
      <c r="P481" t="s">
        <v>93</v>
      </c>
      <c r="Q481">
        <v>7.7390379999999995E-2</v>
      </c>
      <c r="R481" t="s">
        <v>95</v>
      </c>
      <c r="S481">
        <v>-33.552776000000001</v>
      </c>
      <c r="T481">
        <f t="shared" si="66"/>
        <v>-121.95333081329419</v>
      </c>
      <c r="U481" t="s">
        <v>95</v>
      </c>
      <c r="V481">
        <v>10623</v>
      </c>
      <c r="W481" t="s">
        <v>102</v>
      </c>
      <c r="X481">
        <v>298</v>
      </c>
      <c r="Y481" t="s">
        <v>103</v>
      </c>
      <c r="Z481">
        <v>-44.9</v>
      </c>
      <c r="AA481" t="s">
        <v>95</v>
      </c>
      <c r="AB481">
        <f t="shared" si="67"/>
        <v>-163.19676659591173</v>
      </c>
      <c r="AC481" t="s">
        <v>93</v>
      </c>
      <c r="AD481">
        <v>3.2</v>
      </c>
      <c r="AE481" t="s">
        <v>95</v>
      </c>
      <c r="AF481" t="s">
        <v>93</v>
      </c>
      <c r="BH481">
        <v>0.5</v>
      </c>
      <c r="CR481">
        <f t="shared" si="68"/>
        <v>-119.07403782966475</v>
      </c>
      <c r="CS481">
        <f t="shared" si="69"/>
        <v>-121.95333081329419</v>
      </c>
      <c r="CT481">
        <f t="shared" si="70"/>
        <v>-163.19676659591173</v>
      </c>
      <c r="CU481" s="7">
        <f t="shared" si="71"/>
        <v>-134.74137841295689</v>
      </c>
      <c r="CV481" s="9">
        <f t="shared" si="72"/>
        <v>275.12799999999999</v>
      </c>
      <c r="CW481" t="str">
        <f t="shared" si="64"/>
        <v>ErAg</v>
      </c>
    </row>
    <row r="482" spans="1:101" ht="15.75" thickBot="1" x14ac:dyDescent="0.3">
      <c r="A482" t="s">
        <v>91</v>
      </c>
      <c r="B482" t="s">
        <v>2480</v>
      </c>
      <c r="C482" t="s">
        <v>3144</v>
      </c>
      <c r="E482" t="s">
        <v>3145</v>
      </c>
      <c r="F482" t="s">
        <v>93</v>
      </c>
      <c r="G482" t="s">
        <v>2481</v>
      </c>
      <c r="H482">
        <v>198.4795</v>
      </c>
      <c r="I482">
        <v>1009</v>
      </c>
      <c r="M482">
        <f t="shared" si="65"/>
        <v>0</v>
      </c>
      <c r="O482" t="s">
        <v>93</v>
      </c>
      <c r="P482" t="s">
        <v>93</v>
      </c>
      <c r="T482">
        <f t="shared" si="66"/>
        <v>0</v>
      </c>
      <c r="V482" t="s">
        <v>93</v>
      </c>
      <c r="W482" t="s">
        <v>102</v>
      </c>
      <c r="X482">
        <v>298</v>
      </c>
      <c r="Y482" t="s">
        <v>103</v>
      </c>
      <c r="Z482">
        <v>-26.7</v>
      </c>
      <c r="AA482" t="s">
        <v>95</v>
      </c>
      <c r="AB482">
        <f t="shared" si="67"/>
        <v>-134.52270889436943</v>
      </c>
      <c r="AC482" t="s">
        <v>93</v>
      </c>
      <c r="AD482">
        <v>1.1000000000000001</v>
      </c>
      <c r="AE482" t="s">
        <v>95</v>
      </c>
      <c r="AF482" t="s">
        <v>93</v>
      </c>
      <c r="AH482" t="s">
        <v>93</v>
      </c>
      <c r="AI482" t="s">
        <v>93</v>
      </c>
      <c r="AJ482" t="s">
        <v>93</v>
      </c>
      <c r="AK482" t="s">
        <v>93</v>
      </c>
      <c r="AS482">
        <v>0.25</v>
      </c>
      <c r="AT482">
        <v>0.5</v>
      </c>
      <c r="BX482">
        <v>0.25</v>
      </c>
      <c r="CR482">
        <f t="shared" si="68"/>
        <v>0</v>
      </c>
      <c r="CS482">
        <f t="shared" si="69"/>
        <v>0</v>
      </c>
      <c r="CT482">
        <f t="shared" si="70"/>
        <v>-134.52270889436943</v>
      </c>
      <c r="CU482" s="7">
        <f t="shared" si="71"/>
        <v>-134.52270889436943</v>
      </c>
      <c r="CV482" s="9">
        <f t="shared" si="72"/>
        <v>198.4795</v>
      </c>
      <c r="CW482" t="str">
        <f t="shared" si="64"/>
        <v>Fe2NiSi</v>
      </c>
    </row>
    <row r="483" spans="1:101" ht="15.75" thickBot="1" x14ac:dyDescent="0.3">
      <c r="A483" t="s">
        <v>91</v>
      </c>
      <c r="B483" t="s">
        <v>93</v>
      </c>
      <c r="C483" t="s">
        <v>3144</v>
      </c>
      <c r="E483" t="s">
        <v>3145</v>
      </c>
      <c r="F483" t="s">
        <v>93</v>
      </c>
      <c r="G483" t="s">
        <v>905</v>
      </c>
      <c r="H483">
        <v>692.31769999999995</v>
      </c>
      <c r="I483">
        <v>360</v>
      </c>
      <c r="M483">
        <f t="shared" si="65"/>
        <v>0</v>
      </c>
      <c r="O483" t="s">
        <v>93</v>
      </c>
      <c r="P483" t="s">
        <v>93</v>
      </c>
      <c r="T483">
        <f t="shared" si="66"/>
        <v>0</v>
      </c>
      <c r="V483" t="s">
        <v>93</v>
      </c>
      <c r="W483" t="s">
        <v>583</v>
      </c>
      <c r="X483">
        <v>298</v>
      </c>
      <c r="Y483" t="s">
        <v>584</v>
      </c>
      <c r="Z483">
        <v>-92.8</v>
      </c>
      <c r="AA483" t="s">
        <v>95</v>
      </c>
      <c r="AB483">
        <f t="shared" si="67"/>
        <v>-134.04250678554081</v>
      </c>
      <c r="AC483" t="s">
        <v>93</v>
      </c>
      <c r="AD483">
        <v>3.7</v>
      </c>
      <c r="AE483" t="s">
        <v>95</v>
      </c>
      <c r="AF483" t="s">
        <v>93</v>
      </c>
      <c r="AG483">
        <v>0.43</v>
      </c>
      <c r="AH483" t="s">
        <v>93</v>
      </c>
      <c r="AI483" t="s">
        <v>93</v>
      </c>
      <c r="AJ483" t="s">
        <v>93</v>
      </c>
      <c r="AK483" t="s">
        <v>93</v>
      </c>
      <c r="AZ483">
        <v>0.56999999999999995</v>
      </c>
      <c r="CR483">
        <f t="shared" si="68"/>
        <v>0</v>
      </c>
      <c r="CS483">
        <f t="shared" si="69"/>
        <v>0</v>
      </c>
      <c r="CT483">
        <f t="shared" si="70"/>
        <v>-134.04250678554081</v>
      </c>
      <c r="CU483" s="7">
        <f t="shared" si="71"/>
        <v>-134.04250678554081</v>
      </c>
      <c r="CV483" s="9">
        <f t="shared" si="72"/>
        <v>692.31769999999995</v>
      </c>
      <c r="CW483" t="str">
        <f t="shared" si="64"/>
        <v>Pd4Y3</v>
      </c>
    </row>
    <row r="484" spans="1:101" ht="15.75" thickBot="1" x14ac:dyDescent="0.3">
      <c r="A484" t="s">
        <v>91</v>
      </c>
      <c r="B484" t="s">
        <v>1978</v>
      </c>
      <c r="C484" t="s">
        <v>3144</v>
      </c>
      <c r="E484" t="s">
        <v>3145</v>
      </c>
      <c r="G484" t="s">
        <v>1979</v>
      </c>
      <c r="H484">
        <v>202.91399999999999</v>
      </c>
      <c r="I484">
        <v>768</v>
      </c>
      <c r="J484">
        <v>0</v>
      </c>
      <c r="K484" t="s">
        <v>95</v>
      </c>
      <c r="L484">
        <v>-27.3289212</v>
      </c>
      <c r="M484">
        <f t="shared" si="65"/>
        <v>-134.68228510600551</v>
      </c>
      <c r="N484" t="s">
        <v>95</v>
      </c>
      <c r="O484" t="s">
        <v>1980</v>
      </c>
      <c r="P484" t="s">
        <v>93</v>
      </c>
      <c r="Q484">
        <v>0</v>
      </c>
      <c r="R484" t="s">
        <v>95</v>
      </c>
      <c r="S484">
        <v>-26.998169010000002</v>
      </c>
      <c r="T484">
        <f t="shared" si="66"/>
        <v>-133.05227342618056</v>
      </c>
      <c r="U484" t="s">
        <v>95</v>
      </c>
      <c r="V484">
        <v>18350</v>
      </c>
      <c r="W484" t="s">
        <v>159</v>
      </c>
      <c r="X484">
        <v>1760</v>
      </c>
      <c r="Y484" t="s">
        <v>160</v>
      </c>
      <c r="AB484">
        <f t="shared" si="67"/>
        <v>0</v>
      </c>
      <c r="AC484" t="s">
        <v>93</v>
      </c>
      <c r="AD484">
        <v>1.7</v>
      </c>
      <c r="AE484" t="s">
        <v>95</v>
      </c>
      <c r="AF484" t="s">
        <v>93</v>
      </c>
      <c r="AP484">
        <v>0.33</v>
      </c>
      <c r="AT484">
        <v>0.67</v>
      </c>
      <c r="CG484">
        <v>-29.7</v>
      </c>
      <c r="CH484" t="s">
        <v>95</v>
      </c>
      <c r="CI484" t="s">
        <v>93</v>
      </c>
      <c r="CR484">
        <f t="shared" si="68"/>
        <v>-134.68228510600551</v>
      </c>
      <c r="CS484">
        <f t="shared" si="69"/>
        <v>-133.05227342618056</v>
      </c>
      <c r="CT484">
        <f t="shared" si="70"/>
        <v>0</v>
      </c>
      <c r="CU484" s="7">
        <f t="shared" si="71"/>
        <v>-133.86727926609302</v>
      </c>
      <c r="CV484" s="9">
        <f t="shared" si="72"/>
        <v>202.91399999999999</v>
      </c>
      <c r="CW484" t="str">
        <f t="shared" si="64"/>
        <v>ZrFe2</v>
      </c>
    </row>
    <row r="485" spans="1:101" ht="15.75" thickBot="1" x14ac:dyDescent="0.3">
      <c r="A485" t="s">
        <v>91</v>
      </c>
      <c r="B485" t="s">
        <v>623</v>
      </c>
      <c r="C485" t="s">
        <v>3144</v>
      </c>
      <c r="E485" t="s">
        <v>3145</v>
      </c>
      <c r="F485" t="s">
        <v>93</v>
      </c>
      <c r="G485" t="s">
        <v>624</v>
      </c>
      <c r="H485">
        <v>541.69000000000005</v>
      </c>
      <c r="I485">
        <v>252</v>
      </c>
      <c r="M485">
        <f t="shared" si="65"/>
        <v>0</v>
      </c>
      <c r="O485" t="s">
        <v>93</v>
      </c>
      <c r="P485" t="s">
        <v>93</v>
      </c>
      <c r="Q485">
        <v>0</v>
      </c>
      <c r="R485" t="s">
        <v>95</v>
      </c>
      <c r="S485">
        <v>-76.472659759999999</v>
      </c>
      <c r="T485">
        <f t="shared" si="66"/>
        <v>-141.17421359079916</v>
      </c>
      <c r="U485" t="s">
        <v>95</v>
      </c>
      <c r="V485">
        <v>30381</v>
      </c>
      <c r="W485" t="s">
        <v>159</v>
      </c>
      <c r="X485">
        <v>298</v>
      </c>
      <c r="Y485" t="s">
        <v>160</v>
      </c>
      <c r="Z485">
        <v>-68.5</v>
      </c>
      <c r="AA485" t="s">
        <v>95</v>
      </c>
      <c r="AB485">
        <f t="shared" si="67"/>
        <v>-126.45609112222857</v>
      </c>
      <c r="AC485" t="s">
        <v>93</v>
      </c>
      <c r="AD485">
        <v>2.2000000000000002</v>
      </c>
      <c r="AE485" t="s">
        <v>95</v>
      </c>
      <c r="AF485" t="s">
        <v>93</v>
      </c>
      <c r="AH485" t="s">
        <v>93</v>
      </c>
      <c r="AI485" t="s">
        <v>93</v>
      </c>
      <c r="BB485">
        <v>0.66</v>
      </c>
      <c r="BI485">
        <v>0.33</v>
      </c>
      <c r="CR485">
        <f t="shared" si="68"/>
        <v>0</v>
      </c>
      <c r="CS485">
        <f t="shared" si="69"/>
        <v>-141.17421359079916</v>
      </c>
      <c r="CT485">
        <f t="shared" si="70"/>
        <v>-126.45609112222857</v>
      </c>
      <c r="CU485" s="7">
        <f t="shared" si="71"/>
        <v>-133.81515235651386</v>
      </c>
      <c r="CV485" s="9">
        <f t="shared" si="72"/>
        <v>541.69000000000005</v>
      </c>
      <c r="CW485" t="str">
        <f t="shared" si="64"/>
        <v>GdIr2</v>
      </c>
    </row>
    <row r="486" spans="1:101" ht="15.75" thickBot="1" x14ac:dyDescent="0.3">
      <c r="A486" t="s">
        <v>91</v>
      </c>
      <c r="B486" t="s">
        <v>93</v>
      </c>
      <c r="C486" t="s">
        <v>3144</v>
      </c>
      <c r="E486" t="s">
        <v>3145</v>
      </c>
      <c r="F486" t="s">
        <v>93</v>
      </c>
      <c r="G486" t="s">
        <v>320</v>
      </c>
      <c r="H486">
        <v>449.32615999999899</v>
      </c>
      <c r="I486">
        <v>125</v>
      </c>
      <c r="M486">
        <f t="shared" si="65"/>
        <v>0</v>
      </c>
      <c r="O486" t="s">
        <v>93</v>
      </c>
      <c r="P486" t="s">
        <v>93</v>
      </c>
      <c r="T486">
        <f t="shared" si="66"/>
        <v>0</v>
      </c>
      <c r="V486" t="s">
        <v>93</v>
      </c>
      <c r="W486" t="s">
        <v>102</v>
      </c>
      <c r="X486">
        <v>298</v>
      </c>
      <c r="Y486" t="s">
        <v>103</v>
      </c>
      <c r="Z486">
        <v>-60.1</v>
      </c>
      <c r="AA486" t="s">
        <v>95</v>
      </c>
      <c r="AB486">
        <f t="shared" si="67"/>
        <v>-133.75584452950642</v>
      </c>
      <c r="AC486" t="s">
        <v>93</v>
      </c>
      <c r="AD486">
        <v>2.4</v>
      </c>
      <c r="AE486" t="s">
        <v>95</v>
      </c>
      <c r="AF486" t="s">
        <v>93</v>
      </c>
      <c r="AH486" t="s">
        <v>93</v>
      </c>
      <c r="AI486" t="s">
        <v>93</v>
      </c>
      <c r="AJ486" t="s">
        <v>93</v>
      </c>
      <c r="AK486" t="s">
        <v>93</v>
      </c>
      <c r="AR486">
        <v>0.4</v>
      </c>
      <c r="AS486">
        <v>0.5</v>
      </c>
      <c r="BA486">
        <v>0.1</v>
      </c>
      <c r="CR486">
        <f t="shared" si="68"/>
        <v>0</v>
      </c>
      <c r="CS486">
        <f t="shared" si="69"/>
        <v>0</v>
      </c>
      <c r="CT486">
        <f t="shared" si="70"/>
        <v>-133.75584452950642</v>
      </c>
      <c r="CU486" s="7">
        <f t="shared" si="71"/>
        <v>-133.75584452950642</v>
      </c>
      <c r="CV486" s="9">
        <f t="shared" si="72"/>
        <v>449.32615999999899</v>
      </c>
      <c r="CW486" t="str">
        <f t="shared" si="64"/>
        <v>Al4Ni5Ti</v>
      </c>
    </row>
    <row r="487" spans="1:101" ht="15.75" thickBot="1" x14ac:dyDescent="0.3">
      <c r="A487" t="s">
        <v>484</v>
      </c>
      <c r="B487" t="s">
        <v>1611</v>
      </c>
      <c r="C487" t="s">
        <v>3138</v>
      </c>
      <c r="D487" t="s">
        <v>3139</v>
      </c>
      <c r="F487" t="s">
        <v>3140</v>
      </c>
      <c r="G487" t="s">
        <v>1612</v>
      </c>
      <c r="H487">
        <v>528.78599999999994</v>
      </c>
      <c r="I487">
        <v>619</v>
      </c>
      <c r="J487">
        <v>0</v>
      </c>
      <c r="K487" t="s">
        <v>95</v>
      </c>
      <c r="L487">
        <v>-69.380644599999997</v>
      </c>
      <c r="M487">
        <f t="shared" si="65"/>
        <v>-131.20741585442883</v>
      </c>
      <c r="N487" t="s">
        <v>95</v>
      </c>
      <c r="O487" t="s">
        <v>1613</v>
      </c>
      <c r="P487" t="s">
        <v>93</v>
      </c>
      <c r="Q487">
        <v>0</v>
      </c>
      <c r="R487" t="s">
        <v>95</v>
      </c>
      <c r="S487">
        <v>-69.567730280000006</v>
      </c>
      <c r="T487">
        <f t="shared" si="66"/>
        <v>-131.56121811091825</v>
      </c>
      <c r="U487" t="s">
        <v>95</v>
      </c>
      <c r="V487">
        <v>8194</v>
      </c>
      <c r="W487" t="s">
        <v>339</v>
      </c>
      <c r="X487">
        <v>298</v>
      </c>
      <c r="Y487" t="s">
        <v>1403</v>
      </c>
      <c r="Z487">
        <v>-71.7</v>
      </c>
      <c r="AA487" t="s">
        <v>95</v>
      </c>
      <c r="AB487">
        <f t="shared" si="67"/>
        <v>-135.5936049744131</v>
      </c>
      <c r="AC487" t="s">
        <v>93</v>
      </c>
      <c r="AD487">
        <v>3.6</v>
      </c>
      <c r="AE487" t="s">
        <v>95</v>
      </c>
      <c r="AF487" t="s">
        <v>93</v>
      </c>
      <c r="AG487">
        <v>0.625</v>
      </c>
      <c r="BX487">
        <v>0.375</v>
      </c>
      <c r="CR487">
        <f t="shared" si="68"/>
        <v>-131.20741585442883</v>
      </c>
      <c r="CS487">
        <f t="shared" si="69"/>
        <v>-131.56121811091825</v>
      </c>
      <c r="CT487">
        <f t="shared" si="70"/>
        <v>-135.5936049744131</v>
      </c>
      <c r="CU487" s="7">
        <f t="shared" si="71"/>
        <v>-132.78741297992005</v>
      </c>
      <c r="CV487" s="9">
        <f t="shared" si="72"/>
        <v>528.78599999999994</v>
      </c>
      <c r="CW487" t="str">
        <f t="shared" si="64"/>
        <v>Y5Si3</v>
      </c>
    </row>
    <row r="488" spans="1:101" ht="15.75" thickBot="1" x14ac:dyDescent="0.3">
      <c r="A488" t="s">
        <v>91</v>
      </c>
      <c r="B488" t="s">
        <v>451</v>
      </c>
      <c r="C488" t="s">
        <v>3144</v>
      </c>
      <c r="E488" t="s">
        <v>3145</v>
      </c>
      <c r="F488" t="s">
        <v>93</v>
      </c>
      <c r="G488" t="s">
        <v>452</v>
      </c>
      <c r="H488">
        <v>524.55999999999995</v>
      </c>
      <c r="I488">
        <v>184</v>
      </c>
      <c r="J488">
        <v>0</v>
      </c>
      <c r="K488" t="s">
        <v>95</v>
      </c>
      <c r="L488">
        <v>-74.843219300000001</v>
      </c>
      <c r="M488">
        <f t="shared" si="65"/>
        <v>-142.67809078084491</v>
      </c>
      <c r="N488" t="s">
        <v>95</v>
      </c>
      <c r="O488" t="s">
        <v>453</v>
      </c>
      <c r="P488" t="s">
        <v>93</v>
      </c>
      <c r="Q488">
        <v>0</v>
      </c>
      <c r="R488" t="s">
        <v>95</v>
      </c>
      <c r="S488">
        <v>-60.321317720000003</v>
      </c>
      <c r="T488">
        <f t="shared" si="66"/>
        <v>-114.99412406588381</v>
      </c>
      <c r="U488" t="s">
        <v>95</v>
      </c>
      <c r="V488">
        <v>29113</v>
      </c>
      <c r="W488" t="s">
        <v>159</v>
      </c>
      <c r="X488">
        <v>298</v>
      </c>
      <c r="Y488" t="s">
        <v>160</v>
      </c>
      <c r="Z488">
        <v>-73.8</v>
      </c>
      <c r="AA488" t="s">
        <v>95</v>
      </c>
      <c r="AB488">
        <f t="shared" si="67"/>
        <v>-140.68933963702915</v>
      </c>
      <c r="AC488" t="s">
        <v>93</v>
      </c>
      <c r="AD488">
        <v>2.8</v>
      </c>
      <c r="AE488" t="s">
        <v>95</v>
      </c>
      <c r="AF488" t="s">
        <v>93</v>
      </c>
      <c r="AM488">
        <v>0.33</v>
      </c>
      <c r="BB488">
        <v>0.66</v>
      </c>
      <c r="CR488">
        <f t="shared" si="68"/>
        <v>-142.67809078084491</v>
      </c>
      <c r="CS488">
        <f t="shared" si="69"/>
        <v>-114.99412406588381</v>
      </c>
      <c r="CT488">
        <f t="shared" si="70"/>
        <v>-140.68933963702915</v>
      </c>
      <c r="CU488" s="7">
        <f t="shared" si="71"/>
        <v>-132.78718482791928</v>
      </c>
      <c r="CV488" s="9">
        <f t="shared" si="72"/>
        <v>524.55999999999995</v>
      </c>
      <c r="CW488" t="str">
        <f t="shared" si="64"/>
        <v>CeIr2</v>
      </c>
    </row>
    <row r="489" spans="1:101" ht="15.75" thickBot="1" x14ac:dyDescent="0.3">
      <c r="A489" t="s">
        <v>91</v>
      </c>
      <c r="B489" t="s">
        <v>1890</v>
      </c>
      <c r="C489" t="s">
        <v>3144</v>
      </c>
      <c r="E489" t="s">
        <v>3145</v>
      </c>
      <c r="F489" t="s">
        <v>93</v>
      </c>
      <c r="G489" t="s">
        <v>1891</v>
      </c>
      <c r="H489">
        <v>276.802199999999</v>
      </c>
      <c r="I489">
        <v>722</v>
      </c>
      <c r="J489">
        <v>0</v>
      </c>
      <c r="K489" t="s">
        <v>95</v>
      </c>
      <c r="L489">
        <v>-33.313277589999998</v>
      </c>
      <c r="M489">
        <f t="shared" si="65"/>
        <v>-120.35047983722716</v>
      </c>
      <c r="N489" t="s">
        <v>95</v>
      </c>
      <c r="O489" t="s">
        <v>1892</v>
      </c>
      <c r="P489" t="s">
        <v>93</v>
      </c>
      <c r="Q489">
        <v>0.15709736999999999</v>
      </c>
      <c r="R489" t="s">
        <v>95</v>
      </c>
      <c r="S489">
        <v>-33.844582289999998</v>
      </c>
      <c r="T489">
        <f t="shared" si="66"/>
        <v>-122.26991797753097</v>
      </c>
      <c r="U489" t="s">
        <v>95</v>
      </c>
      <c r="V489">
        <v>10678</v>
      </c>
      <c r="W489" t="s">
        <v>102</v>
      </c>
      <c r="X489">
        <v>298</v>
      </c>
      <c r="Y489" t="s">
        <v>103</v>
      </c>
      <c r="Z489">
        <v>-43</v>
      </c>
      <c r="AA489" t="s">
        <v>95</v>
      </c>
      <c r="AB489">
        <f t="shared" si="67"/>
        <v>-155.34558612612238</v>
      </c>
      <c r="AC489" t="s">
        <v>93</v>
      </c>
      <c r="AD489">
        <v>2.2999999999999998</v>
      </c>
      <c r="AE489" t="s">
        <v>95</v>
      </c>
      <c r="AF489" t="s">
        <v>93</v>
      </c>
      <c r="BO489">
        <v>0.5</v>
      </c>
      <c r="CR489">
        <f t="shared" si="68"/>
        <v>-120.35047983722716</v>
      </c>
      <c r="CS489">
        <f t="shared" si="69"/>
        <v>-122.26991797753097</v>
      </c>
      <c r="CT489">
        <f t="shared" si="70"/>
        <v>-155.34558612612238</v>
      </c>
      <c r="CU489" s="7">
        <f t="shared" si="71"/>
        <v>-132.65532798029349</v>
      </c>
      <c r="CV489" s="9">
        <f t="shared" si="72"/>
        <v>276.802199999999</v>
      </c>
      <c r="CW489" t="str">
        <f t="shared" si="64"/>
        <v>TmAg</v>
      </c>
    </row>
    <row r="490" spans="1:101" ht="15.75" thickBot="1" x14ac:dyDescent="0.3">
      <c r="A490" t="s">
        <v>484</v>
      </c>
      <c r="B490" t="s">
        <v>1475</v>
      </c>
      <c r="C490" t="s">
        <v>3138</v>
      </c>
      <c r="D490" t="s">
        <v>3139</v>
      </c>
      <c r="F490" t="s">
        <v>3140</v>
      </c>
      <c r="G490" t="s">
        <v>1476</v>
      </c>
      <c r="H490">
        <v>591.64099999999996</v>
      </c>
      <c r="I490">
        <v>567</v>
      </c>
      <c r="J490">
        <v>0</v>
      </c>
      <c r="K490" t="s">
        <v>95</v>
      </c>
      <c r="L490">
        <v>-77.516348100000002</v>
      </c>
      <c r="M490">
        <f t="shared" si="65"/>
        <v>-131.01922973559982</v>
      </c>
      <c r="N490" t="s">
        <v>95</v>
      </c>
      <c r="O490" t="s">
        <v>1477</v>
      </c>
      <c r="P490" t="s">
        <v>93</v>
      </c>
      <c r="Q490">
        <v>0</v>
      </c>
      <c r="R490" t="s">
        <v>95</v>
      </c>
      <c r="S490">
        <v>-77.301665709999995</v>
      </c>
      <c r="T490">
        <f t="shared" si="66"/>
        <v>-130.65637051860841</v>
      </c>
      <c r="U490" t="s">
        <v>95</v>
      </c>
      <c r="V490">
        <v>647083</v>
      </c>
      <c r="W490" t="s">
        <v>1478</v>
      </c>
      <c r="X490">
        <v>298</v>
      </c>
      <c r="Y490" t="s">
        <v>1273</v>
      </c>
      <c r="Z490">
        <v>-80</v>
      </c>
      <c r="AA490" t="s">
        <v>95</v>
      </c>
      <c r="AB490">
        <f t="shared" si="67"/>
        <v>-135.21713336296844</v>
      </c>
      <c r="AC490" t="s">
        <v>93</v>
      </c>
      <c r="AD490">
        <v>4.7</v>
      </c>
      <c r="AE490" t="s">
        <v>95</v>
      </c>
      <c r="AF490" t="s">
        <v>93</v>
      </c>
      <c r="AQ490">
        <v>0.6</v>
      </c>
      <c r="BX490">
        <v>0.4</v>
      </c>
      <c r="CR490">
        <f t="shared" si="68"/>
        <v>-131.01922973559982</v>
      </c>
      <c r="CS490">
        <f t="shared" si="69"/>
        <v>-130.65637051860841</v>
      </c>
      <c r="CT490">
        <f t="shared" si="70"/>
        <v>-135.21713336296844</v>
      </c>
      <c r="CU490" s="7">
        <f t="shared" si="71"/>
        <v>-132.29757787239222</v>
      </c>
      <c r="CV490" s="9">
        <f t="shared" si="72"/>
        <v>591.64099999999996</v>
      </c>
      <c r="CW490" t="str">
        <f t="shared" ref="CW490:CW553" si="73">G490</f>
        <v>Hf3Si2</v>
      </c>
    </row>
    <row r="491" spans="1:101" ht="15.75" thickBot="1" x14ac:dyDescent="0.3">
      <c r="A491" t="s">
        <v>91</v>
      </c>
      <c r="B491" t="s">
        <v>1738</v>
      </c>
      <c r="C491" t="s">
        <v>3144</v>
      </c>
      <c r="E491" t="s">
        <v>3145</v>
      </c>
      <c r="F491" t="s">
        <v>93</v>
      </c>
      <c r="G491" t="s">
        <v>1739</v>
      </c>
      <c r="H491">
        <v>157.77600000000001</v>
      </c>
      <c r="I491">
        <v>665</v>
      </c>
      <c r="J491">
        <v>0</v>
      </c>
      <c r="K491" t="s">
        <v>95</v>
      </c>
      <c r="L491">
        <v>-26.166138449999998</v>
      </c>
      <c r="M491">
        <f t="shared" si="65"/>
        <v>-165.8435912306054</v>
      </c>
      <c r="N491" t="s">
        <v>95</v>
      </c>
      <c r="O491" t="s">
        <v>1740</v>
      </c>
      <c r="P491" t="s">
        <v>93</v>
      </c>
      <c r="Q491">
        <v>0</v>
      </c>
      <c r="R491" t="s">
        <v>95</v>
      </c>
      <c r="S491">
        <v>-27.683994139999999</v>
      </c>
      <c r="T491">
        <f t="shared" si="66"/>
        <v>-175.46391174830137</v>
      </c>
      <c r="U491" t="s">
        <v>95</v>
      </c>
      <c r="V491">
        <v>17696</v>
      </c>
      <c r="W491" t="s">
        <v>225</v>
      </c>
      <c r="X491">
        <v>298</v>
      </c>
      <c r="Y491" t="s">
        <v>179</v>
      </c>
      <c r="Z491">
        <v>-8.6</v>
      </c>
      <c r="AA491" t="s">
        <v>95</v>
      </c>
      <c r="AB491">
        <f t="shared" si="67"/>
        <v>-54.507656424297735</v>
      </c>
      <c r="AC491" t="s">
        <v>93</v>
      </c>
      <c r="AD491">
        <v>1.6</v>
      </c>
      <c r="AE491" t="s">
        <v>95</v>
      </c>
      <c r="AF491" t="s">
        <v>93</v>
      </c>
      <c r="BA491">
        <v>0.33</v>
      </c>
      <c r="BR491">
        <v>0.66</v>
      </c>
      <c r="CR491">
        <f t="shared" si="68"/>
        <v>-165.8435912306054</v>
      </c>
      <c r="CS491">
        <f t="shared" si="69"/>
        <v>-175.46391174830137</v>
      </c>
      <c r="CT491">
        <f t="shared" si="70"/>
        <v>-54.507656424297735</v>
      </c>
      <c r="CU491" s="7">
        <f t="shared" si="71"/>
        <v>-131.93838646773483</v>
      </c>
      <c r="CV491" s="9">
        <f t="shared" si="72"/>
        <v>157.77600000000001</v>
      </c>
      <c r="CW491" t="str">
        <f t="shared" si="73"/>
        <v>TiMn2</v>
      </c>
    </row>
    <row r="492" spans="1:101" ht="15.75" thickBot="1" x14ac:dyDescent="0.3">
      <c r="A492" t="s">
        <v>91</v>
      </c>
      <c r="B492" t="s">
        <v>596</v>
      </c>
      <c r="C492" t="s">
        <v>3144</v>
      </c>
      <c r="E492" t="s">
        <v>3145</v>
      </c>
      <c r="F492" t="s">
        <v>93</v>
      </c>
      <c r="G492" t="s">
        <v>597</v>
      </c>
      <c r="H492">
        <v>752.53</v>
      </c>
      <c r="I492">
        <v>242</v>
      </c>
      <c r="J492">
        <v>0</v>
      </c>
      <c r="K492" t="s">
        <v>95</v>
      </c>
      <c r="L492">
        <v>-102.16382659999999</v>
      </c>
      <c r="M492">
        <f t="shared" si="65"/>
        <v>-135.76047014736952</v>
      </c>
      <c r="N492" t="s">
        <v>95</v>
      </c>
      <c r="O492" t="s">
        <v>598</v>
      </c>
      <c r="P492" t="s">
        <v>93</v>
      </c>
      <c r="Q492">
        <v>0</v>
      </c>
      <c r="R492" t="s">
        <v>95</v>
      </c>
      <c r="S492">
        <v>-101.7143667</v>
      </c>
      <c r="T492">
        <f t="shared" si="66"/>
        <v>-135.16320505494798</v>
      </c>
      <c r="U492" t="s">
        <v>95</v>
      </c>
      <c r="V492">
        <v>30031</v>
      </c>
      <c r="W492" t="s">
        <v>194</v>
      </c>
      <c r="X492">
        <v>298</v>
      </c>
      <c r="Y492" t="s">
        <v>103</v>
      </c>
      <c r="Z492">
        <v>-93.6</v>
      </c>
      <c r="AA492" t="s">
        <v>95</v>
      </c>
      <c r="AB492">
        <f t="shared" si="67"/>
        <v>-124.3804233718257</v>
      </c>
      <c r="AC492" t="s">
        <v>93</v>
      </c>
      <c r="AD492">
        <v>1.8</v>
      </c>
      <c r="AE492" t="s">
        <v>95</v>
      </c>
      <c r="AF492" t="s">
        <v>93</v>
      </c>
      <c r="AY492">
        <v>0.75</v>
      </c>
      <c r="BH492">
        <v>0.25</v>
      </c>
      <c r="CR492">
        <f t="shared" si="68"/>
        <v>-135.76047014736952</v>
      </c>
      <c r="CS492">
        <f t="shared" si="69"/>
        <v>-135.16320505494798</v>
      </c>
      <c r="CT492">
        <f t="shared" si="70"/>
        <v>-124.3804233718257</v>
      </c>
      <c r="CU492" s="7">
        <f t="shared" si="71"/>
        <v>-131.76803285804775</v>
      </c>
      <c r="CV492" s="9">
        <f t="shared" si="72"/>
        <v>752.53</v>
      </c>
      <c r="CW492" t="str">
        <f t="shared" si="73"/>
        <v>ErPt3</v>
      </c>
    </row>
    <row r="493" spans="1:101" ht="15.75" thickBot="1" x14ac:dyDescent="0.3">
      <c r="A493" t="s">
        <v>91</v>
      </c>
      <c r="B493" t="s">
        <v>2345</v>
      </c>
      <c r="C493" t="s">
        <v>3144</v>
      </c>
      <c r="E493" t="s">
        <v>3145</v>
      </c>
      <c r="F493" t="s">
        <v>93</v>
      </c>
      <c r="G493" t="s">
        <v>2346</v>
      </c>
      <c r="H493">
        <v>325.32943999999998</v>
      </c>
      <c r="I493">
        <v>953</v>
      </c>
      <c r="J493">
        <v>0.97936371</v>
      </c>
      <c r="K493" t="s">
        <v>95</v>
      </c>
      <c r="L493">
        <v>-44.698221789999998</v>
      </c>
      <c r="M493">
        <f t="shared" si="65"/>
        <v>-137.39371939410094</v>
      </c>
      <c r="N493" t="s">
        <v>95</v>
      </c>
      <c r="O493" t="s">
        <v>2347</v>
      </c>
      <c r="P493" t="s">
        <v>121</v>
      </c>
      <c r="Q493">
        <v>0.91511655999999997</v>
      </c>
      <c r="R493" t="s">
        <v>95</v>
      </c>
      <c r="S493">
        <v>-45.191042359999997</v>
      </c>
      <c r="T493">
        <f t="shared" si="66"/>
        <v>-138.90855484827935</v>
      </c>
      <c r="U493" t="s">
        <v>95</v>
      </c>
      <c r="V493">
        <v>10523</v>
      </c>
      <c r="W493" t="s">
        <v>184</v>
      </c>
      <c r="X493">
        <v>298</v>
      </c>
      <c r="Y493" t="s">
        <v>185</v>
      </c>
      <c r="Z493">
        <v>-38.700000000000003</v>
      </c>
      <c r="AA493" t="s">
        <v>95</v>
      </c>
      <c r="AB493">
        <f t="shared" si="67"/>
        <v>-118.95634160867829</v>
      </c>
      <c r="AC493" t="s">
        <v>93</v>
      </c>
      <c r="AD493">
        <v>1</v>
      </c>
      <c r="AE493" t="s">
        <v>95</v>
      </c>
      <c r="AF493" t="s">
        <v>93</v>
      </c>
      <c r="AR493">
        <v>0.25</v>
      </c>
      <c r="AS493">
        <v>0.5</v>
      </c>
      <c r="BE493">
        <v>0.25</v>
      </c>
      <c r="CR493">
        <f t="shared" si="68"/>
        <v>-137.39371939410094</v>
      </c>
      <c r="CS493">
        <f t="shared" si="69"/>
        <v>-138.90855484827935</v>
      </c>
      <c r="CT493">
        <f t="shared" si="70"/>
        <v>-118.95634160867829</v>
      </c>
      <c r="CU493" s="7">
        <f t="shared" si="71"/>
        <v>-131.75287195035287</v>
      </c>
      <c r="CV493" s="9">
        <f t="shared" si="72"/>
        <v>325.32943999999998</v>
      </c>
      <c r="CW493" t="str">
        <f t="shared" si="73"/>
        <v>TaAlNi2</v>
      </c>
    </row>
    <row r="494" spans="1:101" ht="15.75" thickBot="1" x14ac:dyDescent="0.3">
      <c r="A494" t="s">
        <v>91</v>
      </c>
      <c r="B494" t="s">
        <v>370</v>
      </c>
      <c r="C494" t="s">
        <v>3144</v>
      </c>
      <c r="E494" t="s">
        <v>3145</v>
      </c>
      <c r="F494" t="s">
        <v>93</v>
      </c>
      <c r="G494" t="s">
        <v>371</v>
      </c>
      <c r="H494">
        <v>534.84069999999997</v>
      </c>
      <c r="I494">
        <v>155</v>
      </c>
      <c r="J494">
        <v>0</v>
      </c>
      <c r="K494" t="s">
        <v>95</v>
      </c>
      <c r="L494">
        <v>-73.352052979999996</v>
      </c>
      <c r="M494">
        <f t="shared" si="65"/>
        <v>-137.14747770691349</v>
      </c>
      <c r="N494" t="s">
        <v>95</v>
      </c>
      <c r="O494" t="s">
        <v>372</v>
      </c>
      <c r="P494" t="s">
        <v>93</v>
      </c>
      <c r="Q494">
        <v>0</v>
      </c>
      <c r="R494" t="s">
        <v>95</v>
      </c>
      <c r="S494">
        <v>-73.622275299999998</v>
      </c>
      <c r="T494">
        <f t="shared" si="66"/>
        <v>-137.65271659393161</v>
      </c>
      <c r="U494" t="s">
        <v>95</v>
      </c>
      <c r="V494">
        <v>10795</v>
      </c>
      <c r="W494" t="s">
        <v>364</v>
      </c>
      <c r="X494">
        <v>298</v>
      </c>
      <c r="Y494" t="s">
        <v>365</v>
      </c>
      <c r="Z494">
        <v>-64.2</v>
      </c>
      <c r="AA494" t="s">
        <v>95</v>
      </c>
      <c r="AB494">
        <f t="shared" si="67"/>
        <v>-120.03574148339871</v>
      </c>
      <c r="AC494" t="s">
        <v>93</v>
      </c>
      <c r="AD494">
        <v>3</v>
      </c>
      <c r="AE494" t="s">
        <v>95</v>
      </c>
      <c r="AF494" t="s">
        <v>93</v>
      </c>
      <c r="AN494">
        <v>0.33</v>
      </c>
      <c r="BC494">
        <v>0.66</v>
      </c>
      <c r="CR494">
        <f t="shared" si="68"/>
        <v>-137.14747770691349</v>
      </c>
      <c r="CS494">
        <f t="shared" si="69"/>
        <v>-137.65271659393161</v>
      </c>
      <c r="CT494">
        <f t="shared" si="70"/>
        <v>-120.03574148339871</v>
      </c>
      <c r="CU494" s="7">
        <f t="shared" si="71"/>
        <v>-131.61197859474794</v>
      </c>
      <c r="CV494" s="9">
        <f t="shared" si="72"/>
        <v>534.84069999999997</v>
      </c>
      <c r="CW494" t="str">
        <f t="shared" si="73"/>
        <v>PrAu2</v>
      </c>
    </row>
    <row r="495" spans="1:101" ht="15.75" thickBot="1" x14ac:dyDescent="0.3">
      <c r="A495" t="s">
        <v>91</v>
      </c>
      <c r="B495" t="s">
        <v>774</v>
      </c>
      <c r="C495" t="s">
        <v>3144</v>
      </c>
      <c r="E495" t="s">
        <v>3145</v>
      </c>
      <c r="F495" t="s">
        <v>93</v>
      </c>
      <c r="G495" t="s">
        <v>775</v>
      </c>
      <c r="H495">
        <v>760.23699999999997</v>
      </c>
      <c r="I495">
        <v>311</v>
      </c>
      <c r="J495">
        <v>0</v>
      </c>
      <c r="K495" t="s">
        <v>95</v>
      </c>
      <c r="L495">
        <v>-105.69135679999999</v>
      </c>
      <c r="M495">
        <f t="shared" si="65"/>
        <v>-139.02422113104203</v>
      </c>
      <c r="N495" t="s">
        <v>95</v>
      </c>
      <c r="O495" t="s">
        <v>776</v>
      </c>
      <c r="P495" t="s">
        <v>93</v>
      </c>
      <c r="Q495">
        <v>0.16121564999999999</v>
      </c>
      <c r="R495" t="s">
        <v>95</v>
      </c>
      <c r="S495">
        <v>-105.24498319999999</v>
      </c>
      <c r="T495">
        <f t="shared" si="66"/>
        <v>-138.43707054510631</v>
      </c>
      <c r="U495" t="s">
        <v>95</v>
      </c>
      <c r="V495">
        <v>17624</v>
      </c>
      <c r="W495" t="s">
        <v>194</v>
      </c>
      <c r="X495">
        <v>298</v>
      </c>
      <c r="Y495" t="s">
        <v>103</v>
      </c>
      <c r="Z495">
        <v>-89.2</v>
      </c>
      <c r="AA495" t="s">
        <v>95</v>
      </c>
      <c r="AB495">
        <f t="shared" si="67"/>
        <v>-117.33183204711163</v>
      </c>
      <c r="AC495" t="s">
        <v>93</v>
      </c>
      <c r="AD495">
        <v>2.2999999999999998</v>
      </c>
      <c r="AE495" t="s">
        <v>95</v>
      </c>
      <c r="AF495" t="s">
        <v>93</v>
      </c>
      <c r="AY495">
        <v>0.75</v>
      </c>
      <c r="BL495">
        <v>0.25</v>
      </c>
      <c r="CR495">
        <f t="shared" si="68"/>
        <v>-139.02422113104203</v>
      </c>
      <c r="CS495">
        <f t="shared" si="69"/>
        <v>-138.43707054510631</v>
      </c>
      <c r="CT495">
        <f t="shared" si="70"/>
        <v>-117.33183204711163</v>
      </c>
      <c r="CU495" s="7">
        <f t="shared" si="71"/>
        <v>-131.59770790775332</v>
      </c>
      <c r="CV495" s="9">
        <f t="shared" si="72"/>
        <v>760.23699999999997</v>
      </c>
      <c r="CW495" t="str">
        <f t="shared" si="73"/>
        <v>LuPt3</v>
      </c>
    </row>
    <row r="496" spans="1:101" ht="15.75" thickBot="1" x14ac:dyDescent="0.3">
      <c r="A496" t="s">
        <v>91</v>
      </c>
      <c r="B496" t="s">
        <v>688</v>
      </c>
      <c r="C496" t="s">
        <v>3144</v>
      </c>
      <c r="E496" t="s">
        <v>3145</v>
      </c>
      <c r="F496" t="s">
        <v>93</v>
      </c>
      <c r="G496" t="s">
        <v>689</v>
      </c>
      <c r="H496">
        <v>750.20039999999995</v>
      </c>
      <c r="I496">
        <v>278</v>
      </c>
      <c r="J496">
        <v>0</v>
      </c>
      <c r="K496" t="s">
        <v>95</v>
      </c>
      <c r="L496">
        <v>-100.5585586</v>
      </c>
      <c r="M496">
        <f t="shared" si="65"/>
        <v>-134.042262040916</v>
      </c>
      <c r="N496" t="s">
        <v>95</v>
      </c>
      <c r="O496" t="s">
        <v>690</v>
      </c>
      <c r="P496" t="s">
        <v>93</v>
      </c>
      <c r="Q496">
        <v>0.15697675999999999</v>
      </c>
      <c r="R496" t="s">
        <v>95</v>
      </c>
      <c r="S496">
        <v>-100.07609359999999</v>
      </c>
      <c r="T496">
        <f t="shared" si="66"/>
        <v>-133.39914721453096</v>
      </c>
      <c r="U496" t="s">
        <v>95</v>
      </c>
      <c r="V496">
        <v>17472</v>
      </c>
      <c r="W496" t="s">
        <v>194</v>
      </c>
      <c r="X496">
        <v>298</v>
      </c>
      <c r="Y496" t="s">
        <v>103</v>
      </c>
      <c r="Z496">
        <v>-95.3</v>
      </c>
      <c r="AA496" t="s">
        <v>95</v>
      </c>
      <c r="AB496">
        <f t="shared" si="67"/>
        <v>-127.03272352294134</v>
      </c>
      <c r="AC496" t="s">
        <v>93</v>
      </c>
      <c r="AD496">
        <v>2.2999999999999998</v>
      </c>
      <c r="AE496" t="s">
        <v>95</v>
      </c>
      <c r="AF496" t="s">
        <v>93</v>
      </c>
      <c r="AY496">
        <v>0.75</v>
      </c>
      <c r="BJ496">
        <v>0.25</v>
      </c>
      <c r="CR496">
        <f t="shared" si="68"/>
        <v>-134.042262040916</v>
      </c>
      <c r="CS496">
        <f t="shared" si="69"/>
        <v>-133.39914721453096</v>
      </c>
      <c r="CT496">
        <f t="shared" si="70"/>
        <v>-127.03272352294134</v>
      </c>
      <c r="CU496" s="7">
        <f t="shared" si="71"/>
        <v>-131.49137759279611</v>
      </c>
      <c r="CV496" s="9">
        <f t="shared" si="72"/>
        <v>750.20039999999995</v>
      </c>
      <c r="CW496" t="str">
        <f t="shared" si="73"/>
        <v>HoPt3</v>
      </c>
    </row>
    <row r="497" spans="1:101" ht="15.75" thickBot="1" x14ac:dyDescent="0.3">
      <c r="A497" t="s">
        <v>91</v>
      </c>
      <c r="B497" t="s">
        <v>2076</v>
      </c>
      <c r="C497" t="s">
        <v>3144</v>
      </c>
      <c r="E497" t="s">
        <v>3145</v>
      </c>
      <c r="G497" t="s">
        <v>2077</v>
      </c>
      <c r="H497">
        <v>212.79434000000001</v>
      </c>
      <c r="I497">
        <v>819</v>
      </c>
      <c r="J497">
        <v>0</v>
      </c>
      <c r="K497" t="s">
        <v>95</v>
      </c>
      <c r="L497">
        <v>-27.27000795</v>
      </c>
      <c r="M497">
        <f t="shared" si="65"/>
        <v>-128.15194215222078</v>
      </c>
      <c r="N497" t="s">
        <v>95</v>
      </c>
      <c r="O497" t="s">
        <v>2078</v>
      </c>
      <c r="P497" t="s">
        <v>93</v>
      </c>
      <c r="Q497">
        <v>0</v>
      </c>
      <c r="R497" t="s">
        <v>95</v>
      </c>
      <c r="S497">
        <v>-28.60689601</v>
      </c>
      <c r="T497">
        <f t="shared" si="66"/>
        <v>-134.43447795650957</v>
      </c>
      <c r="U497" t="s">
        <v>95</v>
      </c>
      <c r="V497">
        <v>10511</v>
      </c>
      <c r="W497" t="s">
        <v>1092</v>
      </c>
      <c r="X497">
        <v>1699</v>
      </c>
      <c r="Y497" t="s">
        <v>1093</v>
      </c>
      <c r="AB497">
        <f t="shared" si="67"/>
        <v>0</v>
      </c>
      <c r="AC497" t="s">
        <v>93</v>
      </c>
      <c r="AD497">
        <v>1</v>
      </c>
      <c r="AE497" t="s">
        <v>95</v>
      </c>
      <c r="AF497" t="s">
        <v>93</v>
      </c>
      <c r="AR497">
        <v>0.33</v>
      </c>
      <c r="AU497">
        <v>0.67</v>
      </c>
      <c r="CG497">
        <v>-29.8</v>
      </c>
      <c r="CH497" t="s">
        <v>95</v>
      </c>
      <c r="CI497" t="s">
        <v>93</v>
      </c>
      <c r="CR497">
        <f t="shared" si="68"/>
        <v>-128.15194215222078</v>
      </c>
      <c r="CS497">
        <f t="shared" si="69"/>
        <v>-134.43447795650957</v>
      </c>
      <c r="CT497">
        <f t="shared" si="70"/>
        <v>0</v>
      </c>
      <c r="CU497" s="7">
        <f t="shared" si="71"/>
        <v>-131.29321005436518</v>
      </c>
      <c r="CV497" s="9">
        <f t="shared" si="72"/>
        <v>212.79434000000001</v>
      </c>
      <c r="CW497" t="str">
        <f t="shared" si="73"/>
        <v>Nb2Al</v>
      </c>
    </row>
    <row r="498" spans="1:101" ht="15.75" thickBot="1" x14ac:dyDescent="0.3">
      <c r="A498" t="s">
        <v>91</v>
      </c>
      <c r="B498" t="s">
        <v>1655</v>
      </c>
      <c r="C498" t="s">
        <v>3144</v>
      </c>
      <c r="E498" t="s">
        <v>3145</v>
      </c>
      <c r="F498" t="s">
        <v>93</v>
      </c>
      <c r="G498" t="s">
        <v>1656</v>
      </c>
      <c r="H498">
        <v>240.02099999999999</v>
      </c>
      <c r="I498">
        <v>636</v>
      </c>
      <c r="J498">
        <v>0</v>
      </c>
      <c r="K498" t="s">
        <v>95</v>
      </c>
      <c r="L498">
        <v>-33.134416029999997</v>
      </c>
      <c r="M498">
        <f t="shared" si="65"/>
        <v>-138.04798759275229</v>
      </c>
      <c r="N498" t="s">
        <v>95</v>
      </c>
      <c r="O498" t="s">
        <v>1657</v>
      </c>
      <c r="P498" t="s">
        <v>93</v>
      </c>
      <c r="Q498">
        <v>0</v>
      </c>
      <c r="R498" t="s">
        <v>95</v>
      </c>
      <c r="S498">
        <v>-33.274229310000003</v>
      </c>
      <c r="T498">
        <f t="shared" si="66"/>
        <v>-138.63049195695379</v>
      </c>
      <c r="U498" t="s">
        <v>95</v>
      </c>
      <c r="V498">
        <v>5147</v>
      </c>
      <c r="W498" t="s">
        <v>97</v>
      </c>
      <c r="X498">
        <v>298</v>
      </c>
      <c r="Y498" t="s">
        <v>98</v>
      </c>
      <c r="Z498">
        <v>-27.3</v>
      </c>
      <c r="AA498" t="s">
        <v>95</v>
      </c>
      <c r="AB498">
        <f t="shared" si="67"/>
        <v>-113.74004774582225</v>
      </c>
      <c r="AC498" t="s">
        <v>93</v>
      </c>
      <c r="AD498">
        <v>2</v>
      </c>
      <c r="AE498" t="s">
        <v>95</v>
      </c>
      <c r="AF498" t="s">
        <v>93</v>
      </c>
      <c r="BW498">
        <v>0.33</v>
      </c>
      <c r="BX498">
        <v>0.66</v>
      </c>
      <c r="CR498">
        <f t="shared" si="68"/>
        <v>-138.04798759275229</v>
      </c>
      <c r="CS498">
        <f t="shared" si="69"/>
        <v>-138.63049195695379</v>
      </c>
      <c r="CT498">
        <f t="shared" si="70"/>
        <v>-113.74004774582225</v>
      </c>
      <c r="CU498" s="7">
        <f t="shared" si="71"/>
        <v>-130.13950909850945</v>
      </c>
      <c r="CV498" s="9">
        <f t="shared" si="72"/>
        <v>240.02099999999999</v>
      </c>
      <c r="CW498" t="str">
        <f t="shared" si="73"/>
        <v>Si2W</v>
      </c>
    </row>
    <row r="499" spans="1:101" ht="15.75" thickBot="1" x14ac:dyDescent="0.3">
      <c r="A499" t="s">
        <v>91</v>
      </c>
      <c r="B499" t="s">
        <v>1495</v>
      </c>
      <c r="C499" t="s">
        <v>3144</v>
      </c>
      <c r="E499" t="s">
        <v>3145</v>
      </c>
      <c r="F499" t="s">
        <v>93</v>
      </c>
      <c r="G499" t="s">
        <v>1496</v>
      </c>
      <c r="H499">
        <v>472.88749999999999</v>
      </c>
      <c r="I499">
        <v>575</v>
      </c>
      <c r="J499">
        <v>0.13168864</v>
      </c>
      <c r="K499" t="s">
        <v>95</v>
      </c>
      <c r="L499">
        <v>-61.534980060000002</v>
      </c>
      <c r="M499">
        <f t="shared" si="65"/>
        <v>-130.1260449049721</v>
      </c>
      <c r="N499" t="s">
        <v>95</v>
      </c>
      <c r="O499" t="s">
        <v>1497</v>
      </c>
      <c r="P499" t="s">
        <v>121</v>
      </c>
      <c r="Q499">
        <v>0.24434988999999999</v>
      </c>
      <c r="R499" t="s">
        <v>95</v>
      </c>
      <c r="S499">
        <v>-60.8372855</v>
      </c>
      <c r="T499">
        <f t="shared" si="66"/>
        <v>-128.65065263936981</v>
      </c>
      <c r="U499" t="s">
        <v>95</v>
      </c>
      <c r="V499">
        <v>8508</v>
      </c>
      <c r="W499" t="s">
        <v>1478</v>
      </c>
      <c r="X499">
        <v>298</v>
      </c>
      <c r="Y499" t="s">
        <v>1273</v>
      </c>
      <c r="Z499">
        <v>-61.6</v>
      </c>
      <c r="AA499" t="s">
        <v>95</v>
      </c>
      <c r="AB499">
        <f t="shared" si="67"/>
        <v>-130.26354048267294</v>
      </c>
      <c r="AC499" t="s">
        <v>93</v>
      </c>
      <c r="AD499">
        <v>1.6</v>
      </c>
      <c r="AE499" t="s">
        <v>95</v>
      </c>
      <c r="AF499" t="s">
        <v>93</v>
      </c>
      <c r="AL499">
        <v>0.6</v>
      </c>
      <c r="BX499">
        <v>0.4</v>
      </c>
      <c r="CR499">
        <f t="shared" si="68"/>
        <v>-130.1260449049721</v>
      </c>
      <c r="CS499">
        <f t="shared" si="69"/>
        <v>-128.65065263936981</v>
      </c>
      <c r="CT499">
        <f t="shared" si="70"/>
        <v>-130.26354048267294</v>
      </c>
      <c r="CU499" s="7">
        <f t="shared" si="71"/>
        <v>-129.6800793423383</v>
      </c>
      <c r="CV499" s="9">
        <f t="shared" si="72"/>
        <v>472.88749999999999</v>
      </c>
      <c r="CW499" t="str">
        <f t="shared" si="73"/>
        <v>La3Si2</v>
      </c>
    </row>
    <row r="500" spans="1:101" ht="15.75" thickBot="1" x14ac:dyDescent="0.3">
      <c r="A500" t="s">
        <v>91</v>
      </c>
      <c r="B500" t="s">
        <v>864</v>
      </c>
      <c r="C500" t="s">
        <v>3144</v>
      </c>
      <c r="E500" t="s">
        <v>3145</v>
      </c>
      <c r="G500" t="s">
        <v>865</v>
      </c>
      <c r="H500">
        <v>241.14</v>
      </c>
      <c r="I500">
        <v>769</v>
      </c>
      <c r="J500">
        <v>0</v>
      </c>
      <c r="K500" t="s">
        <v>95</v>
      </c>
      <c r="L500">
        <v>-31.14254369</v>
      </c>
      <c r="M500">
        <f t="shared" si="65"/>
        <v>-129.14714974703492</v>
      </c>
      <c r="N500" t="s">
        <v>95</v>
      </c>
      <c r="O500" t="s">
        <v>866</v>
      </c>
      <c r="P500" t="s">
        <v>93</v>
      </c>
      <c r="Q500">
        <v>0</v>
      </c>
      <c r="R500" t="s">
        <v>95</v>
      </c>
      <c r="S500">
        <v>-31.327437499999998</v>
      </c>
      <c r="T500">
        <f t="shared" si="66"/>
        <v>-129.91389856514886</v>
      </c>
      <c r="U500" t="s">
        <v>95</v>
      </c>
      <c r="V500">
        <v>103369</v>
      </c>
      <c r="W500" t="s">
        <v>479</v>
      </c>
      <c r="X500">
        <v>1230</v>
      </c>
      <c r="Y500" t="s">
        <v>480</v>
      </c>
      <c r="AB500">
        <f t="shared" si="67"/>
        <v>0</v>
      </c>
      <c r="AC500" t="s">
        <v>93</v>
      </c>
      <c r="AD500">
        <v>1</v>
      </c>
      <c r="AE500" t="s">
        <v>95</v>
      </c>
      <c r="AF500" t="s">
        <v>93</v>
      </c>
      <c r="AP500">
        <v>0.67</v>
      </c>
      <c r="AS500">
        <v>0.33</v>
      </c>
      <c r="CG500">
        <v>-36.799999999999997</v>
      </c>
      <c r="CH500" t="s">
        <v>95</v>
      </c>
      <c r="CI500" t="s">
        <v>93</v>
      </c>
      <c r="CR500">
        <f t="shared" si="68"/>
        <v>-129.14714974703492</v>
      </c>
      <c r="CS500">
        <f t="shared" si="69"/>
        <v>-129.91389856514886</v>
      </c>
      <c r="CT500">
        <f t="shared" si="70"/>
        <v>0</v>
      </c>
      <c r="CU500" s="7">
        <f t="shared" si="71"/>
        <v>-129.53052415609187</v>
      </c>
      <c r="CV500" s="9">
        <f t="shared" si="72"/>
        <v>241.14</v>
      </c>
      <c r="CW500" t="str">
        <f t="shared" si="73"/>
        <v>Zr2Ni</v>
      </c>
    </row>
    <row r="501" spans="1:101" ht="15.75" thickBot="1" x14ac:dyDescent="0.3">
      <c r="A501" t="s">
        <v>91</v>
      </c>
      <c r="B501" t="s">
        <v>377</v>
      </c>
      <c r="C501" t="s">
        <v>3144</v>
      </c>
      <c r="E501" t="s">
        <v>3145</v>
      </c>
      <c r="F501" t="s">
        <v>93</v>
      </c>
      <c r="G501" t="s">
        <v>378</v>
      </c>
      <c r="H501">
        <v>538.173</v>
      </c>
      <c r="I501">
        <v>158</v>
      </c>
      <c r="M501">
        <f t="shared" si="65"/>
        <v>0</v>
      </c>
      <c r="O501" t="s">
        <v>93</v>
      </c>
      <c r="P501" t="s">
        <v>93</v>
      </c>
      <c r="T501">
        <f t="shared" si="66"/>
        <v>0</v>
      </c>
      <c r="V501" t="s">
        <v>93</v>
      </c>
      <c r="W501" t="s">
        <v>379</v>
      </c>
      <c r="X501">
        <v>298</v>
      </c>
      <c r="Y501" t="s">
        <v>136</v>
      </c>
      <c r="Z501">
        <v>-69.7</v>
      </c>
      <c r="AA501" t="s">
        <v>95</v>
      </c>
      <c r="AB501">
        <f t="shared" si="67"/>
        <v>-129.5122572109712</v>
      </c>
      <c r="AC501" t="s">
        <v>93</v>
      </c>
      <c r="AD501">
        <v>3.7</v>
      </c>
      <c r="AE501" t="s">
        <v>95</v>
      </c>
      <c r="AF501" t="s">
        <v>93</v>
      </c>
      <c r="AH501" t="s">
        <v>93</v>
      </c>
      <c r="AI501" t="s">
        <v>93</v>
      </c>
      <c r="AJ501" t="s">
        <v>93</v>
      </c>
      <c r="AK501" t="s">
        <v>93</v>
      </c>
      <c r="AO501">
        <v>0.33</v>
      </c>
      <c r="BC501">
        <v>0.66</v>
      </c>
      <c r="CR501">
        <f t="shared" si="68"/>
        <v>0</v>
      </c>
      <c r="CS501">
        <f t="shared" si="69"/>
        <v>0</v>
      </c>
      <c r="CT501">
        <f t="shared" si="70"/>
        <v>-129.5122572109712</v>
      </c>
      <c r="CU501" s="7">
        <f t="shared" si="71"/>
        <v>-129.5122572109712</v>
      </c>
      <c r="CV501" s="9">
        <f t="shared" si="72"/>
        <v>538.173</v>
      </c>
      <c r="CW501" t="str">
        <f t="shared" si="73"/>
        <v>Au2Nd</v>
      </c>
    </row>
    <row r="502" spans="1:101" ht="15.75" thickBot="1" x14ac:dyDescent="0.3">
      <c r="A502" t="s">
        <v>91</v>
      </c>
      <c r="B502" t="s">
        <v>864</v>
      </c>
      <c r="C502" t="s">
        <v>3144</v>
      </c>
      <c r="E502" t="s">
        <v>3145</v>
      </c>
      <c r="F502" t="s">
        <v>93</v>
      </c>
      <c r="G502" t="s">
        <v>865</v>
      </c>
      <c r="H502">
        <v>241.14</v>
      </c>
      <c r="I502">
        <v>344</v>
      </c>
      <c r="J502">
        <v>0</v>
      </c>
      <c r="K502" t="s">
        <v>95</v>
      </c>
      <c r="L502">
        <v>-31.14254369</v>
      </c>
      <c r="M502">
        <f t="shared" si="65"/>
        <v>-129.14714974703492</v>
      </c>
      <c r="N502" t="s">
        <v>95</v>
      </c>
      <c r="O502" t="s">
        <v>866</v>
      </c>
      <c r="P502" t="s">
        <v>93</v>
      </c>
      <c r="Q502">
        <v>0</v>
      </c>
      <c r="R502" t="s">
        <v>95</v>
      </c>
      <c r="S502">
        <v>-31.327437499999998</v>
      </c>
      <c r="T502">
        <f t="shared" si="66"/>
        <v>-129.91389856514886</v>
      </c>
      <c r="U502" t="s">
        <v>95</v>
      </c>
      <c r="V502">
        <v>103369</v>
      </c>
      <c r="W502" t="s">
        <v>479</v>
      </c>
      <c r="X502">
        <v>298</v>
      </c>
      <c r="Y502" t="s">
        <v>480</v>
      </c>
      <c r="Z502">
        <v>-31.2</v>
      </c>
      <c r="AA502" t="s">
        <v>95</v>
      </c>
      <c r="AB502">
        <f t="shared" si="67"/>
        <v>-129.38541925852201</v>
      </c>
      <c r="AC502" t="s">
        <v>93</v>
      </c>
      <c r="AD502">
        <v>0.9</v>
      </c>
      <c r="AE502" t="s">
        <v>95</v>
      </c>
      <c r="AF502" t="s">
        <v>93</v>
      </c>
      <c r="AP502">
        <v>0.66</v>
      </c>
      <c r="AS502">
        <v>0.33</v>
      </c>
      <c r="CR502">
        <f t="shared" si="68"/>
        <v>-129.14714974703492</v>
      </c>
      <c r="CS502">
        <f t="shared" si="69"/>
        <v>-129.91389856514886</v>
      </c>
      <c r="CT502">
        <f t="shared" si="70"/>
        <v>-129.38541925852201</v>
      </c>
      <c r="CU502" s="7">
        <f t="shared" si="71"/>
        <v>-129.48215585690193</v>
      </c>
      <c r="CV502" s="9">
        <f t="shared" si="72"/>
        <v>241.14</v>
      </c>
      <c r="CW502" t="str">
        <f t="shared" si="73"/>
        <v>Zr2Ni</v>
      </c>
    </row>
    <row r="503" spans="1:101" ht="15.75" thickBot="1" x14ac:dyDescent="0.3">
      <c r="A503" t="s">
        <v>91</v>
      </c>
      <c r="B503" t="s">
        <v>694</v>
      </c>
      <c r="C503" t="s">
        <v>3144</v>
      </c>
      <c r="E503" t="s">
        <v>3145</v>
      </c>
      <c r="F503" t="s">
        <v>93</v>
      </c>
      <c r="G503" t="s">
        <v>695</v>
      </c>
      <c r="H503">
        <v>523.34550000000002</v>
      </c>
      <c r="I503">
        <v>280</v>
      </c>
      <c r="J503">
        <v>0</v>
      </c>
      <c r="K503" t="s">
        <v>95</v>
      </c>
      <c r="L503">
        <v>-70.011571340000003</v>
      </c>
      <c r="M503">
        <f t="shared" si="65"/>
        <v>-133.77696252284579</v>
      </c>
      <c r="N503" t="s">
        <v>95</v>
      </c>
      <c r="O503" t="s">
        <v>696</v>
      </c>
      <c r="P503" t="s">
        <v>93</v>
      </c>
      <c r="Q503">
        <v>0</v>
      </c>
      <c r="R503" t="s">
        <v>95</v>
      </c>
      <c r="S503">
        <v>-70.158477349999998</v>
      </c>
      <c r="T503">
        <f t="shared" si="66"/>
        <v>-134.05766811790679</v>
      </c>
      <c r="U503" t="s">
        <v>95</v>
      </c>
      <c r="V503">
        <v>17488</v>
      </c>
      <c r="W503" t="s">
        <v>159</v>
      </c>
      <c r="X503">
        <v>298</v>
      </c>
      <c r="Y503" t="s">
        <v>160</v>
      </c>
      <c r="Z503">
        <v>-62.9</v>
      </c>
      <c r="AA503" t="s">
        <v>95</v>
      </c>
      <c r="AB503">
        <f t="shared" si="67"/>
        <v>-120.18828861622005</v>
      </c>
      <c r="AC503" t="s">
        <v>93</v>
      </c>
      <c r="AD503">
        <v>2.2000000000000002</v>
      </c>
      <c r="AE503" t="s">
        <v>95</v>
      </c>
      <c r="AF503" t="s">
        <v>93</v>
      </c>
      <c r="AL503">
        <v>0.33</v>
      </c>
      <c r="BB503">
        <v>0.66</v>
      </c>
      <c r="CR503">
        <f t="shared" si="68"/>
        <v>-133.77696252284579</v>
      </c>
      <c r="CS503">
        <f t="shared" si="69"/>
        <v>-134.05766811790679</v>
      </c>
      <c r="CT503">
        <f t="shared" si="70"/>
        <v>-120.18828861622005</v>
      </c>
      <c r="CU503" s="7">
        <f t="shared" si="71"/>
        <v>-129.34097308565757</v>
      </c>
      <c r="CV503" s="9">
        <f t="shared" si="72"/>
        <v>523.34550000000002</v>
      </c>
      <c r="CW503" t="str">
        <f t="shared" si="73"/>
        <v>LaIr2</v>
      </c>
    </row>
    <row r="504" spans="1:101" ht="15.75" thickBot="1" x14ac:dyDescent="0.3">
      <c r="A504" t="s">
        <v>91</v>
      </c>
      <c r="B504" t="s">
        <v>490</v>
      </c>
      <c r="C504" t="s">
        <v>3144</v>
      </c>
      <c r="E504" t="s">
        <v>3145</v>
      </c>
      <c r="F504" t="s">
        <v>93</v>
      </c>
      <c r="G504" t="s">
        <v>491</v>
      </c>
      <c r="H504">
        <v>172.0479</v>
      </c>
      <c r="I504">
        <v>199</v>
      </c>
      <c r="J504">
        <v>0</v>
      </c>
      <c r="K504" t="s">
        <v>95</v>
      </c>
      <c r="L504">
        <v>-24.548666109999999</v>
      </c>
      <c r="M504">
        <f t="shared" si="65"/>
        <v>-142.68506683313194</v>
      </c>
      <c r="N504" t="s">
        <v>95</v>
      </c>
      <c r="O504" t="s">
        <v>492</v>
      </c>
      <c r="P504" t="s">
        <v>93</v>
      </c>
      <c r="Q504">
        <v>0</v>
      </c>
      <c r="R504" t="s">
        <v>95</v>
      </c>
      <c r="S504">
        <v>-24.785907550000001</v>
      </c>
      <c r="T504">
        <f t="shared" si="66"/>
        <v>-144.06399351575928</v>
      </c>
      <c r="U504" t="s">
        <v>95</v>
      </c>
      <c r="V504">
        <v>29783</v>
      </c>
      <c r="W504" t="s">
        <v>97</v>
      </c>
      <c r="X504">
        <v>298</v>
      </c>
      <c r="Y504" t="s">
        <v>98</v>
      </c>
      <c r="Z504">
        <v>-17.37</v>
      </c>
      <c r="AA504" t="s">
        <v>95</v>
      </c>
      <c r="AB504">
        <f t="shared" si="67"/>
        <v>-100.96025583572947</v>
      </c>
      <c r="AC504" t="s">
        <v>93</v>
      </c>
      <c r="AD504">
        <v>1.1399999999999999</v>
      </c>
      <c r="AE504" t="s">
        <v>95</v>
      </c>
      <c r="AF504" t="s">
        <v>93</v>
      </c>
      <c r="AX504">
        <v>0.66</v>
      </c>
      <c r="CR504">
        <f t="shared" si="68"/>
        <v>-142.68506683313194</v>
      </c>
      <c r="CS504">
        <f t="shared" si="69"/>
        <v>-144.06399351575928</v>
      </c>
      <c r="CT504">
        <f t="shared" si="70"/>
        <v>-100.96025583572947</v>
      </c>
      <c r="CU504" s="7">
        <f t="shared" si="71"/>
        <v>-129.23643872820691</v>
      </c>
      <c r="CV504" s="9">
        <f t="shared" si="72"/>
        <v>172.0479</v>
      </c>
      <c r="CW504" t="str">
        <f t="shared" si="73"/>
        <v>ScCu2</v>
      </c>
    </row>
    <row r="505" spans="1:101" ht="15.75" thickBot="1" x14ac:dyDescent="0.3">
      <c r="A505" t="s">
        <v>91</v>
      </c>
      <c r="B505" t="s">
        <v>2482</v>
      </c>
      <c r="C505" t="s">
        <v>3144</v>
      </c>
      <c r="E505" t="s">
        <v>3145</v>
      </c>
      <c r="F505" t="s">
        <v>93</v>
      </c>
      <c r="G505" t="s">
        <v>2483</v>
      </c>
      <c r="H505">
        <v>232.35549999999901</v>
      </c>
      <c r="I505">
        <v>1010</v>
      </c>
      <c r="M505">
        <f t="shared" si="65"/>
        <v>0</v>
      </c>
      <c r="O505" t="s">
        <v>93</v>
      </c>
      <c r="P505" t="s">
        <v>93</v>
      </c>
      <c r="T505">
        <f t="shared" si="66"/>
        <v>0</v>
      </c>
      <c r="V505" t="s">
        <v>93</v>
      </c>
      <c r="W505" t="s">
        <v>102</v>
      </c>
      <c r="X505">
        <v>298</v>
      </c>
      <c r="Y505" t="s">
        <v>103</v>
      </c>
      <c r="Z505">
        <v>-30</v>
      </c>
      <c r="AA505" t="s">
        <v>95</v>
      </c>
      <c r="AB505">
        <f t="shared" si="67"/>
        <v>-129.11250217877401</v>
      </c>
      <c r="AC505" t="s">
        <v>93</v>
      </c>
      <c r="AD505">
        <v>2.9</v>
      </c>
      <c r="AE505" t="s">
        <v>95</v>
      </c>
      <c r="AF505" t="s">
        <v>93</v>
      </c>
      <c r="AH505" t="s">
        <v>93</v>
      </c>
      <c r="AI505" t="s">
        <v>93</v>
      </c>
      <c r="AJ505" t="s">
        <v>93</v>
      </c>
      <c r="AK505" t="s">
        <v>93</v>
      </c>
      <c r="AT505">
        <v>0.5</v>
      </c>
      <c r="BD505">
        <v>0.25</v>
      </c>
      <c r="BY505">
        <v>0.25</v>
      </c>
      <c r="CR505">
        <f t="shared" si="68"/>
        <v>0</v>
      </c>
      <c r="CS505">
        <f t="shared" si="69"/>
        <v>0</v>
      </c>
      <c r="CT505">
        <f t="shared" si="70"/>
        <v>-129.11250217877401</v>
      </c>
      <c r="CU505" s="7">
        <f t="shared" si="71"/>
        <v>-129.11250217877401</v>
      </c>
      <c r="CV505" s="9">
        <f t="shared" si="72"/>
        <v>232.35549999999901</v>
      </c>
      <c r="CW505" t="str">
        <f t="shared" si="73"/>
        <v>Fe2GaV</v>
      </c>
    </row>
    <row r="506" spans="1:101" ht="15.75" thickBot="1" x14ac:dyDescent="0.3">
      <c r="A506" t="s">
        <v>91</v>
      </c>
      <c r="B506" t="s">
        <v>1539</v>
      </c>
      <c r="C506" t="s">
        <v>3144</v>
      </c>
      <c r="E506" t="s">
        <v>3145</v>
      </c>
      <c r="F506" t="s">
        <v>93</v>
      </c>
      <c r="G506" t="s">
        <v>1540</v>
      </c>
      <c r="H506">
        <v>349.67099999999999</v>
      </c>
      <c r="I506">
        <v>590</v>
      </c>
      <c r="M506">
        <f t="shared" si="65"/>
        <v>0</v>
      </c>
      <c r="O506" t="s">
        <v>93</v>
      </c>
      <c r="P506" t="s">
        <v>93</v>
      </c>
      <c r="T506">
        <f t="shared" si="66"/>
        <v>0</v>
      </c>
      <c r="V506" t="s">
        <v>93</v>
      </c>
      <c r="W506" t="s">
        <v>1541</v>
      </c>
      <c r="X506">
        <v>298</v>
      </c>
      <c r="Y506" t="s">
        <v>1542</v>
      </c>
      <c r="Z506">
        <v>-45.1</v>
      </c>
      <c r="AA506" t="s">
        <v>95</v>
      </c>
      <c r="AB506">
        <f t="shared" si="67"/>
        <v>-128.97838253672739</v>
      </c>
      <c r="AC506" t="s">
        <v>93</v>
      </c>
      <c r="AD506">
        <v>1.4</v>
      </c>
      <c r="AE506" t="s">
        <v>95</v>
      </c>
      <c r="AF506" t="s">
        <v>93</v>
      </c>
      <c r="AH506" t="s">
        <v>93</v>
      </c>
      <c r="AI506" t="s">
        <v>93</v>
      </c>
      <c r="AJ506" t="s">
        <v>93</v>
      </c>
      <c r="AK506" t="s">
        <v>93</v>
      </c>
      <c r="AS506">
        <v>0.71</v>
      </c>
      <c r="BX506">
        <v>0.28999999999999998</v>
      </c>
      <c r="CR506">
        <f t="shared" si="68"/>
        <v>0</v>
      </c>
      <c r="CS506">
        <f t="shared" si="69"/>
        <v>0</v>
      </c>
      <c r="CT506">
        <f t="shared" si="70"/>
        <v>-128.97838253672739</v>
      </c>
      <c r="CU506" s="7">
        <f t="shared" si="71"/>
        <v>-128.97838253672739</v>
      </c>
      <c r="CV506" s="9">
        <f t="shared" si="72"/>
        <v>349.67099999999999</v>
      </c>
      <c r="CW506" t="str">
        <f t="shared" si="73"/>
        <v>Ni5Si2</v>
      </c>
    </row>
    <row r="507" spans="1:101" ht="15.75" thickBot="1" x14ac:dyDescent="0.3">
      <c r="A507" t="s">
        <v>91</v>
      </c>
      <c r="B507" t="s">
        <v>2429</v>
      </c>
      <c r="C507" t="s">
        <v>3144</v>
      </c>
      <c r="E507" t="s">
        <v>3145</v>
      </c>
      <c r="F507" t="s">
        <v>93</v>
      </c>
      <c r="G507" t="s">
        <v>2432</v>
      </c>
      <c r="H507">
        <v>284.45639999999997</v>
      </c>
      <c r="I507">
        <v>987</v>
      </c>
      <c r="J507">
        <v>0</v>
      </c>
      <c r="K507" t="s">
        <v>95</v>
      </c>
      <c r="L507">
        <v>-35.538513909999999</v>
      </c>
      <c r="M507">
        <f t="shared" si="65"/>
        <v>-124.93483679748461</v>
      </c>
      <c r="N507" t="s">
        <v>95</v>
      </c>
      <c r="O507" t="s">
        <v>2433</v>
      </c>
      <c r="P507" t="s">
        <v>93</v>
      </c>
      <c r="Q507">
        <v>3.9415298700000001</v>
      </c>
      <c r="R507" t="s">
        <v>95</v>
      </c>
      <c r="S507">
        <v>-35.86699291</v>
      </c>
      <c r="T507">
        <f t="shared" si="66"/>
        <v>-126.08959724583453</v>
      </c>
      <c r="U507" t="s">
        <v>95</v>
      </c>
      <c r="V507">
        <v>18296</v>
      </c>
      <c r="W507" t="s">
        <v>184</v>
      </c>
      <c r="X507">
        <v>298</v>
      </c>
      <c r="Y507" t="s">
        <v>185</v>
      </c>
      <c r="Z507">
        <v>-38.4</v>
      </c>
      <c r="AA507" t="s">
        <v>95</v>
      </c>
      <c r="AB507">
        <f t="shared" si="67"/>
        <v>-134.9943260197345</v>
      </c>
      <c r="AC507" t="s">
        <v>93</v>
      </c>
      <c r="AD507">
        <v>2</v>
      </c>
      <c r="AE507" t="s">
        <v>95</v>
      </c>
      <c r="AF507" t="s">
        <v>93</v>
      </c>
      <c r="AW507">
        <v>0.5</v>
      </c>
      <c r="BA507">
        <v>0.25</v>
      </c>
      <c r="CF507">
        <v>0.25</v>
      </c>
      <c r="CR507">
        <f t="shared" si="68"/>
        <v>-124.93483679748461</v>
      </c>
      <c r="CS507">
        <f t="shared" si="69"/>
        <v>-126.08959724583453</v>
      </c>
      <c r="CT507">
        <f t="shared" si="70"/>
        <v>-134.9943260197345</v>
      </c>
      <c r="CU507" s="7">
        <f t="shared" si="71"/>
        <v>-128.67292002101786</v>
      </c>
      <c r="CV507" s="9">
        <f t="shared" si="72"/>
        <v>284.45639999999997</v>
      </c>
      <c r="CW507" t="str">
        <f t="shared" si="73"/>
        <v>TiCo2Sn</v>
      </c>
    </row>
    <row r="508" spans="1:101" ht="15.75" thickBot="1" x14ac:dyDescent="0.3">
      <c r="A508" t="s">
        <v>91</v>
      </c>
      <c r="B508" t="s">
        <v>1463</v>
      </c>
      <c r="C508" t="s">
        <v>3144</v>
      </c>
      <c r="E508" t="s">
        <v>3145</v>
      </c>
      <c r="F508" t="s">
        <v>93</v>
      </c>
      <c r="G508" t="s">
        <v>1464</v>
      </c>
      <c r="H508">
        <v>378.0942</v>
      </c>
      <c r="I508">
        <v>562</v>
      </c>
      <c r="J508">
        <v>0</v>
      </c>
      <c r="K508" t="s">
        <v>95</v>
      </c>
      <c r="L508">
        <v>-48.166438669999998</v>
      </c>
      <c r="M508">
        <f t="shared" si="65"/>
        <v>-127.39269385777405</v>
      </c>
      <c r="N508" t="s">
        <v>95</v>
      </c>
      <c r="O508" t="s">
        <v>1465</v>
      </c>
      <c r="P508" t="s">
        <v>93</v>
      </c>
      <c r="Q508">
        <v>0</v>
      </c>
      <c r="R508" t="s">
        <v>95</v>
      </c>
      <c r="S508">
        <v>-48.650060529999998</v>
      </c>
      <c r="T508">
        <f t="shared" si="66"/>
        <v>-128.67179800695169</v>
      </c>
      <c r="U508" t="s">
        <v>95</v>
      </c>
      <c r="V508">
        <v>19193</v>
      </c>
      <c r="W508" t="s">
        <v>194</v>
      </c>
      <c r="X508">
        <v>298</v>
      </c>
      <c r="Y508" t="s">
        <v>103</v>
      </c>
      <c r="Z508">
        <v>-48.5</v>
      </c>
      <c r="AA508" t="s">
        <v>95</v>
      </c>
      <c r="AB508">
        <f t="shared" si="67"/>
        <v>-128.2749113845174</v>
      </c>
      <c r="AC508" t="s">
        <v>93</v>
      </c>
      <c r="AD508">
        <v>2</v>
      </c>
      <c r="AE508" t="s">
        <v>95</v>
      </c>
      <c r="AF508" t="s">
        <v>93</v>
      </c>
      <c r="BO508">
        <v>0.25</v>
      </c>
      <c r="BY508">
        <v>0.75</v>
      </c>
      <c r="CR508">
        <f t="shared" si="68"/>
        <v>-127.39269385777405</v>
      </c>
      <c r="CS508">
        <f t="shared" si="69"/>
        <v>-128.67179800695169</v>
      </c>
      <c r="CT508">
        <f t="shared" si="70"/>
        <v>-128.2749113845174</v>
      </c>
      <c r="CU508" s="7">
        <f t="shared" si="71"/>
        <v>-128.11313441641437</v>
      </c>
      <c r="CV508" s="9">
        <f t="shared" si="72"/>
        <v>378.0942</v>
      </c>
      <c r="CW508" t="str">
        <f t="shared" si="73"/>
        <v>TmGa3</v>
      </c>
    </row>
    <row r="509" spans="1:101" ht="15.75" thickBot="1" x14ac:dyDescent="0.3">
      <c r="A509" t="s">
        <v>91</v>
      </c>
      <c r="B509" t="s">
        <v>811</v>
      </c>
      <c r="C509" t="s">
        <v>3144</v>
      </c>
      <c r="E509" t="s">
        <v>3145</v>
      </c>
      <c r="F509" t="s">
        <v>93</v>
      </c>
      <c r="G509" t="s">
        <v>812</v>
      </c>
      <c r="H509">
        <v>528.67999999999995</v>
      </c>
      <c r="I509">
        <v>325</v>
      </c>
      <c r="J509">
        <v>0</v>
      </c>
      <c r="K509" t="s">
        <v>95</v>
      </c>
      <c r="L509">
        <v>-67.006617329999997</v>
      </c>
      <c r="M509">
        <f t="shared" si="65"/>
        <v>-126.74324228266627</v>
      </c>
      <c r="N509" t="s">
        <v>95</v>
      </c>
      <c r="O509" t="s">
        <v>813</v>
      </c>
      <c r="P509" t="s">
        <v>93</v>
      </c>
      <c r="Q509">
        <v>0</v>
      </c>
      <c r="R509" t="s">
        <v>95</v>
      </c>
      <c r="S509">
        <v>-67.5139298</v>
      </c>
      <c r="T509">
        <f t="shared" si="66"/>
        <v>-127.70282552772946</v>
      </c>
      <c r="U509" t="s">
        <v>95</v>
      </c>
      <c r="V509">
        <v>17503</v>
      </c>
      <c r="W509" t="s">
        <v>159</v>
      </c>
      <c r="X509">
        <v>298</v>
      </c>
      <c r="Y509" t="s">
        <v>160</v>
      </c>
      <c r="Z509">
        <v>-67.599999999999994</v>
      </c>
      <c r="AA509" t="s">
        <v>95</v>
      </c>
      <c r="AB509">
        <f t="shared" si="67"/>
        <v>-127.86562760081713</v>
      </c>
      <c r="AC509" t="s">
        <v>93</v>
      </c>
      <c r="AD509">
        <v>1.5</v>
      </c>
      <c r="AE509" t="s">
        <v>95</v>
      </c>
      <c r="AF509" t="s">
        <v>93</v>
      </c>
      <c r="AO509">
        <v>0.33</v>
      </c>
      <c r="BB509">
        <v>0.66</v>
      </c>
      <c r="CR509">
        <f t="shared" si="68"/>
        <v>-126.74324228266627</v>
      </c>
      <c r="CS509">
        <f t="shared" si="69"/>
        <v>-127.70282552772946</v>
      </c>
      <c r="CT509">
        <f t="shared" si="70"/>
        <v>-127.86562760081713</v>
      </c>
      <c r="CU509" s="7">
        <f t="shared" si="71"/>
        <v>-127.43723180373763</v>
      </c>
      <c r="CV509" s="9">
        <f t="shared" si="72"/>
        <v>528.67999999999995</v>
      </c>
      <c r="CW509" t="str">
        <f t="shared" si="73"/>
        <v>NdIr2</v>
      </c>
    </row>
    <row r="510" spans="1:101" ht="15.75" thickBot="1" x14ac:dyDescent="0.3">
      <c r="A510" t="s">
        <v>91</v>
      </c>
      <c r="B510" t="s">
        <v>2251</v>
      </c>
      <c r="C510" t="s">
        <v>3144</v>
      </c>
      <c r="E510" t="s">
        <v>3145</v>
      </c>
      <c r="F510" t="s">
        <v>93</v>
      </c>
      <c r="G510" t="s">
        <v>812</v>
      </c>
      <c r="H510">
        <v>528.67999999999995</v>
      </c>
      <c r="I510">
        <v>898</v>
      </c>
      <c r="J510">
        <v>0</v>
      </c>
      <c r="K510" t="s">
        <v>95</v>
      </c>
      <c r="L510">
        <v>-67.006617329999997</v>
      </c>
      <c r="M510">
        <f t="shared" si="65"/>
        <v>-126.74324228266627</v>
      </c>
      <c r="N510" t="s">
        <v>95</v>
      </c>
      <c r="O510" t="s">
        <v>813</v>
      </c>
      <c r="P510" t="s">
        <v>93</v>
      </c>
      <c r="Q510">
        <v>0</v>
      </c>
      <c r="R510" t="s">
        <v>95</v>
      </c>
      <c r="S510">
        <v>-67.5139298</v>
      </c>
      <c r="T510">
        <f t="shared" si="66"/>
        <v>-127.70282552772946</v>
      </c>
      <c r="U510" t="s">
        <v>95</v>
      </c>
      <c r="V510">
        <v>17503</v>
      </c>
      <c r="W510" t="s">
        <v>159</v>
      </c>
      <c r="X510">
        <v>298</v>
      </c>
      <c r="Y510" t="s">
        <v>160</v>
      </c>
      <c r="Z510">
        <v>-67.599999999999994</v>
      </c>
      <c r="AA510" t="s">
        <v>95</v>
      </c>
      <c r="AB510">
        <f t="shared" si="67"/>
        <v>-127.86562760081713</v>
      </c>
      <c r="AC510" t="s">
        <v>93</v>
      </c>
      <c r="AD510">
        <v>1.5</v>
      </c>
      <c r="AE510" t="s">
        <v>95</v>
      </c>
      <c r="AF510" t="s">
        <v>93</v>
      </c>
      <c r="AO510">
        <v>0.33</v>
      </c>
      <c r="BB510">
        <v>0.67</v>
      </c>
      <c r="CR510">
        <f t="shared" si="68"/>
        <v>-126.74324228266627</v>
      </c>
      <c r="CS510">
        <f t="shared" si="69"/>
        <v>-127.70282552772946</v>
      </c>
      <c r="CT510">
        <f t="shared" si="70"/>
        <v>-127.86562760081713</v>
      </c>
      <c r="CU510" s="7">
        <f t="shared" si="71"/>
        <v>-127.43723180373763</v>
      </c>
      <c r="CV510" s="9">
        <f t="shared" si="72"/>
        <v>528.67999999999995</v>
      </c>
      <c r="CW510" t="str">
        <f t="shared" si="73"/>
        <v>NdIr2</v>
      </c>
    </row>
    <row r="511" spans="1:101" ht="15.75" thickBot="1" x14ac:dyDescent="0.3">
      <c r="A511" t="s">
        <v>91</v>
      </c>
      <c r="B511" t="s">
        <v>1956</v>
      </c>
      <c r="C511" t="s">
        <v>3144</v>
      </c>
      <c r="E511" t="s">
        <v>3145</v>
      </c>
      <c r="F511" t="s">
        <v>93</v>
      </c>
      <c r="G511" t="s">
        <v>1957</v>
      </c>
      <c r="H511">
        <v>343.78</v>
      </c>
      <c r="I511">
        <v>756</v>
      </c>
      <c r="J511">
        <v>0</v>
      </c>
      <c r="K511" t="s">
        <v>95</v>
      </c>
      <c r="L511">
        <v>-37.593897900000002</v>
      </c>
      <c r="M511">
        <f t="shared" si="65"/>
        <v>-109.3545229507243</v>
      </c>
      <c r="N511" t="s">
        <v>95</v>
      </c>
      <c r="O511" t="s">
        <v>1958</v>
      </c>
      <c r="P511" t="s">
        <v>93</v>
      </c>
      <c r="Q511">
        <v>0</v>
      </c>
      <c r="R511" t="s">
        <v>95</v>
      </c>
      <c r="S511">
        <v>-43.583686700000001</v>
      </c>
      <c r="T511">
        <f t="shared" si="66"/>
        <v>-126.77784251556228</v>
      </c>
      <c r="U511" t="s">
        <v>95</v>
      </c>
      <c r="V511">
        <v>5782</v>
      </c>
      <c r="W511" t="s">
        <v>1959</v>
      </c>
      <c r="X511">
        <v>300</v>
      </c>
      <c r="Y511" t="s">
        <v>1960</v>
      </c>
      <c r="Z511">
        <v>-50</v>
      </c>
      <c r="AA511" t="s">
        <v>95</v>
      </c>
      <c r="AB511">
        <f t="shared" si="67"/>
        <v>-145.44185234743151</v>
      </c>
      <c r="AF511" t="s">
        <v>93</v>
      </c>
      <c r="AZ511">
        <v>0.33</v>
      </c>
      <c r="CC511">
        <v>1</v>
      </c>
      <c r="CD511" t="s">
        <v>95</v>
      </c>
      <c r="CE511" t="s">
        <v>93</v>
      </c>
      <c r="CF511">
        <v>0.66</v>
      </c>
      <c r="CR511">
        <f t="shared" si="68"/>
        <v>-109.3545229507243</v>
      </c>
      <c r="CS511">
        <f t="shared" si="69"/>
        <v>-126.77784251556228</v>
      </c>
      <c r="CT511">
        <f t="shared" si="70"/>
        <v>-145.44185234743151</v>
      </c>
      <c r="CU511" s="7">
        <f t="shared" si="71"/>
        <v>-127.19140593790603</v>
      </c>
      <c r="CV511" s="9">
        <f t="shared" si="72"/>
        <v>343.78</v>
      </c>
      <c r="CW511" t="str">
        <f t="shared" si="73"/>
        <v>Sn2Pd</v>
      </c>
    </row>
    <row r="512" spans="1:101" ht="15.75" thickBot="1" x14ac:dyDescent="0.3">
      <c r="A512" t="s">
        <v>91</v>
      </c>
      <c r="B512" t="s">
        <v>2822</v>
      </c>
      <c r="C512" t="s">
        <v>3144</v>
      </c>
      <c r="E512" t="s">
        <v>3145</v>
      </c>
      <c r="F512" t="s">
        <v>93</v>
      </c>
      <c r="G512" t="s">
        <v>2823</v>
      </c>
      <c r="H512">
        <v>189.61704</v>
      </c>
      <c r="I512">
        <v>1153</v>
      </c>
      <c r="M512">
        <f t="shared" si="65"/>
        <v>0</v>
      </c>
      <c r="O512" t="s">
        <v>93</v>
      </c>
      <c r="P512" t="s">
        <v>93</v>
      </c>
      <c r="T512">
        <f t="shared" si="66"/>
        <v>0</v>
      </c>
      <c r="V512" t="s">
        <v>93</v>
      </c>
      <c r="W512" t="s">
        <v>102</v>
      </c>
      <c r="X512">
        <v>298</v>
      </c>
      <c r="Y512" t="s">
        <v>103</v>
      </c>
      <c r="Z512">
        <v>-24</v>
      </c>
      <c r="AA512" t="s">
        <v>95</v>
      </c>
      <c r="AB512">
        <f t="shared" si="67"/>
        <v>-126.57090312136503</v>
      </c>
      <c r="AC512" t="s">
        <v>93</v>
      </c>
      <c r="AD512">
        <v>1.9</v>
      </c>
      <c r="AE512" t="s">
        <v>95</v>
      </c>
      <c r="AF512" t="s">
        <v>93</v>
      </c>
      <c r="AH512" t="s">
        <v>93</v>
      </c>
      <c r="AI512" t="s">
        <v>93</v>
      </c>
      <c r="AJ512" t="s">
        <v>93</v>
      </c>
      <c r="AK512" t="s">
        <v>93</v>
      </c>
      <c r="AR512">
        <v>0.25</v>
      </c>
      <c r="AT512">
        <v>0.5</v>
      </c>
      <c r="BD512">
        <v>0.25</v>
      </c>
      <c r="CR512">
        <f t="shared" si="68"/>
        <v>0</v>
      </c>
      <c r="CS512">
        <f t="shared" si="69"/>
        <v>0</v>
      </c>
      <c r="CT512">
        <f t="shared" si="70"/>
        <v>-126.57090312136503</v>
      </c>
      <c r="CU512" s="7">
        <f t="shared" si="71"/>
        <v>-126.57090312136503</v>
      </c>
      <c r="CV512" s="9">
        <f t="shared" si="72"/>
        <v>189.61704</v>
      </c>
      <c r="CW512" t="str">
        <f t="shared" si="73"/>
        <v>Fe2VAl</v>
      </c>
    </row>
    <row r="513" spans="1:101" ht="15.75" thickBot="1" x14ac:dyDescent="0.3">
      <c r="A513" t="s">
        <v>91</v>
      </c>
      <c r="B513" t="s">
        <v>93</v>
      </c>
      <c r="C513" t="s">
        <v>3144</v>
      </c>
      <c r="E513" t="s">
        <v>3145</v>
      </c>
      <c r="F513" t="s">
        <v>93</v>
      </c>
      <c r="G513" t="s">
        <v>242</v>
      </c>
      <c r="H513">
        <v>428.64089999999999</v>
      </c>
      <c r="I513">
        <v>65</v>
      </c>
      <c r="M513">
        <f t="shared" si="65"/>
        <v>0</v>
      </c>
      <c r="O513" t="s">
        <v>93</v>
      </c>
      <c r="P513" t="s">
        <v>93</v>
      </c>
      <c r="T513">
        <f t="shared" si="66"/>
        <v>0</v>
      </c>
      <c r="V513" t="s">
        <v>93</v>
      </c>
      <c r="W513" t="s">
        <v>102</v>
      </c>
      <c r="X513">
        <v>298</v>
      </c>
      <c r="Y513" t="s">
        <v>103</v>
      </c>
      <c r="Z513">
        <v>-54.21</v>
      </c>
      <c r="AA513" t="s">
        <v>95</v>
      </c>
      <c r="AB513">
        <f t="shared" si="67"/>
        <v>-126.46949929416442</v>
      </c>
      <c r="AC513" t="s">
        <v>93</v>
      </c>
      <c r="AD513">
        <v>0.87</v>
      </c>
      <c r="AE513" t="s">
        <v>95</v>
      </c>
      <c r="AF513" t="s">
        <v>93</v>
      </c>
      <c r="AH513" t="s">
        <v>93</v>
      </c>
      <c r="AI513" t="s">
        <v>93</v>
      </c>
      <c r="AJ513" t="s">
        <v>93</v>
      </c>
      <c r="AK513" t="s">
        <v>93</v>
      </c>
      <c r="AR513">
        <v>0.5</v>
      </c>
      <c r="AS513">
        <v>0.4</v>
      </c>
      <c r="AW513">
        <v>0.1</v>
      </c>
      <c r="CR513">
        <f t="shared" si="68"/>
        <v>0</v>
      </c>
      <c r="CS513">
        <f t="shared" si="69"/>
        <v>0</v>
      </c>
      <c r="CT513">
        <f t="shared" si="70"/>
        <v>-126.46949929416442</v>
      </c>
      <c r="CU513" s="7">
        <f t="shared" si="71"/>
        <v>-126.46949929416442</v>
      </c>
      <c r="CV513" s="9">
        <f t="shared" si="72"/>
        <v>428.64089999999999</v>
      </c>
      <c r="CW513" t="str">
        <f t="shared" si="73"/>
        <v>Al5CoNi4</v>
      </c>
    </row>
    <row r="514" spans="1:101" ht="15.75" thickBot="1" x14ac:dyDescent="0.3">
      <c r="A514" t="s">
        <v>91</v>
      </c>
      <c r="B514" t="s">
        <v>1434</v>
      </c>
      <c r="C514" t="s">
        <v>3144</v>
      </c>
      <c r="E514" t="s">
        <v>3145</v>
      </c>
      <c r="F514" t="s">
        <v>93</v>
      </c>
      <c r="G514" t="s">
        <v>1435</v>
      </c>
      <c r="H514">
        <v>433.93949999999899</v>
      </c>
      <c r="I514">
        <v>552</v>
      </c>
      <c r="J514">
        <v>1.62145804</v>
      </c>
      <c r="K514" t="s">
        <v>95</v>
      </c>
      <c r="L514">
        <v>-50.300309499999997</v>
      </c>
      <c r="M514">
        <f t="shared" ref="M514:M577" si="74">(1000/H514)*L514</f>
        <v>-115.91548937121445</v>
      </c>
      <c r="N514" t="s">
        <v>95</v>
      </c>
      <c r="O514" t="s">
        <v>1436</v>
      </c>
      <c r="P514" t="s">
        <v>93</v>
      </c>
      <c r="T514">
        <f t="shared" ref="T514:T577" si="75">(1000/H514)*S514</f>
        <v>0</v>
      </c>
      <c r="V514" t="s">
        <v>93</v>
      </c>
      <c r="W514" t="s">
        <v>339</v>
      </c>
      <c r="X514">
        <v>298</v>
      </c>
      <c r="Y514" t="s">
        <v>1403</v>
      </c>
      <c r="Z514">
        <v>-59.4</v>
      </c>
      <c r="AA514" t="s">
        <v>95</v>
      </c>
      <c r="AB514">
        <f t="shared" ref="AB514:AB577" si="76">(1000/H514)*Z514</f>
        <v>-136.88544140369828</v>
      </c>
      <c r="AC514" t="s">
        <v>93</v>
      </c>
      <c r="AD514">
        <v>2</v>
      </c>
      <c r="AE514" t="s">
        <v>95</v>
      </c>
      <c r="AF514" t="s">
        <v>93</v>
      </c>
      <c r="AJ514" t="s">
        <v>93</v>
      </c>
      <c r="AK514" t="s">
        <v>93</v>
      </c>
      <c r="BY514">
        <v>0.375</v>
      </c>
      <c r="CR514">
        <f t="shared" ref="CR514:CR577" si="77">VALUE(M514)</f>
        <v>-115.91548937121445</v>
      </c>
      <c r="CS514">
        <f t="shared" ref="CS514:CS577" si="78">VALUE(T514)</f>
        <v>0</v>
      </c>
      <c r="CT514">
        <f t="shared" ref="CT514:CT577" si="79">VALUE(AB514)</f>
        <v>-136.88544140369828</v>
      </c>
      <c r="CU514" s="7">
        <f t="shared" ref="CU514:CU577" si="80">SUM(CR514:CT514)/(COUNTIF(CR514:CT514,"&lt;&gt;0")-COUNTBLANK(CR514:CT514)-(COUNTA(CR514:CT514)-COUNT(CR514:CT514)))</f>
        <v>-126.40046538745636</v>
      </c>
      <c r="CV514" s="9">
        <f t="shared" si="72"/>
        <v>433.93949999999899</v>
      </c>
      <c r="CW514" t="str">
        <f t="shared" si="73"/>
        <v>Sc5Ga3</v>
      </c>
    </row>
    <row r="515" spans="1:101" ht="15.75" thickBot="1" x14ac:dyDescent="0.3">
      <c r="A515" t="s">
        <v>91</v>
      </c>
      <c r="B515" t="s">
        <v>93</v>
      </c>
      <c r="C515" t="s">
        <v>3144</v>
      </c>
      <c r="E515" t="s">
        <v>3145</v>
      </c>
      <c r="F515" t="s">
        <v>93</v>
      </c>
      <c r="G515" t="s">
        <v>272</v>
      </c>
      <c r="H515">
        <v>433.25369999999998</v>
      </c>
      <c r="I515">
        <v>86</v>
      </c>
      <c r="M515">
        <f t="shared" si="74"/>
        <v>0</v>
      </c>
      <c r="O515" t="s">
        <v>93</v>
      </c>
      <c r="P515" t="s">
        <v>93</v>
      </c>
      <c r="T515">
        <f t="shared" si="75"/>
        <v>0</v>
      </c>
      <c r="V515" t="s">
        <v>93</v>
      </c>
      <c r="W515" t="s">
        <v>102</v>
      </c>
      <c r="X515">
        <v>298</v>
      </c>
      <c r="Y515" t="s">
        <v>103</v>
      </c>
      <c r="Z515">
        <v>-54.76</v>
      </c>
      <c r="AA515" t="s">
        <v>95</v>
      </c>
      <c r="AB515">
        <f t="shared" si="76"/>
        <v>-126.39245781397828</v>
      </c>
      <c r="AC515" t="s">
        <v>93</v>
      </c>
      <c r="AD515">
        <v>1.29</v>
      </c>
      <c r="AE515" t="s">
        <v>95</v>
      </c>
      <c r="AF515" t="s">
        <v>93</v>
      </c>
      <c r="AH515" t="s">
        <v>93</v>
      </c>
      <c r="AI515" t="s">
        <v>93</v>
      </c>
      <c r="AJ515" t="s">
        <v>93</v>
      </c>
      <c r="AK515" t="s">
        <v>93</v>
      </c>
      <c r="AR515">
        <v>0.5</v>
      </c>
      <c r="AS515">
        <v>0.4</v>
      </c>
      <c r="AX515">
        <v>0.1</v>
      </c>
      <c r="CR515">
        <f t="shared" si="77"/>
        <v>0</v>
      </c>
      <c r="CS515">
        <f t="shared" si="78"/>
        <v>0</v>
      </c>
      <c r="CT515">
        <f t="shared" si="79"/>
        <v>-126.39245781397828</v>
      </c>
      <c r="CU515" s="7">
        <f t="shared" si="80"/>
        <v>-126.39245781397828</v>
      </c>
      <c r="CV515" s="9">
        <f t="shared" ref="CV515:CV578" si="81">H515</f>
        <v>433.25369999999998</v>
      </c>
      <c r="CW515" t="str">
        <f t="shared" si="73"/>
        <v>Al5CuNi4</v>
      </c>
    </row>
    <row r="516" spans="1:101" ht="15.75" thickBot="1" x14ac:dyDescent="0.3">
      <c r="A516" t="s">
        <v>91</v>
      </c>
      <c r="B516" t="s">
        <v>701</v>
      </c>
      <c r="C516" t="s">
        <v>3144</v>
      </c>
      <c r="E516" t="s">
        <v>3145</v>
      </c>
      <c r="F516" t="s">
        <v>93</v>
      </c>
      <c r="G516" t="s">
        <v>702</v>
      </c>
      <c r="H516">
        <v>525.34770000000003</v>
      </c>
      <c r="I516">
        <v>282</v>
      </c>
      <c r="J516">
        <v>0</v>
      </c>
      <c r="K516" t="s">
        <v>95</v>
      </c>
      <c r="L516">
        <v>-63.904352109999998</v>
      </c>
      <c r="M516">
        <f t="shared" si="74"/>
        <v>-121.64201367970202</v>
      </c>
      <c r="N516" t="s">
        <v>95</v>
      </c>
      <c r="O516" t="s">
        <v>703</v>
      </c>
      <c r="P516" t="s">
        <v>93</v>
      </c>
      <c r="Q516">
        <v>0</v>
      </c>
      <c r="R516" t="s">
        <v>95</v>
      </c>
      <c r="S516">
        <v>-64.413093630000006</v>
      </c>
      <c r="T516">
        <f t="shared" si="75"/>
        <v>-122.61040379542919</v>
      </c>
      <c r="U516" t="s">
        <v>95</v>
      </c>
      <c r="V516">
        <v>17509</v>
      </c>
      <c r="W516" t="s">
        <v>159</v>
      </c>
      <c r="X516">
        <v>298</v>
      </c>
      <c r="Y516" t="s">
        <v>160</v>
      </c>
      <c r="Z516">
        <v>-70.7</v>
      </c>
      <c r="AA516" t="s">
        <v>95</v>
      </c>
      <c r="AB516">
        <f t="shared" si="76"/>
        <v>-134.57753788586112</v>
      </c>
      <c r="AC516" t="s">
        <v>93</v>
      </c>
      <c r="AD516">
        <v>2.8</v>
      </c>
      <c r="AE516" t="s">
        <v>95</v>
      </c>
      <c r="AF516" t="s">
        <v>93</v>
      </c>
      <c r="AN516">
        <v>0.33</v>
      </c>
      <c r="BB516">
        <v>0.66</v>
      </c>
      <c r="CR516">
        <f t="shared" si="77"/>
        <v>-121.64201367970202</v>
      </c>
      <c r="CS516">
        <f t="shared" si="78"/>
        <v>-122.61040379542919</v>
      </c>
      <c r="CT516">
        <f t="shared" si="79"/>
        <v>-134.57753788586112</v>
      </c>
      <c r="CU516" s="7">
        <f t="shared" si="80"/>
        <v>-126.27665178699745</v>
      </c>
      <c r="CV516" s="9">
        <f t="shared" si="81"/>
        <v>525.34770000000003</v>
      </c>
      <c r="CW516" t="str">
        <f t="shared" si="73"/>
        <v>PrIr2</v>
      </c>
    </row>
    <row r="517" spans="1:101" ht="15.75" thickBot="1" x14ac:dyDescent="0.3">
      <c r="A517" t="s">
        <v>484</v>
      </c>
      <c r="B517" t="s">
        <v>2176</v>
      </c>
      <c r="C517" t="s">
        <v>3138</v>
      </c>
      <c r="D517" t="s">
        <v>3139</v>
      </c>
      <c r="F517" t="s">
        <v>3140</v>
      </c>
      <c r="G517" t="s">
        <v>2177</v>
      </c>
      <c r="H517">
        <v>662.29949999999997</v>
      </c>
      <c r="I517">
        <v>866</v>
      </c>
      <c r="J517">
        <v>0</v>
      </c>
      <c r="K517" t="s">
        <v>95</v>
      </c>
      <c r="L517">
        <v>-80.274077919999996</v>
      </c>
      <c r="M517">
        <f t="shared" si="74"/>
        <v>-121.20510119666405</v>
      </c>
      <c r="N517" t="s">
        <v>95</v>
      </c>
      <c r="O517" t="s">
        <v>2178</v>
      </c>
      <c r="P517" t="s">
        <v>93</v>
      </c>
      <c r="Q517">
        <v>0</v>
      </c>
      <c r="R517" t="s">
        <v>95</v>
      </c>
      <c r="S517">
        <v>-80.471236559999994</v>
      </c>
      <c r="T517">
        <f t="shared" si="75"/>
        <v>-121.5027892365916</v>
      </c>
      <c r="U517" t="s">
        <v>95</v>
      </c>
      <c r="V517">
        <v>10313</v>
      </c>
      <c r="W517" t="s">
        <v>339</v>
      </c>
      <c r="X517">
        <v>298</v>
      </c>
      <c r="Y517" t="s">
        <v>1403</v>
      </c>
      <c r="Z517">
        <v>-89.8</v>
      </c>
      <c r="AA517" t="s">
        <v>95</v>
      </c>
      <c r="AB517">
        <f t="shared" si="76"/>
        <v>-135.58820443017095</v>
      </c>
      <c r="AC517" t="s">
        <v>93</v>
      </c>
      <c r="AD517">
        <v>5</v>
      </c>
      <c r="AE517" t="s">
        <v>95</v>
      </c>
      <c r="AF517" t="s">
        <v>93</v>
      </c>
      <c r="AG517">
        <v>0.625</v>
      </c>
      <c r="CA517">
        <v>0.375</v>
      </c>
      <c r="CR517">
        <f t="shared" si="77"/>
        <v>-121.20510119666405</v>
      </c>
      <c r="CS517">
        <f t="shared" si="78"/>
        <v>-121.5027892365916</v>
      </c>
      <c r="CT517">
        <f t="shared" si="79"/>
        <v>-135.58820443017095</v>
      </c>
      <c r="CU517" s="7">
        <f t="shared" si="80"/>
        <v>-126.09869828780886</v>
      </c>
      <c r="CV517" s="9">
        <f t="shared" si="81"/>
        <v>662.29949999999997</v>
      </c>
      <c r="CW517" t="str">
        <f t="shared" si="73"/>
        <v>Y5Ge3</v>
      </c>
    </row>
    <row r="518" spans="1:101" ht="15.75" thickBot="1" x14ac:dyDescent="0.3">
      <c r="A518" t="s">
        <v>91</v>
      </c>
      <c r="B518" t="s">
        <v>2849</v>
      </c>
      <c r="C518" t="s">
        <v>3144</v>
      </c>
      <c r="E518" t="s">
        <v>3145</v>
      </c>
      <c r="F518" t="s">
        <v>93</v>
      </c>
      <c r="G518" t="s">
        <v>2850</v>
      </c>
      <c r="H518">
        <v>466.35953999999998</v>
      </c>
      <c r="I518">
        <v>1167</v>
      </c>
      <c r="J518">
        <v>0</v>
      </c>
      <c r="K518" t="s">
        <v>95</v>
      </c>
      <c r="L518">
        <v>-55.387324999999997</v>
      </c>
      <c r="M518">
        <f t="shared" si="74"/>
        <v>-118.76528782921434</v>
      </c>
      <c r="N518" t="s">
        <v>95</v>
      </c>
      <c r="O518" t="s">
        <v>2851</v>
      </c>
      <c r="P518" t="s">
        <v>93</v>
      </c>
      <c r="Q518">
        <v>0.47652092000000001</v>
      </c>
      <c r="R518" t="s">
        <v>95</v>
      </c>
      <c r="S518">
        <v>-56.133449689999999</v>
      </c>
      <c r="T518">
        <f t="shared" si="75"/>
        <v>-120.36517938498696</v>
      </c>
      <c r="U518" t="s">
        <v>95</v>
      </c>
      <c r="V518">
        <v>458527</v>
      </c>
      <c r="W518" t="s">
        <v>184</v>
      </c>
      <c r="X518">
        <v>298</v>
      </c>
      <c r="Y518" t="s">
        <v>185</v>
      </c>
      <c r="Z518">
        <v>-64.8</v>
      </c>
      <c r="AA518" t="s">
        <v>95</v>
      </c>
      <c r="AB518">
        <f t="shared" si="76"/>
        <v>-138.94858889345332</v>
      </c>
      <c r="AC518" t="s">
        <v>93</v>
      </c>
      <c r="AD518">
        <v>3.3</v>
      </c>
      <c r="AE518" t="s">
        <v>95</v>
      </c>
      <c r="AF518" t="s">
        <v>93</v>
      </c>
      <c r="AR518">
        <v>0.25</v>
      </c>
      <c r="BB518">
        <v>0.5</v>
      </c>
      <c r="BR518">
        <v>0.25</v>
      </c>
      <c r="CR518">
        <f t="shared" si="77"/>
        <v>-118.76528782921434</v>
      </c>
      <c r="CS518">
        <f t="shared" si="78"/>
        <v>-120.36517938498696</v>
      </c>
      <c r="CT518">
        <f t="shared" si="79"/>
        <v>-138.94858889345332</v>
      </c>
      <c r="CU518" s="7">
        <f t="shared" si="80"/>
        <v>-126.02635203588488</v>
      </c>
      <c r="CV518" s="9">
        <f t="shared" si="81"/>
        <v>466.35953999999998</v>
      </c>
      <c r="CW518" t="str">
        <f t="shared" si="73"/>
        <v>MnAlIr2</v>
      </c>
    </row>
    <row r="519" spans="1:101" ht="15.75" thickBot="1" x14ac:dyDescent="0.3">
      <c r="A519" t="s">
        <v>91</v>
      </c>
      <c r="B519" t="s">
        <v>704</v>
      </c>
      <c r="C519" t="s">
        <v>3144</v>
      </c>
      <c r="E519" t="s">
        <v>3145</v>
      </c>
      <c r="F519" t="s">
        <v>93</v>
      </c>
      <c r="G519" t="s">
        <v>705</v>
      </c>
      <c r="H519">
        <v>543.36540000000002</v>
      </c>
      <c r="I519">
        <v>283</v>
      </c>
      <c r="J519">
        <v>0</v>
      </c>
      <c r="K519" t="s">
        <v>95</v>
      </c>
      <c r="L519">
        <v>-77.475145990000001</v>
      </c>
      <c r="M519">
        <f t="shared" si="74"/>
        <v>-142.58387816007425</v>
      </c>
      <c r="N519" t="s">
        <v>95</v>
      </c>
      <c r="O519" t="s">
        <v>706</v>
      </c>
      <c r="P519" t="s">
        <v>93</v>
      </c>
      <c r="Q519">
        <v>0</v>
      </c>
      <c r="R519" t="s">
        <v>95</v>
      </c>
      <c r="S519">
        <v>-56.569753710000001</v>
      </c>
      <c r="T519">
        <f t="shared" si="75"/>
        <v>-104.10996671852864</v>
      </c>
      <c r="U519" t="s">
        <v>95</v>
      </c>
      <c r="V519">
        <v>17519</v>
      </c>
      <c r="W519" t="s">
        <v>159</v>
      </c>
      <c r="X519">
        <v>298</v>
      </c>
      <c r="Y519" t="s">
        <v>160</v>
      </c>
      <c r="Z519">
        <v>-70.599999999999994</v>
      </c>
      <c r="AA519" t="s">
        <v>95</v>
      </c>
      <c r="AB519">
        <f t="shared" si="76"/>
        <v>-129.93098198744343</v>
      </c>
      <c r="AC519" t="s">
        <v>93</v>
      </c>
      <c r="AD519">
        <v>2.6</v>
      </c>
      <c r="AE519" t="s">
        <v>95</v>
      </c>
      <c r="AF519" t="s">
        <v>93</v>
      </c>
      <c r="BB519">
        <v>0.66</v>
      </c>
      <c r="BK519">
        <v>0.33</v>
      </c>
      <c r="CR519">
        <f t="shared" si="77"/>
        <v>-142.58387816007425</v>
      </c>
      <c r="CS519">
        <f t="shared" si="78"/>
        <v>-104.10996671852864</v>
      </c>
      <c r="CT519">
        <f t="shared" si="79"/>
        <v>-129.93098198744343</v>
      </c>
      <c r="CU519" s="7">
        <f t="shared" si="80"/>
        <v>-125.54160895534876</v>
      </c>
      <c r="CV519" s="9">
        <f t="shared" si="81"/>
        <v>543.36540000000002</v>
      </c>
      <c r="CW519" t="str">
        <f t="shared" si="73"/>
        <v>TbIr2</v>
      </c>
    </row>
    <row r="520" spans="1:101" ht="15.75" thickBot="1" x14ac:dyDescent="0.3">
      <c r="A520" t="s">
        <v>91</v>
      </c>
      <c r="B520" t="s">
        <v>481</v>
      </c>
      <c r="C520" t="s">
        <v>3144</v>
      </c>
      <c r="E520" t="s">
        <v>3145</v>
      </c>
      <c r="F520" t="s">
        <v>93</v>
      </c>
      <c r="G520" t="s">
        <v>482</v>
      </c>
      <c r="H520">
        <v>296.35640000000001</v>
      </c>
      <c r="I520">
        <v>195</v>
      </c>
      <c r="J520">
        <v>0</v>
      </c>
      <c r="K520" t="s">
        <v>95</v>
      </c>
      <c r="L520">
        <v>-35.454191649999999</v>
      </c>
      <c r="M520">
        <f t="shared" si="74"/>
        <v>-119.63362913707952</v>
      </c>
      <c r="N520" t="s">
        <v>95</v>
      </c>
      <c r="O520" t="s">
        <v>483</v>
      </c>
      <c r="P520" t="s">
        <v>93</v>
      </c>
      <c r="Q520">
        <v>0</v>
      </c>
      <c r="R520" t="s">
        <v>95</v>
      </c>
      <c r="S520">
        <v>-36.698271460000001</v>
      </c>
      <c r="T520">
        <f t="shared" si="75"/>
        <v>-123.83154694820155</v>
      </c>
      <c r="U520" t="s">
        <v>95</v>
      </c>
      <c r="V520">
        <v>29360</v>
      </c>
      <c r="W520" t="s">
        <v>159</v>
      </c>
      <c r="X520">
        <v>298</v>
      </c>
      <c r="Y520" t="s">
        <v>160</v>
      </c>
      <c r="Z520">
        <v>-39.4</v>
      </c>
      <c r="AA520" t="s">
        <v>95</v>
      </c>
      <c r="AB520">
        <f t="shared" si="76"/>
        <v>-132.94803149181186</v>
      </c>
      <c r="AC520" t="s">
        <v>93</v>
      </c>
      <c r="AD520">
        <v>0.9</v>
      </c>
      <c r="AE520" t="s">
        <v>95</v>
      </c>
      <c r="AF520" t="s">
        <v>93</v>
      </c>
      <c r="AQ520">
        <v>0.33</v>
      </c>
      <c r="AW520">
        <v>0.66</v>
      </c>
      <c r="CR520">
        <f t="shared" si="77"/>
        <v>-119.63362913707952</v>
      </c>
      <c r="CS520">
        <f t="shared" si="78"/>
        <v>-123.83154694820155</v>
      </c>
      <c r="CT520">
        <f t="shared" si="79"/>
        <v>-132.94803149181186</v>
      </c>
      <c r="CU520" s="7">
        <f t="shared" si="80"/>
        <v>-125.47106919236433</v>
      </c>
      <c r="CV520" s="9">
        <f t="shared" si="81"/>
        <v>296.35640000000001</v>
      </c>
      <c r="CW520" t="str">
        <f t="shared" si="73"/>
        <v>HfCo2</v>
      </c>
    </row>
    <row r="521" spans="1:101" ht="15.75" thickBot="1" x14ac:dyDescent="0.3">
      <c r="A521" t="s">
        <v>91</v>
      </c>
      <c r="B521" t="s">
        <v>1884</v>
      </c>
      <c r="C521" t="s">
        <v>3144</v>
      </c>
      <c r="E521" t="s">
        <v>3145</v>
      </c>
      <c r="F521" t="s">
        <v>93</v>
      </c>
      <c r="G521" t="s">
        <v>1885</v>
      </c>
      <c r="H521">
        <v>270.36799999999999</v>
      </c>
      <c r="I521">
        <v>720</v>
      </c>
      <c r="J521">
        <v>0</v>
      </c>
      <c r="K521" t="s">
        <v>95</v>
      </c>
      <c r="L521">
        <v>-31.82499791</v>
      </c>
      <c r="M521">
        <f t="shared" si="74"/>
        <v>-117.70992835690615</v>
      </c>
      <c r="N521" t="s">
        <v>95</v>
      </c>
      <c r="O521" t="s">
        <v>1886</v>
      </c>
      <c r="P521" t="s">
        <v>93</v>
      </c>
      <c r="Q521">
        <v>6.0247830000000002E-2</v>
      </c>
      <c r="R521" t="s">
        <v>95</v>
      </c>
      <c r="S521">
        <v>-32.376119250000002</v>
      </c>
      <c r="T521">
        <f t="shared" si="75"/>
        <v>-119.74834022517459</v>
      </c>
      <c r="U521" t="s">
        <v>95</v>
      </c>
      <c r="V521">
        <v>10365</v>
      </c>
      <c r="W521" t="s">
        <v>102</v>
      </c>
      <c r="X521">
        <v>298</v>
      </c>
      <c r="Y521" t="s">
        <v>103</v>
      </c>
      <c r="Z521">
        <v>-37.299999999999997</v>
      </c>
      <c r="AA521" t="s">
        <v>95</v>
      </c>
      <c r="AB521">
        <f t="shared" si="76"/>
        <v>-137.96011362291395</v>
      </c>
      <c r="AC521" t="s">
        <v>93</v>
      </c>
      <c r="AD521">
        <v>1.8</v>
      </c>
      <c r="AE521" t="s">
        <v>95</v>
      </c>
      <c r="AF521" t="s">
        <v>93</v>
      </c>
      <c r="BG521">
        <v>0.5</v>
      </c>
      <c r="CR521">
        <f t="shared" si="77"/>
        <v>-117.70992835690615</v>
      </c>
      <c r="CS521">
        <f t="shared" si="78"/>
        <v>-119.74834022517459</v>
      </c>
      <c r="CT521">
        <f t="shared" si="79"/>
        <v>-137.96011362291395</v>
      </c>
      <c r="CU521" s="7">
        <f t="shared" si="80"/>
        <v>-125.13946073499824</v>
      </c>
      <c r="CV521" s="9">
        <f t="shared" si="81"/>
        <v>270.36799999999999</v>
      </c>
      <c r="CW521" t="str">
        <f t="shared" si="73"/>
        <v>DyAg</v>
      </c>
    </row>
    <row r="522" spans="1:101" ht="15.75" thickBot="1" x14ac:dyDescent="0.3">
      <c r="A522" t="s">
        <v>91</v>
      </c>
      <c r="B522" t="s">
        <v>2030</v>
      </c>
      <c r="C522" t="s">
        <v>3144</v>
      </c>
      <c r="E522" t="s">
        <v>3145</v>
      </c>
      <c r="G522" t="s">
        <v>2031</v>
      </c>
      <c r="H522">
        <v>293.36</v>
      </c>
      <c r="I522">
        <v>800</v>
      </c>
      <c r="J522">
        <v>6.0874187099999997</v>
      </c>
      <c r="K522" t="s">
        <v>95</v>
      </c>
      <c r="L522">
        <v>-36.374077960000001</v>
      </c>
      <c r="M522">
        <f t="shared" si="74"/>
        <v>-123.99126656667575</v>
      </c>
      <c r="N522" t="s">
        <v>95</v>
      </c>
      <c r="O522" t="s">
        <v>2032</v>
      </c>
      <c r="P522" t="s">
        <v>93</v>
      </c>
      <c r="Q522">
        <v>5.40995267</v>
      </c>
      <c r="R522" t="s">
        <v>95</v>
      </c>
      <c r="S522">
        <v>-35.951822589999999</v>
      </c>
      <c r="T522">
        <f t="shared" si="75"/>
        <v>-122.55189047586582</v>
      </c>
      <c r="U522" t="s">
        <v>95</v>
      </c>
      <c r="V522">
        <v>31033</v>
      </c>
      <c r="W522" t="s">
        <v>225</v>
      </c>
      <c r="X522">
        <v>1743</v>
      </c>
      <c r="Y522" t="s">
        <v>179</v>
      </c>
      <c r="AB522">
        <f t="shared" si="76"/>
        <v>0</v>
      </c>
      <c r="AC522" t="s">
        <v>93</v>
      </c>
      <c r="AD522">
        <v>0.9</v>
      </c>
      <c r="AE522" t="s">
        <v>95</v>
      </c>
      <c r="AF522" t="s">
        <v>93</v>
      </c>
      <c r="AP522">
        <v>0.33</v>
      </c>
      <c r="AV522">
        <v>0.67</v>
      </c>
      <c r="CG522">
        <v>-32</v>
      </c>
      <c r="CH522" t="s">
        <v>95</v>
      </c>
      <c r="CI522" t="s">
        <v>93</v>
      </c>
      <c r="CR522">
        <f t="shared" si="77"/>
        <v>-123.99126656667575</v>
      </c>
      <c r="CS522">
        <f t="shared" si="78"/>
        <v>-122.55189047586582</v>
      </c>
      <c r="CT522">
        <f t="shared" si="79"/>
        <v>0</v>
      </c>
      <c r="CU522" s="7">
        <f t="shared" si="80"/>
        <v>-123.27157852127078</v>
      </c>
      <c r="CV522" s="9">
        <f t="shared" si="81"/>
        <v>293.36</v>
      </c>
      <c r="CW522" t="str">
        <f t="shared" si="73"/>
        <v>ZrRu2</v>
      </c>
    </row>
    <row r="523" spans="1:101" ht="15.75" thickBot="1" x14ac:dyDescent="0.3">
      <c r="A523" t="s">
        <v>91</v>
      </c>
      <c r="B523" t="s">
        <v>2549</v>
      </c>
      <c r="C523" t="s">
        <v>3144</v>
      </c>
      <c r="E523" t="s">
        <v>3145</v>
      </c>
      <c r="F523" t="s">
        <v>93</v>
      </c>
      <c r="G523" t="s">
        <v>2550</v>
      </c>
      <c r="H523">
        <v>201.096</v>
      </c>
      <c r="I523">
        <v>1041</v>
      </c>
      <c r="M523">
        <f t="shared" si="74"/>
        <v>0</v>
      </c>
      <c r="O523" t="s">
        <v>93</v>
      </c>
      <c r="P523" t="s">
        <v>2551</v>
      </c>
      <c r="T523">
        <f t="shared" si="75"/>
        <v>0</v>
      </c>
      <c r="V523" t="s">
        <v>93</v>
      </c>
      <c r="W523" t="s">
        <v>93</v>
      </c>
      <c r="X523">
        <v>298</v>
      </c>
      <c r="Y523" t="s">
        <v>93</v>
      </c>
      <c r="Z523">
        <v>-24.7</v>
      </c>
      <c r="AA523" t="s">
        <v>95</v>
      </c>
      <c r="AB523">
        <f t="shared" si="76"/>
        <v>-122.82690854119426</v>
      </c>
      <c r="AC523" t="s">
        <v>93</v>
      </c>
      <c r="AD523">
        <v>2.7</v>
      </c>
      <c r="AE523" t="s">
        <v>95</v>
      </c>
      <c r="AF523" t="s">
        <v>93</v>
      </c>
      <c r="AH523" t="s">
        <v>93</v>
      </c>
      <c r="AI523" t="s">
        <v>93</v>
      </c>
      <c r="AJ523" t="s">
        <v>93</v>
      </c>
      <c r="AK523" t="s">
        <v>93</v>
      </c>
      <c r="AP523">
        <v>0.33329999999999999</v>
      </c>
      <c r="BR523">
        <v>0.66669999999999996</v>
      </c>
      <c r="CR523">
        <f t="shared" si="77"/>
        <v>0</v>
      </c>
      <c r="CS523">
        <f t="shared" si="78"/>
        <v>0</v>
      </c>
      <c r="CT523">
        <f t="shared" si="79"/>
        <v>-122.82690854119426</v>
      </c>
      <c r="CU523" s="7">
        <f t="shared" si="80"/>
        <v>-122.82690854119426</v>
      </c>
      <c r="CV523" s="9">
        <f t="shared" si="81"/>
        <v>201.096</v>
      </c>
      <c r="CW523" t="str">
        <f t="shared" si="73"/>
        <v>ZrMn2</v>
      </c>
    </row>
    <row r="524" spans="1:101" ht="15.75" thickBot="1" x14ac:dyDescent="0.3">
      <c r="A524" t="s">
        <v>91</v>
      </c>
      <c r="B524" t="s">
        <v>2127</v>
      </c>
      <c r="C524" t="s">
        <v>3144</v>
      </c>
      <c r="E524" t="s">
        <v>3145</v>
      </c>
      <c r="F524" t="s">
        <v>93</v>
      </c>
      <c r="G524" t="s">
        <v>2128</v>
      </c>
      <c r="H524">
        <v>340.28550000000001</v>
      </c>
      <c r="I524">
        <v>847</v>
      </c>
      <c r="J524">
        <v>0</v>
      </c>
      <c r="K524" t="s">
        <v>95</v>
      </c>
      <c r="L524">
        <v>-38.065473179999998</v>
      </c>
      <c r="M524">
        <f t="shared" si="74"/>
        <v>-111.86334175273409</v>
      </c>
      <c r="N524" t="s">
        <v>95</v>
      </c>
      <c r="O524" t="s">
        <v>2129</v>
      </c>
      <c r="P524" t="s">
        <v>93</v>
      </c>
      <c r="Q524">
        <v>0</v>
      </c>
      <c r="R524" t="s">
        <v>95</v>
      </c>
      <c r="S524">
        <v>-44.952088600000003</v>
      </c>
      <c r="T524">
        <f t="shared" si="75"/>
        <v>-132.10109922403393</v>
      </c>
      <c r="U524" t="s">
        <v>95</v>
      </c>
      <c r="V524">
        <v>18060</v>
      </c>
      <c r="W524" t="s">
        <v>479</v>
      </c>
      <c r="X524">
        <v>298</v>
      </c>
      <c r="Y524" t="s">
        <v>480</v>
      </c>
      <c r="Z524">
        <v>-42.1</v>
      </c>
      <c r="AA524" t="s">
        <v>95</v>
      </c>
      <c r="AB524">
        <f t="shared" si="76"/>
        <v>-123.71964130120148</v>
      </c>
      <c r="AC524" t="s">
        <v>93</v>
      </c>
      <c r="AD524">
        <v>2.4</v>
      </c>
      <c r="AE524" t="s">
        <v>95</v>
      </c>
      <c r="AF524" t="s">
        <v>93</v>
      </c>
      <c r="BF524">
        <v>0.33</v>
      </c>
      <c r="CF524">
        <v>0.66</v>
      </c>
      <c r="CR524">
        <f t="shared" si="77"/>
        <v>-111.86334175273409</v>
      </c>
      <c r="CS524">
        <f t="shared" si="78"/>
        <v>-132.10109922403393</v>
      </c>
      <c r="CT524">
        <f t="shared" si="79"/>
        <v>-123.71964130120148</v>
      </c>
      <c r="CU524" s="7">
        <f t="shared" si="80"/>
        <v>-122.56136075932316</v>
      </c>
      <c r="CV524" s="9">
        <f t="shared" si="81"/>
        <v>340.28550000000001</v>
      </c>
      <c r="CW524" t="str">
        <f t="shared" si="73"/>
        <v>Sn2Rh</v>
      </c>
    </row>
    <row r="525" spans="1:101" ht="15.75" thickBot="1" x14ac:dyDescent="0.3">
      <c r="A525" t="s">
        <v>91</v>
      </c>
      <c r="B525" t="s">
        <v>2130</v>
      </c>
      <c r="C525" t="s">
        <v>3144</v>
      </c>
      <c r="E525" t="s">
        <v>3145</v>
      </c>
      <c r="F525" t="s">
        <v>93</v>
      </c>
      <c r="G525" t="s">
        <v>2131</v>
      </c>
      <c r="H525">
        <v>437.89</v>
      </c>
      <c r="I525">
        <v>848</v>
      </c>
      <c r="J525">
        <v>0</v>
      </c>
      <c r="K525" t="s">
        <v>95</v>
      </c>
      <c r="L525">
        <v>-50.444490379999998</v>
      </c>
      <c r="M525">
        <f t="shared" si="74"/>
        <v>-115.19900061659321</v>
      </c>
      <c r="N525" t="s">
        <v>95</v>
      </c>
      <c r="O525" t="s">
        <v>2132</v>
      </c>
      <c r="P525" t="s">
        <v>93</v>
      </c>
      <c r="Q525">
        <v>0</v>
      </c>
      <c r="R525" t="s">
        <v>95</v>
      </c>
      <c r="S525">
        <v>-52.03749809</v>
      </c>
      <c r="T525">
        <f t="shared" si="75"/>
        <v>-118.83691815296079</v>
      </c>
      <c r="U525" t="s">
        <v>95</v>
      </c>
      <c r="V525">
        <v>17954</v>
      </c>
      <c r="W525" t="s">
        <v>194</v>
      </c>
      <c r="X525">
        <v>298</v>
      </c>
      <c r="Y525" t="s">
        <v>103</v>
      </c>
      <c r="Z525">
        <v>-57.8</v>
      </c>
      <c r="AA525" t="s">
        <v>95</v>
      </c>
      <c r="AB525">
        <f t="shared" si="76"/>
        <v>-131.99662015574688</v>
      </c>
      <c r="AC525" t="s">
        <v>93</v>
      </c>
      <c r="AD525">
        <v>1.9</v>
      </c>
      <c r="AE525" t="s">
        <v>95</v>
      </c>
      <c r="AF525" t="s">
        <v>93</v>
      </c>
      <c r="AZ525">
        <v>0.75</v>
      </c>
      <c r="CF525">
        <v>0.25</v>
      </c>
      <c r="CR525">
        <f t="shared" si="77"/>
        <v>-115.19900061659321</v>
      </c>
      <c r="CS525">
        <f t="shared" si="78"/>
        <v>-118.83691815296079</v>
      </c>
      <c r="CT525">
        <f t="shared" si="79"/>
        <v>-131.99662015574688</v>
      </c>
      <c r="CU525" s="7">
        <f t="shared" si="80"/>
        <v>-122.01084630843361</v>
      </c>
      <c r="CV525" s="9">
        <f t="shared" si="81"/>
        <v>437.89</v>
      </c>
      <c r="CW525" t="str">
        <f t="shared" si="73"/>
        <v>SnPd3</v>
      </c>
    </row>
    <row r="526" spans="1:101" ht="15.75" thickBot="1" x14ac:dyDescent="0.3">
      <c r="A526" t="s">
        <v>91</v>
      </c>
      <c r="B526" t="s">
        <v>93</v>
      </c>
      <c r="C526" t="s">
        <v>3144</v>
      </c>
      <c r="E526" t="s">
        <v>3145</v>
      </c>
      <c r="F526" t="s">
        <v>93</v>
      </c>
      <c r="G526" t="s">
        <v>284</v>
      </c>
      <c r="H526">
        <v>239.75507999999999</v>
      </c>
      <c r="I526">
        <v>96</v>
      </c>
      <c r="M526">
        <f t="shared" si="74"/>
        <v>0</v>
      </c>
      <c r="O526" t="s">
        <v>93</v>
      </c>
      <c r="P526" t="s">
        <v>93</v>
      </c>
      <c r="T526">
        <f t="shared" si="75"/>
        <v>0</v>
      </c>
      <c r="V526" t="s">
        <v>93</v>
      </c>
      <c r="W526" t="s">
        <v>102</v>
      </c>
      <c r="X526">
        <v>298</v>
      </c>
      <c r="Y526" t="s">
        <v>103</v>
      </c>
      <c r="Z526">
        <v>-29.23</v>
      </c>
      <c r="AA526" t="s">
        <v>95</v>
      </c>
      <c r="AB526">
        <f t="shared" si="76"/>
        <v>-121.91608202837664</v>
      </c>
      <c r="AC526" t="s">
        <v>93</v>
      </c>
      <c r="AD526">
        <v>1.19</v>
      </c>
      <c r="AE526" t="s">
        <v>95</v>
      </c>
      <c r="AF526" t="s">
        <v>93</v>
      </c>
      <c r="AH526" t="s">
        <v>93</v>
      </c>
      <c r="AI526" t="s">
        <v>93</v>
      </c>
      <c r="AJ526" t="s">
        <v>93</v>
      </c>
      <c r="AK526" t="s">
        <v>93</v>
      </c>
      <c r="AR526">
        <v>0.4</v>
      </c>
      <c r="AS526">
        <v>0.2</v>
      </c>
      <c r="AX526">
        <v>0.4</v>
      </c>
      <c r="CR526">
        <f t="shared" si="77"/>
        <v>0</v>
      </c>
      <c r="CS526">
        <f t="shared" si="78"/>
        <v>0</v>
      </c>
      <c r="CT526">
        <f t="shared" si="79"/>
        <v>-121.91608202837664</v>
      </c>
      <c r="CU526" s="7">
        <f t="shared" si="80"/>
        <v>-121.91608202837664</v>
      </c>
      <c r="CV526" s="9">
        <f t="shared" si="81"/>
        <v>239.75507999999999</v>
      </c>
      <c r="CW526" t="str">
        <f t="shared" si="73"/>
        <v>Al2Cu2Ni</v>
      </c>
    </row>
    <row r="527" spans="1:101" ht="15.75" thickBot="1" x14ac:dyDescent="0.3">
      <c r="A527" t="s">
        <v>91</v>
      </c>
      <c r="B527" t="s">
        <v>93</v>
      </c>
      <c r="C527" t="s">
        <v>3144</v>
      </c>
      <c r="E527" t="s">
        <v>3145</v>
      </c>
      <c r="F527" t="s">
        <v>93</v>
      </c>
      <c r="G527" t="s">
        <v>331</v>
      </c>
      <c r="H527">
        <v>396.0077</v>
      </c>
      <c r="I527">
        <v>133</v>
      </c>
      <c r="M527">
        <f t="shared" si="74"/>
        <v>0</v>
      </c>
      <c r="O527" t="s">
        <v>93</v>
      </c>
      <c r="P527" t="s">
        <v>93</v>
      </c>
      <c r="T527">
        <f t="shared" si="75"/>
        <v>0</v>
      </c>
      <c r="V527" t="s">
        <v>93</v>
      </c>
      <c r="W527" t="s">
        <v>332</v>
      </c>
      <c r="X527">
        <v>298</v>
      </c>
      <c r="Y527" t="s">
        <v>185</v>
      </c>
      <c r="Z527">
        <v>-48.19</v>
      </c>
      <c r="AA527" t="s">
        <v>95</v>
      </c>
      <c r="AB527">
        <f t="shared" si="76"/>
        <v>-121.68955300616629</v>
      </c>
      <c r="AC527" t="s">
        <v>93</v>
      </c>
      <c r="AD527">
        <v>3.53</v>
      </c>
      <c r="AE527" t="s">
        <v>95</v>
      </c>
      <c r="AF527" t="s">
        <v>93</v>
      </c>
      <c r="AH527" t="s">
        <v>93</v>
      </c>
      <c r="AI527" t="s">
        <v>93</v>
      </c>
      <c r="AJ527" t="s">
        <v>93</v>
      </c>
      <c r="AK527" t="s">
        <v>93</v>
      </c>
      <c r="AR527">
        <v>0.5</v>
      </c>
      <c r="AS527">
        <v>0.2</v>
      </c>
      <c r="BA527">
        <v>0.3</v>
      </c>
      <c r="CR527">
        <f t="shared" si="77"/>
        <v>0</v>
      </c>
      <c r="CS527">
        <f t="shared" si="78"/>
        <v>0</v>
      </c>
      <c r="CT527">
        <f t="shared" si="79"/>
        <v>-121.68955300616629</v>
      </c>
      <c r="CU527" s="7">
        <f t="shared" si="80"/>
        <v>-121.68955300616629</v>
      </c>
      <c r="CV527" s="9">
        <f t="shared" si="81"/>
        <v>396.0077</v>
      </c>
      <c r="CW527" t="str">
        <f t="shared" si="73"/>
        <v>Al5Ni2Ti3</v>
      </c>
    </row>
    <row r="528" spans="1:101" ht="15.75" thickBot="1" x14ac:dyDescent="0.3">
      <c r="A528" t="s">
        <v>91</v>
      </c>
      <c r="B528" t="s">
        <v>2434</v>
      </c>
      <c r="C528" t="s">
        <v>3144</v>
      </c>
      <c r="E528" t="s">
        <v>3145</v>
      </c>
      <c r="F528" t="s">
        <v>93</v>
      </c>
      <c r="G528" t="s">
        <v>2435</v>
      </c>
      <c r="H528">
        <v>238.52789999999999</v>
      </c>
      <c r="I528">
        <v>988</v>
      </c>
      <c r="J528">
        <v>0</v>
      </c>
      <c r="K528" t="s">
        <v>95</v>
      </c>
      <c r="L528">
        <v>-29.199925149999999</v>
      </c>
      <c r="M528">
        <f t="shared" si="74"/>
        <v>-122.41723148528956</v>
      </c>
      <c r="N528" t="s">
        <v>95</v>
      </c>
      <c r="O528" t="s">
        <v>2436</v>
      </c>
      <c r="P528" t="s">
        <v>93</v>
      </c>
      <c r="Q528">
        <v>0</v>
      </c>
      <c r="R528" t="s">
        <v>95</v>
      </c>
      <c r="S528">
        <v>-29.384884580000001</v>
      </c>
      <c r="T528">
        <f t="shared" si="75"/>
        <v>-123.19265201261572</v>
      </c>
      <c r="U528" t="s">
        <v>95</v>
      </c>
      <c r="V528">
        <v>29296</v>
      </c>
      <c r="W528" t="s">
        <v>184</v>
      </c>
      <c r="X528">
        <v>298</v>
      </c>
      <c r="Y528" t="s">
        <v>185</v>
      </c>
      <c r="Z528">
        <v>-28.4</v>
      </c>
      <c r="AA528" t="s">
        <v>95</v>
      </c>
      <c r="AB528">
        <f t="shared" si="76"/>
        <v>-119.06363993478331</v>
      </c>
      <c r="AC528" t="s">
        <v>93</v>
      </c>
      <c r="AD528">
        <v>1.1000000000000001</v>
      </c>
      <c r="AE528" t="s">
        <v>95</v>
      </c>
      <c r="AF528" t="s">
        <v>93</v>
      </c>
      <c r="AW528">
        <v>0.5</v>
      </c>
      <c r="BD528">
        <v>0.25</v>
      </c>
      <c r="BY528">
        <v>0.25</v>
      </c>
      <c r="CR528">
        <f t="shared" si="77"/>
        <v>-122.41723148528956</v>
      </c>
      <c r="CS528">
        <f t="shared" si="78"/>
        <v>-123.19265201261572</v>
      </c>
      <c r="CT528">
        <f t="shared" si="79"/>
        <v>-119.06363993478331</v>
      </c>
      <c r="CU528" s="7">
        <f t="shared" si="80"/>
        <v>-121.55784114422954</v>
      </c>
      <c r="CV528" s="9">
        <f t="shared" si="81"/>
        <v>238.52789999999999</v>
      </c>
      <c r="CW528" t="str">
        <f t="shared" si="73"/>
        <v>VGaCo2</v>
      </c>
    </row>
    <row r="529" spans="1:101" ht="15.75" thickBot="1" x14ac:dyDescent="0.3">
      <c r="A529" t="s">
        <v>91</v>
      </c>
      <c r="B529" t="s">
        <v>1004</v>
      </c>
      <c r="C529" t="s">
        <v>3144</v>
      </c>
      <c r="E529" t="s">
        <v>3145</v>
      </c>
      <c r="F529" t="s">
        <v>93</v>
      </c>
      <c r="G529" t="s">
        <v>1005</v>
      </c>
      <c r="H529">
        <v>546.74549999999999</v>
      </c>
      <c r="I529">
        <v>401</v>
      </c>
      <c r="J529">
        <v>0</v>
      </c>
      <c r="K529" t="s">
        <v>95</v>
      </c>
      <c r="L529">
        <v>-64.321457679999995</v>
      </c>
      <c r="M529">
        <f t="shared" si="74"/>
        <v>-117.64423791325214</v>
      </c>
      <c r="N529" t="s">
        <v>95</v>
      </c>
      <c r="O529" t="s">
        <v>1006</v>
      </c>
      <c r="P529" t="s">
        <v>93</v>
      </c>
      <c r="Q529">
        <v>0.13583972</v>
      </c>
      <c r="R529" t="s">
        <v>95</v>
      </c>
      <c r="S529">
        <v>-64.894189789999999</v>
      </c>
      <c r="T529">
        <f t="shared" si="75"/>
        <v>-118.69176754083939</v>
      </c>
      <c r="U529" t="s">
        <v>95</v>
      </c>
      <c r="V529">
        <v>18078</v>
      </c>
      <c r="W529" t="s">
        <v>194</v>
      </c>
      <c r="X529">
        <v>298</v>
      </c>
      <c r="Y529" t="s">
        <v>103</v>
      </c>
      <c r="Z529">
        <v>-69.7</v>
      </c>
      <c r="AA529" t="s">
        <v>95</v>
      </c>
      <c r="AB529">
        <f t="shared" si="76"/>
        <v>-127.48161621814904</v>
      </c>
      <c r="AC529" t="s">
        <v>93</v>
      </c>
      <c r="AD529">
        <v>2.2000000000000002</v>
      </c>
      <c r="AE529" t="s">
        <v>95</v>
      </c>
      <c r="AF529" t="s">
        <v>93</v>
      </c>
      <c r="BF529">
        <v>0.75</v>
      </c>
      <c r="BP529">
        <v>0.25</v>
      </c>
      <c r="CR529">
        <f t="shared" si="77"/>
        <v>-117.64423791325214</v>
      </c>
      <c r="CS529">
        <f t="shared" si="78"/>
        <v>-118.69176754083939</v>
      </c>
      <c r="CT529">
        <f t="shared" si="79"/>
        <v>-127.48161621814904</v>
      </c>
      <c r="CU529" s="7">
        <f t="shared" si="80"/>
        <v>-121.27254055741354</v>
      </c>
      <c r="CV529" s="9">
        <f t="shared" si="81"/>
        <v>546.74549999999999</v>
      </c>
      <c r="CW529" t="str">
        <f t="shared" si="73"/>
        <v>URh3</v>
      </c>
    </row>
    <row r="530" spans="1:101" ht="15.75" thickBot="1" x14ac:dyDescent="0.3">
      <c r="A530" t="s">
        <v>91</v>
      </c>
      <c r="B530" t="s">
        <v>93</v>
      </c>
      <c r="C530" t="s">
        <v>3144</v>
      </c>
      <c r="E530" t="s">
        <v>3145</v>
      </c>
      <c r="F530" t="s">
        <v>93</v>
      </c>
      <c r="G530" t="s">
        <v>296</v>
      </c>
      <c r="H530">
        <v>533.07924000000003</v>
      </c>
      <c r="I530">
        <v>107</v>
      </c>
      <c r="M530">
        <f t="shared" si="74"/>
        <v>0</v>
      </c>
      <c r="O530" t="s">
        <v>93</v>
      </c>
      <c r="P530" t="s">
        <v>93</v>
      </c>
      <c r="T530">
        <f t="shared" si="75"/>
        <v>0</v>
      </c>
      <c r="V530" t="s">
        <v>93</v>
      </c>
      <c r="W530" t="s">
        <v>297</v>
      </c>
      <c r="X530">
        <v>298</v>
      </c>
      <c r="Y530" t="s">
        <v>298</v>
      </c>
      <c r="Z530">
        <v>-64.569999999999993</v>
      </c>
      <c r="AA530" t="s">
        <v>95</v>
      </c>
      <c r="AB530">
        <f t="shared" si="76"/>
        <v>-121.12645767259666</v>
      </c>
      <c r="AC530" t="s">
        <v>93</v>
      </c>
      <c r="AD530">
        <v>2.23</v>
      </c>
      <c r="AE530" t="s">
        <v>95</v>
      </c>
      <c r="AF530" t="s">
        <v>93</v>
      </c>
      <c r="AH530" t="s">
        <v>93</v>
      </c>
      <c r="AI530" t="s">
        <v>93</v>
      </c>
      <c r="AJ530" t="s">
        <v>93</v>
      </c>
      <c r="AK530" t="s">
        <v>93</v>
      </c>
      <c r="AR530">
        <v>0.6</v>
      </c>
      <c r="AS530">
        <v>0.3</v>
      </c>
      <c r="AY530">
        <v>0.1</v>
      </c>
      <c r="CR530">
        <f t="shared" si="77"/>
        <v>0</v>
      </c>
      <c r="CS530">
        <f t="shared" si="78"/>
        <v>0</v>
      </c>
      <c r="CT530">
        <f t="shared" si="79"/>
        <v>-121.12645767259666</v>
      </c>
      <c r="CU530" s="7">
        <f t="shared" si="80"/>
        <v>-121.12645767259666</v>
      </c>
      <c r="CV530" s="9">
        <f t="shared" si="81"/>
        <v>533.07924000000003</v>
      </c>
      <c r="CW530" t="str">
        <f t="shared" si="73"/>
        <v>Al6Ni3Pt</v>
      </c>
    </row>
    <row r="531" spans="1:101" ht="15.75" thickBot="1" x14ac:dyDescent="0.3">
      <c r="A531" t="s">
        <v>91</v>
      </c>
      <c r="B531" t="s">
        <v>2358</v>
      </c>
      <c r="C531" t="s">
        <v>3144</v>
      </c>
      <c r="E531" t="s">
        <v>3145</v>
      </c>
      <c r="F531" t="s">
        <v>93</v>
      </c>
      <c r="G531" t="s">
        <v>2359</v>
      </c>
      <c r="H531">
        <v>280.026399999999</v>
      </c>
      <c r="I531">
        <v>958</v>
      </c>
      <c r="J531">
        <v>0.84622982000000002</v>
      </c>
      <c r="K531" t="s">
        <v>95</v>
      </c>
      <c r="L531">
        <v>-32.130163160000002</v>
      </c>
      <c r="M531">
        <f t="shared" si="74"/>
        <v>-114.7397643936433</v>
      </c>
      <c r="N531" t="s">
        <v>95</v>
      </c>
      <c r="O531" t="s">
        <v>2360</v>
      </c>
      <c r="P531" t="s">
        <v>121</v>
      </c>
      <c r="Q531">
        <v>0.54302399999999995</v>
      </c>
      <c r="R531" t="s">
        <v>95</v>
      </c>
      <c r="S531">
        <v>-33.448764850000003</v>
      </c>
      <c r="T531">
        <f t="shared" si="75"/>
        <v>-119.44861216656759</v>
      </c>
      <c r="U531" t="s">
        <v>95</v>
      </c>
      <c r="V531">
        <v>30304</v>
      </c>
      <c r="W531" t="s">
        <v>184</v>
      </c>
      <c r="X531">
        <v>298</v>
      </c>
      <c r="Y531" t="s">
        <v>185</v>
      </c>
      <c r="Z531">
        <v>-35.9</v>
      </c>
      <c r="AA531" t="s">
        <v>95</v>
      </c>
      <c r="AB531">
        <f t="shared" si="76"/>
        <v>-128.20219807846735</v>
      </c>
      <c r="AC531" t="s">
        <v>93</v>
      </c>
      <c r="AD531">
        <v>3</v>
      </c>
      <c r="AE531" t="s">
        <v>95</v>
      </c>
      <c r="AF531" t="s">
        <v>93</v>
      </c>
      <c r="AS531">
        <v>0.5</v>
      </c>
      <c r="AU531">
        <v>0.25</v>
      </c>
      <c r="BY531">
        <v>0.25</v>
      </c>
      <c r="CR531">
        <f t="shared" si="77"/>
        <v>-114.7397643936433</v>
      </c>
      <c r="CS531">
        <f t="shared" si="78"/>
        <v>-119.44861216656759</v>
      </c>
      <c r="CT531">
        <f t="shared" si="79"/>
        <v>-128.20219807846735</v>
      </c>
      <c r="CU531" s="7">
        <f t="shared" si="80"/>
        <v>-120.79685821289274</v>
      </c>
      <c r="CV531" s="9">
        <f t="shared" si="81"/>
        <v>280.026399999999</v>
      </c>
      <c r="CW531" t="str">
        <f t="shared" si="73"/>
        <v>NbGaNi2</v>
      </c>
    </row>
    <row r="532" spans="1:101" ht="15.75" thickBot="1" x14ac:dyDescent="0.3">
      <c r="A532" t="s">
        <v>91</v>
      </c>
      <c r="B532" t="s">
        <v>957</v>
      </c>
      <c r="C532" t="s">
        <v>3144</v>
      </c>
      <c r="E532" t="s">
        <v>3145</v>
      </c>
      <c r="F532" t="s">
        <v>93</v>
      </c>
      <c r="G532" t="s">
        <v>958</v>
      </c>
      <c r="H532">
        <v>754.20420000000001</v>
      </c>
      <c r="I532">
        <v>382</v>
      </c>
      <c r="M532">
        <f t="shared" si="74"/>
        <v>0</v>
      </c>
      <c r="O532" t="s">
        <v>93</v>
      </c>
      <c r="P532" t="s">
        <v>93</v>
      </c>
      <c r="T532">
        <f t="shared" si="75"/>
        <v>0</v>
      </c>
      <c r="V532" t="s">
        <v>93</v>
      </c>
      <c r="W532" t="s">
        <v>93</v>
      </c>
      <c r="X532">
        <v>298</v>
      </c>
      <c r="Y532" t="s">
        <v>93</v>
      </c>
      <c r="Z532">
        <v>-91.1</v>
      </c>
      <c r="AA532" t="s">
        <v>95</v>
      </c>
      <c r="AB532">
        <f t="shared" si="76"/>
        <v>-120.7895686605829</v>
      </c>
      <c r="AC532" t="s">
        <v>93</v>
      </c>
      <c r="AD532">
        <v>2.1</v>
      </c>
      <c r="AE532" t="s">
        <v>95</v>
      </c>
      <c r="AF532" t="s">
        <v>93</v>
      </c>
      <c r="AH532" t="s">
        <v>93</v>
      </c>
      <c r="AI532" t="s">
        <v>93</v>
      </c>
      <c r="AJ532" t="s">
        <v>93</v>
      </c>
      <c r="AK532" t="s">
        <v>93</v>
      </c>
      <c r="AY532">
        <v>0.75</v>
      </c>
      <c r="BO532">
        <v>0.25</v>
      </c>
      <c r="CR532">
        <f t="shared" si="77"/>
        <v>0</v>
      </c>
      <c r="CS532">
        <f t="shared" si="78"/>
        <v>0</v>
      </c>
      <c r="CT532">
        <f t="shared" si="79"/>
        <v>-120.7895686605829</v>
      </c>
      <c r="CU532" s="7">
        <f t="shared" si="80"/>
        <v>-120.7895686605829</v>
      </c>
      <c r="CV532" s="9">
        <f t="shared" si="81"/>
        <v>754.20420000000001</v>
      </c>
      <c r="CW532" t="str">
        <f t="shared" si="73"/>
        <v>Pt3Tm</v>
      </c>
    </row>
    <row r="533" spans="1:101" ht="15.75" thickBot="1" x14ac:dyDescent="0.3">
      <c r="A533" t="s">
        <v>91</v>
      </c>
      <c r="B533" t="s">
        <v>93</v>
      </c>
      <c r="C533" t="s">
        <v>3144</v>
      </c>
      <c r="E533" t="s">
        <v>3145</v>
      </c>
      <c r="F533" t="s">
        <v>93</v>
      </c>
      <c r="G533" t="s">
        <v>290</v>
      </c>
      <c r="H533">
        <v>564.79769999999996</v>
      </c>
      <c r="I533">
        <v>101</v>
      </c>
      <c r="M533">
        <f t="shared" si="74"/>
        <v>0</v>
      </c>
      <c r="O533" t="s">
        <v>93</v>
      </c>
      <c r="P533" t="s">
        <v>93</v>
      </c>
      <c r="T533">
        <f t="shared" si="75"/>
        <v>0</v>
      </c>
      <c r="V533" t="s">
        <v>93</v>
      </c>
      <c r="W533" t="s">
        <v>102</v>
      </c>
      <c r="X533">
        <v>298</v>
      </c>
      <c r="Y533" t="s">
        <v>103</v>
      </c>
      <c r="Z533">
        <v>-67.91</v>
      </c>
      <c r="AA533" t="s">
        <v>95</v>
      </c>
      <c r="AB533">
        <f t="shared" si="76"/>
        <v>-120.23774176134216</v>
      </c>
      <c r="AC533" t="s">
        <v>93</v>
      </c>
      <c r="AD533">
        <v>1.93</v>
      </c>
      <c r="AE533" t="s">
        <v>95</v>
      </c>
      <c r="AF533" t="s">
        <v>93</v>
      </c>
      <c r="AH533" t="s">
        <v>93</v>
      </c>
      <c r="AI533" t="s">
        <v>93</v>
      </c>
      <c r="AJ533" t="s">
        <v>93</v>
      </c>
      <c r="AK533" t="s">
        <v>93</v>
      </c>
      <c r="AR533">
        <v>0.5</v>
      </c>
      <c r="AS533">
        <v>0.4</v>
      </c>
      <c r="AY533">
        <v>0.1</v>
      </c>
      <c r="CR533">
        <f t="shared" si="77"/>
        <v>0</v>
      </c>
      <c r="CS533">
        <f t="shared" si="78"/>
        <v>0</v>
      </c>
      <c r="CT533">
        <f t="shared" si="79"/>
        <v>-120.23774176134216</v>
      </c>
      <c r="CU533" s="7">
        <f t="shared" si="80"/>
        <v>-120.23774176134216</v>
      </c>
      <c r="CV533" s="9">
        <f t="shared" si="81"/>
        <v>564.79769999999996</v>
      </c>
      <c r="CW533" t="str">
        <f t="shared" si="73"/>
        <v>Al5Ni4Pt</v>
      </c>
    </row>
    <row r="534" spans="1:101" ht="15.75" thickBot="1" x14ac:dyDescent="0.3">
      <c r="A534" t="s">
        <v>91</v>
      </c>
      <c r="B534" t="s">
        <v>1768</v>
      </c>
      <c r="C534" t="s">
        <v>3144</v>
      </c>
      <c r="E534" t="s">
        <v>3145</v>
      </c>
      <c r="F534" t="s">
        <v>93</v>
      </c>
      <c r="G534" t="s">
        <v>1769</v>
      </c>
      <c r="H534">
        <v>345.044499999999</v>
      </c>
      <c r="I534">
        <v>675</v>
      </c>
      <c r="J534">
        <v>0</v>
      </c>
      <c r="K534" t="s">
        <v>95</v>
      </c>
      <c r="L534">
        <v>-47.365317849999997</v>
      </c>
      <c r="M534">
        <f t="shared" si="74"/>
        <v>-137.27307014022867</v>
      </c>
      <c r="N534" t="s">
        <v>95</v>
      </c>
      <c r="O534" t="s">
        <v>1770</v>
      </c>
      <c r="P534" t="s">
        <v>121</v>
      </c>
      <c r="Q534">
        <v>0</v>
      </c>
      <c r="R534" t="s">
        <v>95</v>
      </c>
      <c r="S534">
        <v>-47.584400170000002</v>
      </c>
      <c r="T534">
        <f t="shared" si="75"/>
        <v>-137.9080094596498</v>
      </c>
      <c r="U534" t="s">
        <v>95</v>
      </c>
      <c r="V534">
        <v>17532</v>
      </c>
      <c r="W534" t="s">
        <v>391</v>
      </c>
      <c r="X534">
        <v>298</v>
      </c>
      <c r="Y534" t="s">
        <v>392</v>
      </c>
      <c r="Z534">
        <v>-29.4</v>
      </c>
      <c r="AA534" t="s">
        <v>95</v>
      </c>
      <c r="AB534">
        <f t="shared" si="76"/>
        <v>-85.206400913505604</v>
      </c>
      <c r="AC534" t="s">
        <v>93</v>
      </c>
      <c r="AD534">
        <v>2.1</v>
      </c>
      <c r="AE534" t="s">
        <v>95</v>
      </c>
      <c r="AF534" t="s">
        <v>93</v>
      </c>
      <c r="BB534">
        <v>0.25</v>
      </c>
      <c r="BD534">
        <v>0.75</v>
      </c>
      <c r="CR534">
        <f t="shared" si="77"/>
        <v>-137.27307014022867</v>
      </c>
      <c r="CS534">
        <f t="shared" si="78"/>
        <v>-137.9080094596498</v>
      </c>
      <c r="CT534">
        <f t="shared" si="79"/>
        <v>-85.206400913505604</v>
      </c>
      <c r="CU534" s="7">
        <f t="shared" si="80"/>
        <v>-120.12916017112802</v>
      </c>
      <c r="CV534" s="9">
        <f t="shared" si="81"/>
        <v>345.044499999999</v>
      </c>
      <c r="CW534" t="str">
        <f t="shared" si="73"/>
        <v>V3Ir</v>
      </c>
    </row>
    <row r="535" spans="1:101" ht="15.75" thickBot="1" x14ac:dyDescent="0.3">
      <c r="A535" t="s">
        <v>91</v>
      </c>
      <c r="B535" t="s">
        <v>1334</v>
      </c>
      <c r="C535" t="s">
        <v>3144</v>
      </c>
      <c r="E535" t="s">
        <v>3145</v>
      </c>
      <c r="F535" t="s">
        <v>93</v>
      </c>
      <c r="G535" t="s">
        <v>1335</v>
      </c>
      <c r="H535">
        <v>162.92749999999899</v>
      </c>
      <c r="I535">
        <v>519</v>
      </c>
      <c r="J535">
        <v>0</v>
      </c>
      <c r="K535" t="s">
        <v>95</v>
      </c>
      <c r="L535">
        <v>-15.62836808</v>
      </c>
      <c r="M535">
        <f t="shared" si="74"/>
        <v>-95.922223565696996</v>
      </c>
      <c r="N535" t="s">
        <v>95</v>
      </c>
      <c r="O535" t="s">
        <v>1336</v>
      </c>
      <c r="P535" t="s">
        <v>93</v>
      </c>
      <c r="Q535">
        <v>0</v>
      </c>
      <c r="R535" t="s">
        <v>95</v>
      </c>
      <c r="S535">
        <v>-15.80975591</v>
      </c>
      <c r="T535">
        <f t="shared" si="75"/>
        <v>-97.035527519909763</v>
      </c>
      <c r="U535" t="s">
        <v>95</v>
      </c>
      <c r="V535">
        <v>5051</v>
      </c>
      <c r="W535" t="s">
        <v>97</v>
      </c>
      <c r="X535">
        <v>298</v>
      </c>
      <c r="Y535" t="s">
        <v>98</v>
      </c>
      <c r="Z535">
        <v>-27.2</v>
      </c>
      <c r="AA535" t="s">
        <v>95</v>
      </c>
      <c r="AB535">
        <f t="shared" si="76"/>
        <v>-166.94542050912318</v>
      </c>
      <c r="AC535" t="s">
        <v>93</v>
      </c>
      <c r="AD535">
        <v>1.4</v>
      </c>
      <c r="AE535" t="s">
        <v>95</v>
      </c>
      <c r="AF535" t="s">
        <v>93</v>
      </c>
      <c r="AL535">
        <v>0.33</v>
      </c>
      <c r="BU535">
        <v>0.66</v>
      </c>
      <c r="CR535">
        <f t="shared" si="77"/>
        <v>-95.922223565696996</v>
      </c>
      <c r="CS535">
        <f t="shared" si="78"/>
        <v>-97.035527519909763</v>
      </c>
      <c r="CT535">
        <f t="shared" si="79"/>
        <v>-166.94542050912318</v>
      </c>
      <c r="CU535" s="7">
        <f t="shared" si="80"/>
        <v>-119.96772386490998</v>
      </c>
      <c r="CV535" s="9">
        <f t="shared" si="81"/>
        <v>162.92749999999899</v>
      </c>
      <c r="CW535" t="str">
        <f t="shared" si="73"/>
        <v>LaC2</v>
      </c>
    </row>
    <row r="536" spans="1:101" ht="15.75" thickBot="1" x14ac:dyDescent="0.3">
      <c r="A536" t="s">
        <v>91</v>
      </c>
      <c r="B536" t="s">
        <v>93</v>
      </c>
      <c r="C536" t="s">
        <v>3144</v>
      </c>
      <c r="E536" t="s">
        <v>3145</v>
      </c>
      <c r="F536" t="s">
        <v>93</v>
      </c>
      <c r="G536" t="s">
        <v>238</v>
      </c>
      <c r="H536">
        <v>513.14769999999999</v>
      </c>
      <c r="I536">
        <v>61</v>
      </c>
      <c r="M536">
        <f t="shared" si="74"/>
        <v>0</v>
      </c>
      <c r="O536" t="s">
        <v>93</v>
      </c>
      <c r="P536" t="s">
        <v>93</v>
      </c>
      <c r="T536">
        <f t="shared" si="75"/>
        <v>0</v>
      </c>
      <c r="V536" t="s">
        <v>93</v>
      </c>
      <c r="W536" t="s">
        <v>102</v>
      </c>
      <c r="X536">
        <v>298</v>
      </c>
      <c r="Y536" t="s">
        <v>103</v>
      </c>
      <c r="Z536">
        <v>-61.5</v>
      </c>
      <c r="AA536" t="s">
        <v>95</v>
      </c>
      <c r="AB536">
        <f t="shared" si="76"/>
        <v>-119.84853483704595</v>
      </c>
      <c r="AC536" t="s">
        <v>93</v>
      </c>
      <c r="AD536">
        <v>1.1000000000000001</v>
      </c>
      <c r="AE536" t="s">
        <v>95</v>
      </c>
      <c r="AF536" t="s">
        <v>93</v>
      </c>
      <c r="AH536" t="s">
        <v>93</v>
      </c>
      <c r="AI536" t="s">
        <v>93</v>
      </c>
      <c r="AJ536" t="s">
        <v>93</v>
      </c>
      <c r="AK536" t="s">
        <v>93</v>
      </c>
      <c r="AR536">
        <v>0.5</v>
      </c>
      <c r="AS536">
        <v>0.3</v>
      </c>
      <c r="AV536">
        <v>0.2</v>
      </c>
      <c r="CR536">
        <f t="shared" si="77"/>
        <v>0</v>
      </c>
      <c r="CS536">
        <f t="shared" si="78"/>
        <v>0</v>
      </c>
      <c r="CT536">
        <f t="shared" si="79"/>
        <v>-119.84853483704595</v>
      </c>
      <c r="CU536" s="7">
        <f t="shared" si="80"/>
        <v>-119.84853483704595</v>
      </c>
      <c r="CV536" s="9">
        <f t="shared" si="81"/>
        <v>513.14769999999999</v>
      </c>
      <c r="CW536" t="str">
        <f t="shared" si="73"/>
        <v>Al5Ni3Ru2</v>
      </c>
    </row>
    <row r="537" spans="1:101" ht="15.75" thickBot="1" x14ac:dyDescent="0.3">
      <c r="A537" t="s">
        <v>91</v>
      </c>
      <c r="B537" t="s">
        <v>93</v>
      </c>
      <c r="C537" t="s">
        <v>3144</v>
      </c>
      <c r="E537" t="s">
        <v>3145</v>
      </c>
      <c r="F537" t="s">
        <v>93</v>
      </c>
      <c r="G537" t="s">
        <v>245</v>
      </c>
      <c r="H537">
        <v>429.340499999999</v>
      </c>
      <c r="I537">
        <v>68</v>
      </c>
      <c r="M537">
        <f t="shared" si="74"/>
        <v>0</v>
      </c>
      <c r="O537" t="s">
        <v>93</v>
      </c>
      <c r="P537" t="s">
        <v>93</v>
      </c>
      <c r="T537">
        <f t="shared" si="75"/>
        <v>0</v>
      </c>
      <c r="V537" t="s">
        <v>93</v>
      </c>
      <c r="W537" t="s">
        <v>102</v>
      </c>
      <c r="X537">
        <v>298</v>
      </c>
      <c r="Y537" t="s">
        <v>103</v>
      </c>
      <c r="Z537">
        <v>-51.18</v>
      </c>
      <c r="AA537" t="s">
        <v>95</v>
      </c>
      <c r="AB537">
        <f t="shared" si="76"/>
        <v>-119.20608468104017</v>
      </c>
      <c r="AC537" t="s">
        <v>93</v>
      </c>
      <c r="AD537">
        <v>0.84</v>
      </c>
      <c r="AE537" t="s">
        <v>95</v>
      </c>
      <c r="AF537" t="s">
        <v>93</v>
      </c>
      <c r="AH537" t="s">
        <v>93</v>
      </c>
      <c r="AI537" t="s">
        <v>93</v>
      </c>
      <c r="AJ537" t="s">
        <v>93</v>
      </c>
      <c r="AK537" t="s">
        <v>93</v>
      </c>
      <c r="AR537">
        <v>0.5</v>
      </c>
      <c r="AS537">
        <v>0.1</v>
      </c>
      <c r="AW537">
        <v>0.4</v>
      </c>
      <c r="CR537">
        <f t="shared" si="77"/>
        <v>0</v>
      </c>
      <c r="CS537">
        <f t="shared" si="78"/>
        <v>0</v>
      </c>
      <c r="CT537">
        <f t="shared" si="79"/>
        <v>-119.20608468104017</v>
      </c>
      <c r="CU537" s="7">
        <f t="shared" si="80"/>
        <v>-119.20608468104017</v>
      </c>
      <c r="CV537" s="9">
        <f t="shared" si="81"/>
        <v>429.340499999999</v>
      </c>
      <c r="CW537" t="str">
        <f t="shared" si="73"/>
        <v>Al5Co4Ni</v>
      </c>
    </row>
    <row r="538" spans="1:101" ht="15.75" thickBot="1" x14ac:dyDescent="0.3">
      <c r="A538" t="s">
        <v>91</v>
      </c>
      <c r="B538" t="s">
        <v>2049</v>
      </c>
      <c r="C538" t="s">
        <v>3144</v>
      </c>
      <c r="E538" t="s">
        <v>3145</v>
      </c>
      <c r="F538" t="s">
        <v>93</v>
      </c>
      <c r="G538" t="s">
        <v>2050</v>
      </c>
      <c r="H538">
        <v>333.84607999999997</v>
      </c>
      <c r="I538">
        <v>809</v>
      </c>
      <c r="J538">
        <v>0.91846083999999995</v>
      </c>
      <c r="K538" t="s">
        <v>95</v>
      </c>
      <c r="L538">
        <v>-41.507890089999997</v>
      </c>
      <c r="M538">
        <f t="shared" si="74"/>
        <v>-124.3324171726084</v>
      </c>
      <c r="N538" t="s">
        <v>95</v>
      </c>
      <c r="O538" t="s">
        <v>2051</v>
      </c>
      <c r="P538" t="s">
        <v>93</v>
      </c>
      <c r="Q538">
        <v>0.66364374000000004</v>
      </c>
      <c r="R538" t="s">
        <v>95</v>
      </c>
      <c r="S538">
        <v>-41.779533839999999</v>
      </c>
      <c r="T538">
        <f t="shared" si="75"/>
        <v>-125.1460967880767</v>
      </c>
      <c r="U538" t="s">
        <v>95</v>
      </c>
      <c r="V538">
        <v>14987</v>
      </c>
      <c r="W538" t="s">
        <v>2052</v>
      </c>
      <c r="X538">
        <v>298</v>
      </c>
      <c r="Y538" t="s">
        <v>147</v>
      </c>
      <c r="Z538">
        <v>-35.85</v>
      </c>
      <c r="AA538" t="s">
        <v>95</v>
      </c>
      <c r="AB538">
        <f t="shared" si="76"/>
        <v>-107.38481638005156</v>
      </c>
      <c r="AC538" t="s">
        <v>93</v>
      </c>
      <c r="AD538">
        <v>1.8</v>
      </c>
      <c r="AE538" t="s">
        <v>95</v>
      </c>
      <c r="AF538" t="s">
        <v>93</v>
      </c>
      <c r="AR538">
        <v>0.22220000000000001</v>
      </c>
      <c r="AT538">
        <v>0.33329999999999999</v>
      </c>
      <c r="BX538">
        <v>0.44440000000000002</v>
      </c>
      <c r="CR538">
        <f t="shared" si="77"/>
        <v>-124.3324171726084</v>
      </c>
      <c r="CS538">
        <f t="shared" si="78"/>
        <v>-125.1460967880767</v>
      </c>
      <c r="CT538">
        <f t="shared" si="79"/>
        <v>-107.38481638005156</v>
      </c>
      <c r="CU538" s="7">
        <f t="shared" si="80"/>
        <v>-118.95444344691224</v>
      </c>
      <c r="CV538" s="9">
        <f t="shared" si="81"/>
        <v>333.84607999999997</v>
      </c>
      <c r="CW538" t="str">
        <f t="shared" si="73"/>
        <v>Al2Fe3Si4</v>
      </c>
    </row>
    <row r="539" spans="1:101" ht="15.75" thickBot="1" x14ac:dyDescent="0.3">
      <c r="A539" t="s">
        <v>91</v>
      </c>
      <c r="B539" t="s">
        <v>93</v>
      </c>
      <c r="C539" t="s">
        <v>3144</v>
      </c>
      <c r="E539" t="s">
        <v>3145</v>
      </c>
      <c r="F539" t="s">
        <v>93</v>
      </c>
      <c r="G539" t="s">
        <v>237</v>
      </c>
      <c r="H539">
        <v>470.77769999999998</v>
      </c>
      <c r="I539">
        <v>60</v>
      </c>
      <c r="M539">
        <f t="shared" si="74"/>
        <v>0</v>
      </c>
      <c r="O539" t="s">
        <v>93</v>
      </c>
      <c r="P539" t="s">
        <v>93</v>
      </c>
      <c r="T539">
        <f t="shared" si="75"/>
        <v>0</v>
      </c>
      <c r="V539" t="s">
        <v>93</v>
      </c>
      <c r="W539" t="s">
        <v>102</v>
      </c>
      <c r="X539">
        <v>298</v>
      </c>
      <c r="Y539" t="s">
        <v>103</v>
      </c>
      <c r="Z539">
        <v>-55.9</v>
      </c>
      <c r="AA539" t="s">
        <v>95</v>
      </c>
      <c r="AB539">
        <f t="shared" si="76"/>
        <v>-118.73969391498365</v>
      </c>
      <c r="AC539" t="s">
        <v>93</v>
      </c>
      <c r="AD539">
        <v>2.1</v>
      </c>
      <c r="AE539" t="s">
        <v>95</v>
      </c>
      <c r="AF539" t="s">
        <v>93</v>
      </c>
      <c r="AH539" t="s">
        <v>93</v>
      </c>
      <c r="AI539" t="s">
        <v>93</v>
      </c>
      <c r="AJ539" t="s">
        <v>93</v>
      </c>
      <c r="AK539" t="s">
        <v>93</v>
      </c>
      <c r="AR539">
        <v>0.5</v>
      </c>
      <c r="AS539">
        <v>0.4</v>
      </c>
      <c r="AV539">
        <v>0.1</v>
      </c>
      <c r="CR539">
        <f t="shared" si="77"/>
        <v>0</v>
      </c>
      <c r="CS539">
        <f t="shared" si="78"/>
        <v>0</v>
      </c>
      <c r="CT539">
        <f t="shared" si="79"/>
        <v>-118.73969391498365</v>
      </c>
      <c r="CU539" s="7">
        <f t="shared" si="80"/>
        <v>-118.73969391498365</v>
      </c>
      <c r="CV539" s="9">
        <f t="shared" si="81"/>
        <v>470.77769999999998</v>
      </c>
      <c r="CW539" t="str">
        <f t="shared" si="73"/>
        <v>Al5Ni4Ru</v>
      </c>
    </row>
    <row r="540" spans="1:101" ht="15.75" thickBot="1" x14ac:dyDescent="0.3">
      <c r="A540" t="s">
        <v>91</v>
      </c>
      <c r="B540" t="s">
        <v>1322</v>
      </c>
      <c r="C540" t="s">
        <v>3144</v>
      </c>
      <c r="E540" t="s">
        <v>3145</v>
      </c>
      <c r="F540" t="s">
        <v>93</v>
      </c>
      <c r="G540" t="s">
        <v>1323</v>
      </c>
      <c r="H540">
        <v>186.52199999999999</v>
      </c>
      <c r="I540">
        <v>515</v>
      </c>
      <c r="J540">
        <v>2.6465323399999998</v>
      </c>
      <c r="K540" t="s">
        <v>95</v>
      </c>
      <c r="L540">
        <v>-18.632062659999999</v>
      </c>
      <c r="M540">
        <f t="shared" si="74"/>
        <v>-99.892037722091757</v>
      </c>
      <c r="N540" t="s">
        <v>95</v>
      </c>
      <c r="O540" t="s">
        <v>1324</v>
      </c>
      <c r="P540" t="s">
        <v>93</v>
      </c>
      <c r="Q540">
        <v>2.5510401699999998</v>
      </c>
      <c r="R540" t="s">
        <v>95</v>
      </c>
      <c r="S540">
        <v>-19.033961659999999</v>
      </c>
      <c r="T540">
        <f t="shared" si="75"/>
        <v>-102.04673797192824</v>
      </c>
      <c r="U540" t="s">
        <v>95</v>
      </c>
      <c r="V540">
        <v>7901</v>
      </c>
      <c r="W540" t="s">
        <v>97</v>
      </c>
      <c r="X540">
        <v>298</v>
      </c>
      <c r="Y540" t="s">
        <v>98</v>
      </c>
      <c r="Z540">
        <v>-28.6</v>
      </c>
      <c r="AA540" t="s">
        <v>95</v>
      </c>
      <c r="AB540">
        <f t="shared" si="76"/>
        <v>-153.33311888141881</v>
      </c>
      <c r="AC540" t="s">
        <v>93</v>
      </c>
      <c r="AD540">
        <v>2</v>
      </c>
      <c r="AE540" t="s">
        <v>95</v>
      </c>
      <c r="AF540" t="s">
        <v>93</v>
      </c>
      <c r="BG540">
        <v>0.33</v>
      </c>
      <c r="BU540">
        <v>0.66</v>
      </c>
      <c r="CR540">
        <f t="shared" si="77"/>
        <v>-99.892037722091757</v>
      </c>
      <c r="CS540">
        <f t="shared" si="78"/>
        <v>-102.04673797192824</v>
      </c>
      <c r="CT540">
        <f t="shared" si="79"/>
        <v>-153.33311888141881</v>
      </c>
      <c r="CU540" s="7">
        <f t="shared" si="80"/>
        <v>-118.42396485847961</v>
      </c>
      <c r="CV540" s="9">
        <f t="shared" si="81"/>
        <v>186.52199999999999</v>
      </c>
      <c r="CW540" t="str">
        <f t="shared" si="73"/>
        <v>DyC2</v>
      </c>
    </row>
    <row r="541" spans="1:101" ht="15.75" thickBot="1" x14ac:dyDescent="0.3">
      <c r="A541" t="s">
        <v>91</v>
      </c>
      <c r="B541" t="s">
        <v>2443</v>
      </c>
      <c r="C541" t="s">
        <v>3144</v>
      </c>
      <c r="E541" t="s">
        <v>3145</v>
      </c>
      <c r="F541" t="s">
        <v>93</v>
      </c>
      <c r="G541" t="s">
        <v>2444</v>
      </c>
      <c r="H541">
        <v>197.60874000000001</v>
      </c>
      <c r="I541">
        <v>991</v>
      </c>
      <c r="M541">
        <f t="shared" si="74"/>
        <v>0</v>
      </c>
      <c r="O541" t="s">
        <v>93</v>
      </c>
      <c r="P541" t="s">
        <v>93</v>
      </c>
      <c r="T541">
        <f t="shared" si="75"/>
        <v>0</v>
      </c>
      <c r="V541" t="s">
        <v>93</v>
      </c>
      <c r="W541" t="s">
        <v>102</v>
      </c>
      <c r="X541">
        <v>298</v>
      </c>
      <c r="Y541" t="s">
        <v>103</v>
      </c>
      <c r="Z541">
        <v>-23.4</v>
      </c>
      <c r="AA541" t="s">
        <v>95</v>
      </c>
      <c r="AB541">
        <f t="shared" si="76"/>
        <v>-118.41581500899198</v>
      </c>
      <c r="AC541" t="s">
        <v>93</v>
      </c>
      <c r="AD541">
        <v>2.2000000000000002</v>
      </c>
      <c r="AE541" t="s">
        <v>95</v>
      </c>
      <c r="AF541" t="s">
        <v>93</v>
      </c>
      <c r="AH541" t="s">
        <v>93</v>
      </c>
      <c r="AI541" t="s">
        <v>93</v>
      </c>
      <c r="AJ541" t="s">
        <v>93</v>
      </c>
      <c r="AK541" t="s">
        <v>93</v>
      </c>
      <c r="AR541">
        <v>0.25</v>
      </c>
      <c r="AT541">
        <v>0.5</v>
      </c>
      <c r="AW541">
        <v>0.25</v>
      </c>
      <c r="CR541">
        <f t="shared" si="77"/>
        <v>0</v>
      </c>
      <c r="CS541">
        <f t="shared" si="78"/>
        <v>0</v>
      </c>
      <c r="CT541">
        <f t="shared" si="79"/>
        <v>-118.41581500899198</v>
      </c>
      <c r="CU541" s="7">
        <f t="shared" si="80"/>
        <v>-118.41581500899198</v>
      </c>
      <c r="CV541" s="9">
        <f t="shared" si="81"/>
        <v>197.60874000000001</v>
      </c>
      <c r="CW541" t="str">
        <f t="shared" si="73"/>
        <v>Fe2CoAl</v>
      </c>
    </row>
    <row r="542" spans="1:101" ht="15.75" thickBot="1" x14ac:dyDescent="0.3">
      <c r="A542" t="s">
        <v>91</v>
      </c>
      <c r="B542" t="s">
        <v>1522</v>
      </c>
      <c r="C542" t="s">
        <v>3144</v>
      </c>
      <c r="E542" t="s">
        <v>3145</v>
      </c>
      <c r="F542" t="s">
        <v>93</v>
      </c>
      <c r="G542" t="s">
        <v>1523</v>
      </c>
      <c r="H542">
        <v>548.7885</v>
      </c>
      <c r="I542">
        <v>584</v>
      </c>
      <c r="J542">
        <v>0</v>
      </c>
      <c r="K542" t="s">
        <v>95</v>
      </c>
      <c r="L542">
        <v>-64.255663389999995</v>
      </c>
      <c r="M542">
        <f t="shared" si="74"/>
        <v>-117.08638827162011</v>
      </c>
      <c r="N542" t="s">
        <v>95</v>
      </c>
      <c r="O542" t="s">
        <v>1524</v>
      </c>
      <c r="P542" t="s">
        <v>93</v>
      </c>
      <c r="Q542">
        <v>0</v>
      </c>
      <c r="R542" t="s">
        <v>95</v>
      </c>
      <c r="S542">
        <v>-65.593554510000004</v>
      </c>
      <c r="T542">
        <f t="shared" si="75"/>
        <v>-119.5242876080676</v>
      </c>
      <c r="U542" t="s">
        <v>95</v>
      </c>
      <c r="V542">
        <v>3572</v>
      </c>
      <c r="W542" t="s">
        <v>1362</v>
      </c>
      <c r="X542">
        <v>298</v>
      </c>
      <c r="Y542" t="s">
        <v>480</v>
      </c>
      <c r="Z542">
        <v>-64.599999999999994</v>
      </c>
      <c r="AA542" t="s">
        <v>95</v>
      </c>
      <c r="AB542">
        <f t="shared" si="76"/>
        <v>-117.71383693353631</v>
      </c>
      <c r="AC542" t="s">
        <v>93</v>
      </c>
      <c r="AD542">
        <v>2.4</v>
      </c>
      <c r="AE542" t="s">
        <v>95</v>
      </c>
      <c r="AF542" t="s">
        <v>93</v>
      </c>
      <c r="AU542">
        <v>0.625</v>
      </c>
      <c r="BX542">
        <v>0.375</v>
      </c>
      <c r="CR542">
        <f t="shared" si="77"/>
        <v>-117.08638827162011</v>
      </c>
      <c r="CS542">
        <f t="shared" si="78"/>
        <v>-119.5242876080676</v>
      </c>
      <c r="CT542">
        <f t="shared" si="79"/>
        <v>-117.71383693353631</v>
      </c>
      <c r="CU542" s="7">
        <f t="shared" si="80"/>
        <v>-118.10817093774135</v>
      </c>
      <c r="CV542" s="9">
        <f t="shared" si="81"/>
        <v>548.7885</v>
      </c>
      <c r="CW542" t="str">
        <f t="shared" si="73"/>
        <v>Nb5Si3</v>
      </c>
    </row>
    <row r="543" spans="1:101" ht="15.75" thickBot="1" x14ac:dyDescent="0.3">
      <c r="A543" t="s">
        <v>91</v>
      </c>
      <c r="B543" t="s">
        <v>396</v>
      </c>
      <c r="C543" t="s">
        <v>3144</v>
      </c>
      <c r="E543" t="s">
        <v>3145</v>
      </c>
      <c r="F543" t="s">
        <v>93</v>
      </c>
      <c r="G543" t="s">
        <v>397</v>
      </c>
      <c r="H543">
        <v>485.15300000000002</v>
      </c>
      <c r="I543">
        <v>164</v>
      </c>
      <c r="J543">
        <v>0</v>
      </c>
      <c r="K543" t="s">
        <v>95</v>
      </c>
      <c r="L543">
        <v>-55.431366390000001</v>
      </c>
      <c r="M543">
        <f t="shared" si="74"/>
        <v>-114.25543362609321</v>
      </c>
      <c r="N543" t="s">
        <v>95</v>
      </c>
      <c r="O543" t="s">
        <v>398</v>
      </c>
      <c r="P543" t="s">
        <v>93</v>
      </c>
      <c r="Q543">
        <v>0</v>
      </c>
      <c r="R543" t="s">
        <v>95</v>
      </c>
      <c r="S543">
        <v>-55.456734019999999</v>
      </c>
      <c r="T543">
        <f t="shared" si="75"/>
        <v>-114.30772152290102</v>
      </c>
      <c r="U543" t="s">
        <v>95</v>
      </c>
      <c r="V543">
        <v>28235</v>
      </c>
      <c r="W543" t="s">
        <v>97</v>
      </c>
      <c r="X543">
        <v>298</v>
      </c>
      <c r="Y543" t="s">
        <v>98</v>
      </c>
      <c r="Z543">
        <v>-61</v>
      </c>
      <c r="AA543" t="s">
        <v>95</v>
      </c>
      <c r="AB543">
        <f t="shared" si="76"/>
        <v>-125.7335314838824</v>
      </c>
      <c r="AC543" t="s">
        <v>93</v>
      </c>
      <c r="AD543">
        <v>2.34</v>
      </c>
      <c r="AE543" t="s">
        <v>95</v>
      </c>
      <c r="AF543" t="s">
        <v>93</v>
      </c>
      <c r="AP543">
        <v>0.33</v>
      </c>
      <c r="BC543">
        <v>0.66</v>
      </c>
      <c r="CR543">
        <f t="shared" si="77"/>
        <v>-114.25543362609321</v>
      </c>
      <c r="CS543">
        <f t="shared" si="78"/>
        <v>-114.30772152290102</v>
      </c>
      <c r="CT543">
        <f t="shared" si="79"/>
        <v>-125.7335314838824</v>
      </c>
      <c r="CU543" s="7">
        <f t="shared" si="80"/>
        <v>-118.0988955442922</v>
      </c>
      <c r="CV543" s="9">
        <f t="shared" si="81"/>
        <v>485.15300000000002</v>
      </c>
      <c r="CW543" t="str">
        <f t="shared" si="73"/>
        <v>ZrAu2</v>
      </c>
    </row>
    <row r="544" spans="1:101" ht="15.75" thickBot="1" x14ac:dyDescent="0.3">
      <c r="A544" t="s">
        <v>91</v>
      </c>
      <c r="B544" t="s">
        <v>2112</v>
      </c>
      <c r="C544" t="s">
        <v>3144</v>
      </c>
      <c r="E544" t="s">
        <v>3145</v>
      </c>
      <c r="F544" t="s">
        <v>93</v>
      </c>
      <c r="G544" t="s">
        <v>2113</v>
      </c>
      <c r="H544">
        <v>580.84950000000003</v>
      </c>
      <c r="I544">
        <v>840</v>
      </c>
      <c r="J544">
        <v>0</v>
      </c>
      <c r="K544" t="s">
        <v>95</v>
      </c>
      <c r="L544">
        <v>-66.08942759</v>
      </c>
      <c r="M544">
        <f t="shared" si="74"/>
        <v>-113.78063954604418</v>
      </c>
      <c r="N544" t="s">
        <v>95</v>
      </c>
      <c r="O544" t="s">
        <v>2114</v>
      </c>
      <c r="P544" t="s">
        <v>93</v>
      </c>
      <c r="Q544">
        <v>0</v>
      </c>
      <c r="R544" t="s">
        <v>95</v>
      </c>
      <c r="S544">
        <v>-69.463300570000001</v>
      </c>
      <c r="T544">
        <f t="shared" si="75"/>
        <v>-119.58915445395063</v>
      </c>
      <c r="U544" t="s">
        <v>95</v>
      </c>
      <c r="V544">
        <v>31054</v>
      </c>
      <c r="W544" t="s">
        <v>339</v>
      </c>
      <c r="X544">
        <v>298</v>
      </c>
      <c r="Y544" t="s">
        <v>1403</v>
      </c>
      <c r="Z544">
        <v>-70.2</v>
      </c>
      <c r="AA544" t="s">
        <v>95</v>
      </c>
      <c r="AB544">
        <f t="shared" si="76"/>
        <v>-120.85746824263427</v>
      </c>
      <c r="AC544" t="s">
        <v>93</v>
      </c>
      <c r="AD544">
        <v>1.8</v>
      </c>
      <c r="AE544" t="s">
        <v>95</v>
      </c>
      <c r="AF544" t="s">
        <v>93</v>
      </c>
      <c r="CF544">
        <v>0.375</v>
      </c>
      <c r="CR544">
        <f t="shared" si="77"/>
        <v>-113.78063954604418</v>
      </c>
      <c r="CS544">
        <f t="shared" si="78"/>
        <v>-119.58915445395063</v>
      </c>
      <c r="CT544">
        <f t="shared" si="79"/>
        <v>-120.85746824263427</v>
      </c>
      <c r="CU544" s="7">
        <f t="shared" si="80"/>
        <v>-118.07575408087637</v>
      </c>
      <c r="CV544" s="9">
        <f t="shared" si="81"/>
        <v>580.84950000000003</v>
      </c>
      <c r="CW544" t="str">
        <f t="shared" si="73"/>
        <v>Sc5Sn3</v>
      </c>
    </row>
    <row r="545" spans="1:101" ht="15.75" thickBot="1" x14ac:dyDescent="0.3">
      <c r="A545" t="s">
        <v>91</v>
      </c>
      <c r="B545" t="s">
        <v>2690</v>
      </c>
      <c r="C545" t="s">
        <v>3144</v>
      </c>
      <c r="E545" t="s">
        <v>3145</v>
      </c>
      <c r="F545" t="s">
        <v>93</v>
      </c>
      <c r="G545" t="s">
        <v>2691</v>
      </c>
      <c r="H545">
        <v>386.428</v>
      </c>
      <c r="I545">
        <v>1100</v>
      </c>
      <c r="J545">
        <v>0</v>
      </c>
      <c r="K545" t="s">
        <v>95</v>
      </c>
      <c r="L545">
        <v>-40.063273199999998</v>
      </c>
      <c r="M545">
        <f t="shared" si="74"/>
        <v>-103.67590650781</v>
      </c>
      <c r="N545" t="s">
        <v>95</v>
      </c>
      <c r="O545" t="s">
        <v>2692</v>
      </c>
      <c r="P545" t="s">
        <v>93</v>
      </c>
      <c r="Q545">
        <v>2.8310519999999999E-2</v>
      </c>
      <c r="R545" t="s">
        <v>95</v>
      </c>
      <c r="S545">
        <v>-42.090116549999998</v>
      </c>
      <c r="T545">
        <f t="shared" si="75"/>
        <v>-108.92098023435155</v>
      </c>
      <c r="U545" t="s">
        <v>95</v>
      </c>
      <c r="V545">
        <v>30746</v>
      </c>
      <c r="W545" t="s">
        <v>184</v>
      </c>
      <c r="X545">
        <v>298</v>
      </c>
      <c r="Y545" t="s">
        <v>185</v>
      </c>
      <c r="Z545">
        <v>-54.6</v>
      </c>
      <c r="AA545" t="s">
        <v>95</v>
      </c>
      <c r="AB545">
        <f t="shared" si="76"/>
        <v>-141.29410912252737</v>
      </c>
      <c r="AC545" t="s">
        <v>93</v>
      </c>
      <c r="AD545">
        <v>3.1</v>
      </c>
      <c r="AE545" t="s">
        <v>95</v>
      </c>
      <c r="AF545" t="s">
        <v>93</v>
      </c>
      <c r="AZ545">
        <v>0.5</v>
      </c>
      <c r="BR545">
        <v>0.25</v>
      </c>
      <c r="CF545">
        <v>0.25</v>
      </c>
      <c r="CR545">
        <f t="shared" si="77"/>
        <v>-103.67590650781</v>
      </c>
      <c r="CS545">
        <f t="shared" si="78"/>
        <v>-108.92098023435155</v>
      </c>
      <c r="CT545">
        <f t="shared" si="79"/>
        <v>-141.29410912252737</v>
      </c>
      <c r="CU545" s="7">
        <f t="shared" si="80"/>
        <v>-117.96366528822962</v>
      </c>
      <c r="CV545" s="9">
        <f t="shared" si="81"/>
        <v>386.428</v>
      </c>
      <c r="CW545" t="str">
        <f t="shared" si="73"/>
        <v>MnSnPd2</v>
      </c>
    </row>
    <row r="546" spans="1:101" ht="15.75" thickBot="1" x14ac:dyDescent="0.3">
      <c r="A546" t="s">
        <v>91</v>
      </c>
      <c r="B546" t="s">
        <v>2209</v>
      </c>
      <c r="C546" t="s">
        <v>3144</v>
      </c>
      <c r="E546" t="s">
        <v>3145</v>
      </c>
      <c r="F546" t="s">
        <v>93</v>
      </c>
      <c r="G546" t="s">
        <v>2210</v>
      </c>
      <c r="H546">
        <v>264.81</v>
      </c>
      <c r="I546">
        <v>878</v>
      </c>
      <c r="J546">
        <v>0</v>
      </c>
      <c r="K546" t="s">
        <v>95</v>
      </c>
      <c r="L546">
        <v>-29.925259960000002</v>
      </c>
      <c r="M546">
        <f t="shared" si="74"/>
        <v>-113.00653283486274</v>
      </c>
      <c r="N546" t="s">
        <v>95</v>
      </c>
      <c r="O546" t="s">
        <v>2211</v>
      </c>
      <c r="P546" t="s">
        <v>93</v>
      </c>
      <c r="Q546">
        <v>0</v>
      </c>
      <c r="R546" t="s">
        <v>95</v>
      </c>
      <c r="S546">
        <v>-30.58188285</v>
      </c>
      <c r="T546">
        <f t="shared" si="75"/>
        <v>-115.48613288773082</v>
      </c>
      <c r="U546" t="s">
        <v>95</v>
      </c>
      <c r="V546">
        <v>646856</v>
      </c>
      <c r="W546" t="s">
        <v>358</v>
      </c>
      <c r="X546">
        <v>298</v>
      </c>
      <c r="Y546" t="s">
        <v>359</v>
      </c>
      <c r="Z546">
        <v>-33.1</v>
      </c>
      <c r="AA546" t="s">
        <v>95</v>
      </c>
      <c r="AB546">
        <f t="shared" si="76"/>
        <v>-124.99527963445489</v>
      </c>
      <c r="AC546" t="s">
        <v>93</v>
      </c>
      <c r="AD546">
        <v>0.9</v>
      </c>
      <c r="AE546" t="s">
        <v>95</v>
      </c>
      <c r="AF546" t="s">
        <v>93</v>
      </c>
      <c r="BB546">
        <v>0.5</v>
      </c>
      <c r="CA546">
        <v>0.5</v>
      </c>
      <c r="CR546">
        <f t="shared" si="77"/>
        <v>-113.00653283486274</v>
      </c>
      <c r="CS546">
        <f t="shared" si="78"/>
        <v>-115.48613288773082</v>
      </c>
      <c r="CT546">
        <f t="shared" si="79"/>
        <v>-124.99527963445489</v>
      </c>
      <c r="CU546" s="7">
        <f t="shared" si="80"/>
        <v>-117.82931511901614</v>
      </c>
      <c r="CV546" s="9">
        <f t="shared" si="81"/>
        <v>264.81</v>
      </c>
      <c r="CW546" t="str">
        <f t="shared" si="73"/>
        <v>GeIr</v>
      </c>
    </row>
    <row r="547" spans="1:101" ht="15.75" thickBot="1" x14ac:dyDescent="0.3">
      <c r="A547" t="s">
        <v>484</v>
      </c>
      <c r="B547" t="s">
        <v>2209</v>
      </c>
      <c r="C547" t="s">
        <v>3138</v>
      </c>
      <c r="D547" t="s">
        <v>3139</v>
      </c>
      <c r="F547" t="s">
        <v>3140</v>
      </c>
      <c r="G547" t="s">
        <v>2210</v>
      </c>
      <c r="H547">
        <v>264.81</v>
      </c>
      <c r="I547">
        <v>879</v>
      </c>
      <c r="J547">
        <v>0</v>
      </c>
      <c r="K547" t="s">
        <v>95</v>
      </c>
      <c r="L547">
        <v>-29.925259960000002</v>
      </c>
      <c r="M547">
        <f t="shared" si="74"/>
        <v>-113.00653283486274</v>
      </c>
      <c r="N547" t="s">
        <v>95</v>
      </c>
      <c r="O547" t="s">
        <v>2211</v>
      </c>
      <c r="P547" t="s">
        <v>93</v>
      </c>
      <c r="Q547">
        <v>0</v>
      </c>
      <c r="R547" t="s">
        <v>95</v>
      </c>
      <c r="S547">
        <v>-30.58188285</v>
      </c>
      <c r="T547">
        <f t="shared" si="75"/>
        <v>-115.48613288773082</v>
      </c>
      <c r="U547" t="s">
        <v>95</v>
      </c>
      <c r="V547">
        <v>646856</v>
      </c>
      <c r="W547" t="s">
        <v>358</v>
      </c>
      <c r="X547">
        <v>298</v>
      </c>
      <c r="Y547" t="s">
        <v>359</v>
      </c>
      <c r="Z547">
        <v>-32.5</v>
      </c>
      <c r="AA547" t="s">
        <v>95</v>
      </c>
      <c r="AB547">
        <f t="shared" si="76"/>
        <v>-122.72950417280313</v>
      </c>
      <c r="AC547" t="s">
        <v>93</v>
      </c>
      <c r="AD547">
        <v>5.9</v>
      </c>
      <c r="AE547" t="s">
        <v>95</v>
      </c>
      <c r="AF547" t="s">
        <v>93</v>
      </c>
      <c r="BB547">
        <v>0.5</v>
      </c>
      <c r="CA547">
        <v>0.5</v>
      </c>
      <c r="CR547">
        <f t="shared" si="77"/>
        <v>-113.00653283486274</v>
      </c>
      <c r="CS547">
        <f t="shared" si="78"/>
        <v>-115.48613288773082</v>
      </c>
      <c r="CT547">
        <f t="shared" si="79"/>
        <v>-122.72950417280313</v>
      </c>
      <c r="CU547" s="7">
        <f t="shared" si="80"/>
        <v>-117.0740566317989</v>
      </c>
      <c r="CV547" s="9">
        <f t="shared" si="81"/>
        <v>264.81</v>
      </c>
      <c r="CW547" t="str">
        <f t="shared" si="73"/>
        <v>GeIr</v>
      </c>
    </row>
    <row r="548" spans="1:101" ht="15.75" thickBot="1" x14ac:dyDescent="0.3">
      <c r="A548" t="s">
        <v>91</v>
      </c>
      <c r="B548" t="s">
        <v>93</v>
      </c>
      <c r="C548" t="s">
        <v>3144</v>
      </c>
      <c r="E548" t="s">
        <v>3145</v>
      </c>
      <c r="F548" t="s">
        <v>93</v>
      </c>
      <c r="G548" t="s">
        <v>1262</v>
      </c>
      <c r="H548">
        <v>368.55</v>
      </c>
      <c r="I548">
        <v>493</v>
      </c>
      <c r="M548">
        <f t="shared" si="74"/>
        <v>0</v>
      </c>
      <c r="O548" t="s">
        <v>93</v>
      </c>
      <c r="P548" t="s">
        <v>93</v>
      </c>
      <c r="T548">
        <f t="shared" si="75"/>
        <v>0</v>
      </c>
      <c r="V548" t="s">
        <v>93</v>
      </c>
      <c r="W548" t="s">
        <v>1263</v>
      </c>
      <c r="X548">
        <v>298</v>
      </c>
      <c r="Y548" t="s">
        <v>190</v>
      </c>
      <c r="Z548">
        <v>-43.1</v>
      </c>
      <c r="AA548" t="s">
        <v>95</v>
      </c>
      <c r="AB548">
        <f t="shared" si="76"/>
        <v>-116.94478361145028</v>
      </c>
      <c r="AC548" t="s">
        <v>93</v>
      </c>
      <c r="AD548">
        <v>1.4</v>
      </c>
      <c r="AE548" t="s">
        <v>95</v>
      </c>
      <c r="AF548" t="s">
        <v>93</v>
      </c>
      <c r="AH548" t="s">
        <v>93</v>
      </c>
      <c r="AI548" t="s">
        <v>93</v>
      </c>
      <c r="AJ548" t="s">
        <v>93</v>
      </c>
      <c r="AK548" t="s">
        <v>93</v>
      </c>
      <c r="BI548">
        <v>0.28999999999999998</v>
      </c>
      <c r="BQ548">
        <v>0.71</v>
      </c>
      <c r="CR548">
        <f t="shared" si="77"/>
        <v>0</v>
      </c>
      <c r="CS548">
        <f t="shared" si="78"/>
        <v>0</v>
      </c>
      <c r="CT548">
        <f t="shared" si="79"/>
        <v>-116.94478361145028</v>
      </c>
      <c r="CU548" s="7">
        <f t="shared" si="80"/>
        <v>-116.94478361145028</v>
      </c>
      <c r="CV548" s="9">
        <f t="shared" si="81"/>
        <v>368.55</v>
      </c>
      <c r="CW548" t="str">
        <f t="shared" si="73"/>
        <v>B5Gd2</v>
      </c>
    </row>
    <row r="549" spans="1:101" ht="15.75" thickBot="1" x14ac:dyDescent="0.3">
      <c r="A549" t="s">
        <v>91</v>
      </c>
      <c r="B549" t="s">
        <v>218</v>
      </c>
      <c r="C549" t="s">
        <v>3144</v>
      </c>
      <c r="E549" t="s">
        <v>3145</v>
      </c>
      <c r="F549" t="s">
        <v>93</v>
      </c>
      <c r="G549" t="s">
        <v>219</v>
      </c>
      <c r="H549">
        <v>221.50407999999999</v>
      </c>
      <c r="I549">
        <v>49</v>
      </c>
      <c r="M549">
        <f t="shared" si="74"/>
        <v>0</v>
      </c>
      <c r="O549" t="s">
        <v>93</v>
      </c>
      <c r="P549" t="s">
        <v>93</v>
      </c>
      <c r="T549">
        <f t="shared" si="75"/>
        <v>0</v>
      </c>
      <c r="V549" t="s">
        <v>93</v>
      </c>
      <c r="W549" t="s">
        <v>102</v>
      </c>
      <c r="X549">
        <v>298</v>
      </c>
      <c r="Y549" t="s">
        <v>103</v>
      </c>
      <c r="Z549">
        <v>-25.9</v>
      </c>
      <c r="AA549" t="s">
        <v>95</v>
      </c>
      <c r="AB549">
        <f t="shared" si="76"/>
        <v>-116.92786877785728</v>
      </c>
      <c r="AC549" t="s">
        <v>93</v>
      </c>
      <c r="AD549">
        <v>1.2</v>
      </c>
      <c r="AE549" t="s">
        <v>95</v>
      </c>
      <c r="AF549" t="s">
        <v>93</v>
      </c>
      <c r="AH549" t="s">
        <v>93</v>
      </c>
      <c r="AI549" t="s">
        <v>93</v>
      </c>
      <c r="AJ549" t="s">
        <v>93</v>
      </c>
      <c r="AK549" t="s">
        <v>93</v>
      </c>
      <c r="AR549">
        <v>0.4</v>
      </c>
      <c r="AT549">
        <v>0.6</v>
      </c>
      <c r="CR549">
        <f t="shared" si="77"/>
        <v>0</v>
      </c>
      <c r="CS549">
        <f t="shared" si="78"/>
        <v>0</v>
      </c>
      <c r="CT549">
        <f t="shared" si="79"/>
        <v>-116.92786877785728</v>
      </c>
      <c r="CU549" s="7">
        <f t="shared" si="80"/>
        <v>-116.92786877785728</v>
      </c>
      <c r="CV549" s="9">
        <f t="shared" si="81"/>
        <v>221.50407999999999</v>
      </c>
      <c r="CW549" t="str">
        <f t="shared" si="73"/>
        <v>Al2Fe3</v>
      </c>
    </row>
    <row r="550" spans="1:101" ht="15.75" thickBot="1" x14ac:dyDescent="0.3">
      <c r="A550" t="s">
        <v>91</v>
      </c>
      <c r="B550" t="s">
        <v>1325</v>
      </c>
      <c r="C550" t="s">
        <v>3144</v>
      </c>
      <c r="E550" t="s">
        <v>3145</v>
      </c>
      <c r="F550" t="s">
        <v>93</v>
      </c>
      <c r="G550" t="s">
        <v>1326</v>
      </c>
      <c r="H550">
        <v>191.28199999999899</v>
      </c>
      <c r="I550">
        <v>516</v>
      </c>
      <c r="J550">
        <v>6.0637972700000002</v>
      </c>
      <c r="K550" t="s">
        <v>95</v>
      </c>
      <c r="L550">
        <v>-18.687625359999998</v>
      </c>
      <c r="M550">
        <f t="shared" si="74"/>
        <v>-97.696727135852285</v>
      </c>
      <c r="N550" t="s">
        <v>95</v>
      </c>
      <c r="O550" t="s">
        <v>1327</v>
      </c>
      <c r="P550" t="s">
        <v>93</v>
      </c>
      <c r="Q550">
        <v>2.83372666</v>
      </c>
      <c r="R550" t="s">
        <v>95</v>
      </c>
      <c r="S550">
        <v>-19.35816655</v>
      </c>
      <c r="T550">
        <f t="shared" si="75"/>
        <v>-101.20223831829499</v>
      </c>
      <c r="U550" t="s">
        <v>95</v>
      </c>
      <c r="V550">
        <v>4391</v>
      </c>
      <c r="W550" t="s">
        <v>97</v>
      </c>
      <c r="X550">
        <v>298</v>
      </c>
      <c r="Y550" t="s">
        <v>98</v>
      </c>
      <c r="Z550">
        <v>-28.8</v>
      </c>
      <c r="AA550" t="s">
        <v>95</v>
      </c>
      <c r="AB550">
        <f t="shared" si="76"/>
        <v>-150.56304304639303</v>
      </c>
      <c r="AC550" t="s">
        <v>93</v>
      </c>
      <c r="AD550">
        <v>1.6</v>
      </c>
      <c r="AE550" t="s">
        <v>95</v>
      </c>
      <c r="AF550" t="s">
        <v>93</v>
      </c>
      <c r="BH550">
        <v>0.33</v>
      </c>
      <c r="BU550">
        <v>0.66</v>
      </c>
      <c r="CR550">
        <f t="shared" si="77"/>
        <v>-97.696727135852285</v>
      </c>
      <c r="CS550">
        <f t="shared" si="78"/>
        <v>-101.20223831829499</v>
      </c>
      <c r="CT550">
        <f t="shared" si="79"/>
        <v>-150.56304304639303</v>
      </c>
      <c r="CU550" s="7">
        <f t="shared" si="80"/>
        <v>-116.48733616684677</v>
      </c>
      <c r="CV550" s="9">
        <f t="shared" si="81"/>
        <v>191.28199999999899</v>
      </c>
      <c r="CW550" t="str">
        <f t="shared" si="73"/>
        <v>ErC2</v>
      </c>
    </row>
    <row r="551" spans="1:101" ht="15.75" thickBot="1" x14ac:dyDescent="0.3">
      <c r="A551" t="s">
        <v>484</v>
      </c>
      <c r="B551" t="s">
        <v>2179</v>
      </c>
      <c r="C551" t="s">
        <v>3138</v>
      </c>
      <c r="D551" t="s">
        <v>3139</v>
      </c>
      <c r="F551" t="s">
        <v>3140</v>
      </c>
      <c r="G551" t="s">
        <v>2180</v>
      </c>
      <c r="H551">
        <v>673.87</v>
      </c>
      <c r="I551">
        <v>867</v>
      </c>
      <c r="J551">
        <v>0</v>
      </c>
      <c r="K551" t="s">
        <v>95</v>
      </c>
      <c r="L551">
        <v>-77.051802940000002</v>
      </c>
      <c r="M551">
        <f t="shared" si="74"/>
        <v>-114.34223654414056</v>
      </c>
      <c r="N551" t="s">
        <v>95</v>
      </c>
      <c r="O551" t="s">
        <v>2181</v>
      </c>
      <c r="P551" t="s">
        <v>93</v>
      </c>
      <c r="Q551">
        <v>0</v>
      </c>
      <c r="R551" t="s">
        <v>95</v>
      </c>
      <c r="S551">
        <v>-77.172972650000006</v>
      </c>
      <c r="T551">
        <f t="shared" si="75"/>
        <v>-114.52204824372654</v>
      </c>
      <c r="U551" t="s">
        <v>95</v>
      </c>
      <c r="V551">
        <v>13725</v>
      </c>
      <c r="W551" t="s">
        <v>339</v>
      </c>
      <c r="X551">
        <v>298</v>
      </c>
      <c r="Y551" t="s">
        <v>1403</v>
      </c>
      <c r="Z551">
        <v>-81.099999999999994</v>
      </c>
      <c r="AA551" t="s">
        <v>95</v>
      </c>
      <c r="AB551">
        <f t="shared" si="76"/>
        <v>-120.3496223307166</v>
      </c>
      <c r="AC551" t="s">
        <v>93</v>
      </c>
      <c r="AD551">
        <v>5.6</v>
      </c>
      <c r="AE551" t="s">
        <v>95</v>
      </c>
      <c r="AF551" t="s">
        <v>93</v>
      </c>
      <c r="AP551">
        <v>0.625</v>
      </c>
      <c r="CA551">
        <v>0.375</v>
      </c>
      <c r="CR551">
        <f t="shared" si="77"/>
        <v>-114.34223654414056</v>
      </c>
      <c r="CS551">
        <f t="shared" si="78"/>
        <v>-114.52204824372654</v>
      </c>
      <c r="CT551">
        <f t="shared" si="79"/>
        <v>-120.3496223307166</v>
      </c>
      <c r="CU551" s="7">
        <f t="shared" si="80"/>
        <v>-116.40463570619458</v>
      </c>
      <c r="CV551" s="9">
        <f t="shared" si="81"/>
        <v>673.87</v>
      </c>
      <c r="CW551" t="str">
        <f t="shared" si="73"/>
        <v>Zr5Ge3</v>
      </c>
    </row>
    <row r="552" spans="1:101" ht="15.75" thickBot="1" x14ac:dyDescent="0.3">
      <c r="A552" t="s">
        <v>91</v>
      </c>
      <c r="B552" t="s">
        <v>1168</v>
      </c>
      <c r="C552" t="s">
        <v>3144</v>
      </c>
      <c r="E552" t="s">
        <v>3145</v>
      </c>
      <c r="F552" t="s">
        <v>93</v>
      </c>
      <c r="G552" t="s">
        <v>1169</v>
      </c>
      <c r="H552">
        <v>261.89251999999999</v>
      </c>
      <c r="I552">
        <v>459</v>
      </c>
      <c r="J552">
        <v>0</v>
      </c>
      <c r="K552" t="s">
        <v>95</v>
      </c>
      <c r="L552">
        <v>-30.61713752</v>
      </c>
      <c r="M552">
        <f t="shared" si="74"/>
        <v>-116.90726226163314</v>
      </c>
      <c r="N552" t="s">
        <v>95</v>
      </c>
      <c r="O552" t="s">
        <v>1170</v>
      </c>
      <c r="P552" t="s">
        <v>93</v>
      </c>
      <c r="Q552">
        <v>2.1805700000000002E-3</v>
      </c>
      <c r="R552" t="s">
        <v>95</v>
      </c>
      <c r="S552">
        <v>-30.8379972</v>
      </c>
      <c r="T552">
        <f t="shared" si="75"/>
        <v>-117.75058409457436</v>
      </c>
      <c r="U552" t="s">
        <v>95</v>
      </c>
      <c r="V552">
        <v>644858</v>
      </c>
      <c r="W552" t="s">
        <v>870</v>
      </c>
      <c r="X552">
        <v>298</v>
      </c>
      <c r="Y552" t="s">
        <v>98</v>
      </c>
      <c r="Z552">
        <v>-29.9</v>
      </c>
      <c r="AA552" t="s">
        <v>95</v>
      </c>
      <c r="AB552">
        <f t="shared" si="76"/>
        <v>-114.16897282900634</v>
      </c>
      <c r="AC552" t="s">
        <v>93</v>
      </c>
      <c r="AD552">
        <v>1.3</v>
      </c>
      <c r="AE552" t="s">
        <v>95</v>
      </c>
      <c r="AF552" t="s">
        <v>93</v>
      </c>
      <c r="AR552">
        <v>0.75</v>
      </c>
      <c r="BE552">
        <v>0.25</v>
      </c>
      <c r="CR552">
        <f t="shared" si="77"/>
        <v>-116.90726226163314</v>
      </c>
      <c r="CS552">
        <f t="shared" si="78"/>
        <v>-117.75058409457436</v>
      </c>
      <c r="CT552">
        <f t="shared" si="79"/>
        <v>-114.16897282900634</v>
      </c>
      <c r="CU552" s="7">
        <f t="shared" si="80"/>
        <v>-116.27560639507128</v>
      </c>
      <c r="CV552" s="9">
        <f t="shared" si="81"/>
        <v>261.89251999999999</v>
      </c>
      <c r="CW552" t="str">
        <f t="shared" si="73"/>
        <v>TaAl3</v>
      </c>
    </row>
    <row r="553" spans="1:101" ht="15.75" thickBot="1" x14ac:dyDescent="0.3">
      <c r="A553" t="s">
        <v>91</v>
      </c>
      <c r="B553" t="s">
        <v>2283</v>
      </c>
      <c r="C553" t="s">
        <v>3144</v>
      </c>
      <c r="E553" t="s">
        <v>3145</v>
      </c>
      <c r="F553" t="s">
        <v>93</v>
      </c>
      <c r="G553" t="s">
        <v>2284</v>
      </c>
      <c r="H553">
        <v>327.78154000000001</v>
      </c>
      <c r="I553">
        <v>913</v>
      </c>
      <c r="M553">
        <f t="shared" si="74"/>
        <v>0</v>
      </c>
      <c r="O553" t="s">
        <v>93</v>
      </c>
      <c r="P553" t="s">
        <v>93</v>
      </c>
      <c r="T553">
        <f t="shared" si="75"/>
        <v>0</v>
      </c>
      <c r="V553" t="s">
        <v>93</v>
      </c>
      <c r="W553" t="s">
        <v>1085</v>
      </c>
      <c r="X553">
        <v>300</v>
      </c>
      <c r="Y553" t="s">
        <v>359</v>
      </c>
      <c r="Z553">
        <v>-38</v>
      </c>
      <c r="AA553" t="s">
        <v>95</v>
      </c>
      <c r="AB553">
        <f t="shared" si="76"/>
        <v>-115.93087273920307</v>
      </c>
      <c r="AF553" t="s">
        <v>93</v>
      </c>
      <c r="AH553" t="s">
        <v>93</v>
      </c>
      <c r="AI553" t="s">
        <v>93</v>
      </c>
      <c r="AJ553" t="s">
        <v>93</v>
      </c>
      <c r="AK553" t="s">
        <v>93</v>
      </c>
      <c r="AR553">
        <v>0.33</v>
      </c>
      <c r="BN553">
        <v>0.66</v>
      </c>
      <c r="CC553">
        <v>2</v>
      </c>
      <c r="CD553" t="s">
        <v>95</v>
      </c>
      <c r="CE553" t="s">
        <v>93</v>
      </c>
      <c r="CR553">
        <f t="shared" si="77"/>
        <v>0</v>
      </c>
      <c r="CS553">
        <f t="shared" si="78"/>
        <v>0</v>
      </c>
      <c r="CT553">
        <f t="shared" si="79"/>
        <v>-115.93087273920307</v>
      </c>
      <c r="CU553" s="7">
        <f t="shared" si="80"/>
        <v>-115.93087273920307</v>
      </c>
      <c r="CV553" s="9">
        <f t="shared" si="81"/>
        <v>327.78154000000001</v>
      </c>
      <c r="CW553" t="str">
        <f t="shared" si="73"/>
        <v>AlSm2</v>
      </c>
    </row>
    <row r="554" spans="1:101" ht="15.75" thickBot="1" x14ac:dyDescent="0.3">
      <c r="A554" t="s">
        <v>91</v>
      </c>
      <c r="B554" t="s">
        <v>2825</v>
      </c>
      <c r="C554" t="s">
        <v>3144</v>
      </c>
      <c r="E554" t="s">
        <v>3145</v>
      </c>
      <c r="F554" t="s">
        <v>93</v>
      </c>
      <c r="G554" t="s">
        <v>2826</v>
      </c>
      <c r="H554">
        <v>202.22154</v>
      </c>
      <c r="I554">
        <v>1155</v>
      </c>
      <c r="M554">
        <f t="shared" si="74"/>
        <v>0</v>
      </c>
      <c r="O554" t="s">
        <v>93</v>
      </c>
      <c r="P554" t="s">
        <v>121</v>
      </c>
      <c r="T554">
        <f t="shared" si="75"/>
        <v>0</v>
      </c>
      <c r="V554" t="s">
        <v>93</v>
      </c>
      <c r="W554" t="s">
        <v>102</v>
      </c>
      <c r="X554">
        <v>298</v>
      </c>
      <c r="Y554" t="s">
        <v>103</v>
      </c>
      <c r="Z554">
        <v>-23.4</v>
      </c>
      <c r="AA554" t="s">
        <v>95</v>
      </c>
      <c r="AB554">
        <f t="shared" si="76"/>
        <v>-115.71467609236878</v>
      </c>
      <c r="AC554" t="s">
        <v>93</v>
      </c>
      <c r="AD554">
        <v>2.1</v>
      </c>
      <c r="AE554" t="s">
        <v>95</v>
      </c>
      <c r="AF554" t="s">
        <v>93</v>
      </c>
      <c r="AH554" t="s">
        <v>93</v>
      </c>
      <c r="AI554" t="s">
        <v>93</v>
      </c>
      <c r="AJ554" t="s">
        <v>93</v>
      </c>
      <c r="AK554" t="s">
        <v>93</v>
      </c>
      <c r="AR554">
        <v>0.25</v>
      </c>
      <c r="AT554">
        <v>0.5</v>
      </c>
      <c r="AX554">
        <v>0.25</v>
      </c>
      <c r="CR554">
        <f t="shared" si="77"/>
        <v>0</v>
      </c>
      <c r="CS554">
        <f t="shared" si="78"/>
        <v>0</v>
      </c>
      <c r="CT554">
        <f t="shared" si="79"/>
        <v>-115.71467609236878</v>
      </c>
      <c r="CU554" s="7">
        <f t="shared" si="80"/>
        <v>-115.71467609236878</v>
      </c>
      <c r="CV554" s="9">
        <f t="shared" si="81"/>
        <v>202.22154</v>
      </c>
      <c r="CW554" t="str">
        <f t="shared" ref="CW554:CW617" si="82">G554</f>
        <v>Fe2CuAl</v>
      </c>
    </row>
    <row r="555" spans="1:101" ht="15.75" thickBot="1" x14ac:dyDescent="0.3">
      <c r="A555" t="s">
        <v>91</v>
      </c>
      <c r="B555" t="s">
        <v>1097</v>
      </c>
      <c r="C555" t="s">
        <v>3144</v>
      </c>
      <c r="E555" t="s">
        <v>3145</v>
      </c>
      <c r="F555" t="s">
        <v>93</v>
      </c>
      <c r="G555" t="s">
        <v>1098</v>
      </c>
      <c r="H555">
        <v>320.68078000000003</v>
      </c>
      <c r="I555">
        <v>434</v>
      </c>
      <c r="J555">
        <v>0.19657132999999999</v>
      </c>
      <c r="K555" t="s">
        <v>95</v>
      </c>
      <c r="L555">
        <v>-34.190834260000003</v>
      </c>
      <c r="M555">
        <f t="shared" si="74"/>
        <v>-106.61953067471022</v>
      </c>
      <c r="N555" t="s">
        <v>95</v>
      </c>
      <c r="O555" t="s">
        <v>1099</v>
      </c>
      <c r="P555" t="s">
        <v>93</v>
      </c>
      <c r="T555">
        <f t="shared" si="75"/>
        <v>0</v>
      </c>
      <c r="V555" t="s">
        <v>93</v>
      </c>
      <c r="W555" t="s">
        <v>1100</v>
      </c>
      <c r="X555">
        <v>298</v>
      </c>
      <c r="Y555" t="s">
        <v>1093</v>
      </c>
      <c r="Z555">
        <v>-40</v>
      </c>
      <c r="AA555" t="s">
        <v>95</v>
      </c>
      <c r="AB555">
        <f t="shared" si="76"/>
        <v>-124.73463486024949</v>
      </c>
      <c r="AC555" t="s">
        <v>93</v>
      </c>
      <c r="AD555">
        <v>1.6</v>
      </c>
      <c r="AE555" t="s">
        <v>95</v>
      </c>
      <c r="AF555" t="s">
        <v>93</v>
      </c>
      <c r="AG555">
        <v>0.6</v>
      </c>
      <c r="AJ555" t="s">
        <v>93</v>
      </c>
      <c r="AK555" t="s">
        <v>93</v>
      </c>
      <c r="AR555">
        <v>0.4</v>
      </c>
      <c r="CR555">
        <f t="shared" si="77"/>
        <v>-106.61953067471022</v>
      </c>
      <c r="CS555">
        <f t="shared" si="78"/>
        <v>0</v>
      </c>
      <c r="CT555">
        <f t="shared" si="79"/>
        <v>-124.73463486024949</v>
      </c>
      <c r="CU555" s="7">
        <f t="shared" si="80"/>
        <v>-115.67708276747985</v>
      </c>
      <c r="CV555" s="9">
        <f t="shared" si="81"/>
        <v>320.68078000000003</v>
      </c>
      <c r="CW555" t="str">
        <f t="shared" si="82"/>
        <v>Y3Al2</v>
      </c>
    </row>
    <row r="556" spans="1:101" ht="15.75" thickBot="1" x14ac:dyDescent="0.3">
      <c r="A556" t="s">
        <v>91</v>
      </c>
      <c r="B556" t="s">
        <v>2843</v>
      </c>
      <c r="C556" t="s">
        <v>3144</v>
      </c>
      <c r="E556" t="s">
        <v>3145</v>
      </c>
      <c r="F556" t="s">
        <v>93</v>
      </c>
      <c r="G556" t="s">
        <v>2844</v>
      </c>
      <c r="H556">
        <v>280.12</v>
      </c>
      <c r="I556">
        <v>1165</v>
      </c>
      <c r="J556">
        <v>2.61023139</v>
      </c>
      <c r="K556" t="s">
        <v>95</v>
      </c>
      <c r="L556">
        <v>-33.250316779999999</v>
      </c>
      <c r="M556">
        <f t="shared" si="74"/>
        <v>-118.70025981722118</v>
      </c>
      <c r="N556" t="s">
        <v>95</v>
      </c>
      <c r="O556" t="s">
        <v>2845</v>
      </c>
      <c r="P556" t="s">
        <v>93</v>
      </c>
      <c r="Q556">
        <v>1.8689390800000001</v>
      </c>
      <c r="R556" t="s">
        <v>95</v>
      </c>
      <c r="S556">
        <v>-35.181339999999999</v>
      </c>
      <c r="T556">
        <f t="shared" si="75"/>
        <v>-125.59381693559902</v>
      </c>
      <c r="U556" t="s">
        <v>95</v>
      </c>
      <c r="V556">
        <v>55528</v>
      </c>
      <c r="W556" t="s">
        <v>184</v>
      </c>
      <c r="X556">
        <v>298</v>
      </c>
      <c r="Y556" t="s">
        <v>185</v>
      </c>
      <c r="Z556">
        <v>-28.5</v>
      </c>
      <c r="AA556" t="s">
        <v>95</v>
      </c>
      <c r="AB556">
        <f t="shared" si="76"/>
        <v>-101.74211052406112</v>
      </c>
      <c r="AC556" t="s">
        <v>93</v>
      </c>
      <c r="AD556">
        <v>1.1000000000000001</v>
      </c>
      <c r="AE556" t="s">
        <v>95</v>
      </c>
      <c r="AF556" t="s">
        <v>93</v>
      </c>
      <c r="AS556">
        <v>0.5</v>
      </c>
      <c r="BA556">
        <v>0.25</v>
      </c>
      <c r="BZ556">
        <v>0.25</v>
      </c>
      <c r="CR556">
        <f t="shared" si="77"/>
        <v>-118.70025981722118</v>
      </c>
      <c r="CS556">
        <f t="shared" si="78"/>
        <v>-125.59381693559902</v>
      </c>
      <c r="CT556">
        <f t="shared" si="79"/>
        <v>-101.74211052406112</v>
      </c>
      <c r="CU556" s="7">
        <f t="shared" si="80"/>
        <v>-115.34539575896044</v>
      </c>
      <c r="CV556" s="9">
        <f t="shared" si="81"/>
        <v>280.12</v>
      </c>
      <c r="CW556" t="str">
        <f t="shared" si="82"/>
        <v>TiInNi2</v>
      </c>
    </row>
    <row r="557" spans="1:101" ht="15.75" thickBot="1" x14ac:dyDescent="0.3">
      <c r="A557" t="s">
        <v>91</v>
      </c>
      <c r="B557" t="s">
        <v>93</v>
      </c>
      <c r="C557" t="s">
        <v>3144</v>
      </c>
      <c r="E557" t="s">
        <v>3145</v>
      </c>
      <c r="F557" t="s">
        <v>93</v>
      </c>
      <c r="G557" t="s">
        <v>201</v>
      </c>
      <c r="H557">
        <v>280.20407999999998</v>
      </c>
      <c r="I557">
        <v>35</v>
      </c>
      <c r="M557">
        <f t="shared" si="74"/>
        <v>0</v>
      </c>
      <c r="O557" t="s">
        <v>93</v>
      </c>
      <c r="P557" t="s">
        <v>93</v>
      </c>
      <c r="T557">
        <f t="shared" si="75"/>
        <v>0</v>
      </c>
      <c r="V557" t="s">
        <v>93</v>
      </c>
      <c r="W557" t="s">
        <v>102</v>
      </c>
      <c r="X557">
        <v>298</v>
      </c>
      <c r="Y557" t="s">
        <v>103</v>
      </c>
      <c r="Z557">
        <v>-32.299999999999997</v>
      </c>
      <c r="AA557" t="s">
        <v>95</v>
      </c>
      <c r="AB557">
        <f t="shared" si="76"/>
        <v>-115.27312521644939</v>
      </c>
      <c r="AC557" t="s">
        <v>93</v>
      </c>
      <c r="AD557">
        <v>1.8</v>
      </c>
      <c r="AE557" t="s">
        <v>95</v>
      </c>
      <c r="AF557" t="s">
        <v>93</v>
      </c>
      <c r="AH557" t="s">
        <v>93</v>
      </c>
      <c r="AI557" t="s">
        <v>93</v>
      </c>
      <c r="AJ557" t="s">
        <v>93</v>
      </c>
      <c r="AK557" t="s">
        <v>93</v>
      </c>
      <c r="AR557">
        <v>0.33</v>
      </c>
      <c r="AS557">
        <v>0.17</v>
      </c>
      <c r="AT557">
        <v>0.5</v>
      </c>
      <c r="CR557">
        <f t="shared" si="77"/>
        <v>0</v>
      </c>
      <c r="CS557">
        <f t="shared" si="78"/>
        <v>0</v>
      </c>
      <c r="CT557">
        <f t="shared" si="79"/>
        <v>-115.27312521644939</v>
      </c>
      <c r="CU557" s="7">
        <f t="shared" si="80"/>
        <v>-115.27312521644939</v>
      </c>
      <c r="CV557" s="9">
        <f t="shared" si="81"/>
        <v>280.20407999999998</v>
      </c>
      <c r="CW557" t="str">
        <f t="shared" si="82"/>
        <v>Al2Fe3Ni</v>
      </c>
    </row>
    <row r="558" spans="1:101" ht="15.75" thickBot="1" x14ac:dyDescent="0.3">
      <c r="A558" t="s">
        <v>91</v>
      </c>
      <c r="B558" t="s">
        <v>950</v>
      </c>
      <c r="C558" t="s">
        <v>3144</v>
      </c>
      <c r="E558" t="s">
        <v>3145</v>
      </c>
      <c r="F558" t="s">
        <v>93</v>
      </c>
      <c r="G558" t="s">
        <v>951</v>
      </c>
      <c r="H558">
        <v>744.19539999999995</v>
      </c>
      <c r="I558">
        <v>379</v>
      </c>
      <c r="M558">
        <f t="shared" si="74"/>
        <v>0</v>
      </c>
      <c r="O558" t="s">
        <v>93</v>
      </c>
      <c r="P558" t="s">
        <v>93</v>
      </c>
      <c r="T558">
        <f t="shared" si="75"/>
        <v>0</v>
      </c>
      <c r="V558" t="s">
        <v>93</v>
      </c>
      <c r="W558" t="s">
        <v>93</v>
      </c>
      <c r="X558">
        <v>298</v>
      </c>
      <c r="Y558" t="s">
        <v>93</v>
      </c>
      <c r="Z558">
        <v>-85.6</v>
      </c>
      <c r="AA558" t="s">
        <v>95</v>
      </c>
      <c r="AB558">
        <f t="shared" si="76"/>
        <v>-115.02355429770191</v>
      </c>
      <c r="AC558" t="s">
        <v>93</v>
      </c>
      <c r="AD558">
        <v>2.9</v>
      </c>
      <c r="AE558" t="s">
        <v>95</v>
      </c>
      <c r="AF558" t="s">
        <v>93</v>
      </c>
      <c r="AH558" t="s">
        <v>93</v>
      </c>
      <c r="AI558" t="s">
        <v>93</v>
      </c>
      <c r="AJ558" t="s">
        <v>93</v>
      </c>
      <c r="AK558" t="s">
        <v>93</v>
      </c>
      <c r="AY558">
        <v>0.75</v>
      </c>
      <c r="BK558">
        <v>0.25</v>
      </c>
      <c r="CR558">
        <f t="shared" si="77"/>
        <v>0</v>
      </c>
      <c r="CS558">
        <f t="shared" si="78"/>
        <v>0</v>
      </c>
      <c r="CT558">
        <f t="shared" si="79"/>
        <v>-115.02355429770191</v>
      </c>
      <c r="CU558" s="7">
        <f t="shared" si="80"/>
        <v>-115.02355429770191</v>
      </c>
      <c r="CV558" s="9">
        <f t="shared" si="81"/>
        <v>744.19539999999995</v>
      </c>
      <c r="CW558" t="str">
        <f t="shared" si="82"/>
        <v>Pt3Tb</v>
      </c>
    </row>
    <row r="559" spans="1:101" ht="15.75" thickBot="1" x14ac:dyDescent="0.3">
      <c r="A559" t="s">
        <v>91</v>
      </c>
      <c r="B559" t="s">
        <v>93</v>
      </c>
      <c r="C559" t="s">
        <v>3144</v>
      </c>
      <c r="E559" t="s">
        <v>3145</v>
      </c>
      <c r="F559" t="s">
        <v>93</v>
      </c>
      <c r="G559" t="s">
        <v>325</v>
      </c>
      <c r="H559">
        <v>470.24462</v>
      </c>
      <c r="I559">
        <v>129</v>
      </c>
      <c r="M559">
        <f t="shared" si="74"/>
        <v>0</v>
      </c>
      <c r="O559" t="s">
        <v>93</v>
      </c>
      <c r="P559" t="s">
        <v>93</v>
      </c>
      <c r="T559">
        <f t="shared" si="75"/>
        <v>0</v>
      </c>
      <c r="V559" t="s">
        <v>93</v>
      </c>
      <c r="W559" t="s">
        <v>184</v>
      </c>
      <c r="X559">
        <v>298</v>
      </c>
      <c r="Y559" t="s">
        <v>185</v>
      </c>
      <c r="Z559">
        <v>-54.02</v>
      </c>
      <c r="AA559" t="s">
        <v>95</v>
      </c>
      <c r="AB559">
        <f t="shared" si="76"/>
        <v>-114.8763807228672</v>
      </c>
      <c r="AC559" t="s">
        <v>93</v>
      </c>
      <c r="AD559">
        <v>3.9</v>
      </c>
      <c r="AE559" t="s">
        <v>95</v>
      </c>
      <c r="AF559" t="s">
        <v>93</v>
      </c>
      <c r="AH559" t="s">
        <v>93</v>
      </c>
      <c r="AI559" t="s">
        <v>93</v>
      </c>
      <c r="AJ559" t="s">
        <v>93</v>
      </c>
      <c r="AK559" t="s">
        <v>93</v>
      </c>
      <c r="AR559">
        <v>0.3</v>
      </c>
      <c r="AS559">
        <v>0.5</v>
      </c>
      <c r="BA559">
        <v>0.2</v>
      </c>
      <c r="CR559">
        <f t="shared" si="77"/>
        <v>0</v>
      </c>
      <c r="CS559">
        <f t="shared" si="78"/>
        <v>0</v>
      </c>
      <c r="CT559">
        <f t="shared" si="79"/>
        <v>-114.8763807228672</v>
      </c>
      <c r="CU559" s="7">
        <f t="shared" si="80"/>
        <v>-114.8763807228672</v>
      </c>
      <c r="CV559" s="9">
        <f t="shared" si="81"/>
        <v>470.24462</v>
      </c>
      <c r="CW559" t="str">
        <f t="shared" si="82"/>
        <v>Al3Ni5Ti2</v>
      </c>
    </row>
    <row r="560" spans="1:101" ht="15.75" thickBot="1" x14ac:dyDescent="0.3">
      <c r="A560" t="s">
        <v>91</v>
      </c>
      <c r="B560" t="s">
        <v>93</v>
      </c>
      <c r="C560" t="s">
        <v>3144</v>
      </c>
      <c r="E560" t="s">
        <v>3145</v>
      </c>
      <c r="G560" t="s">
        <v>3021</v>
      </c>
      <c r="H560">
        <v>248.69</v>
      </c>
      <c r="I560">
        <v>1270</v>
      </c>
      <c r="J560">
        <v>0</v>
      </c>
      <c r="K560" t="s">
        <v>95</v>
      </c>
      <c r="L560">
        <v>-28.156572199999999</v>
      </c>
      <c r="M560">
        <f t="shared" si="74"/>
        <v>-113.21955929068318</v>
      </c>
      <c r="N560" t="s">
        <v>95</v>
      </c>
      <c r="O560" t="s">
        <v>3022</v>
      </c>
      <c r="P560" t="s">
        <v>93</v>
      </c>
      <c r="Q560">
        <v>6.6721320000000001E-2</v>
      </c>
      <c r="R560" t="s">
        <v>95</v>
      </c>
      <c r="S560">
        <v>-28.916629360000002</v>
      </c>
      <c r="T560">
        <f t="shared" si="75"/>
        <v>-116.27580264586435</v>
      </c>
      <c r="U560" t="s">
        <v>95</v>
      </c>
      <c r="V560">
        <v>17342</v>
      </c>
      <c r="W560" t="s">
        <v>194</v>
      </c>
      <c r="X560">
        <v>1063</v>
      </c>
      <c r="Y560" t="s">
        <v>103</v>
      </c>
      <c r="AB560">
        <f t="shared" si="76"/>
        <v>0</v>
      </c>
      <c r="AC560" t="s">
        <v>93</v>
      </c>
      <c r="AD560">
        <v>0.5</v>
      </c>
      <c r="AE560" t="s">
        <v>95</v>
      </c>
      <c r="AF560" t="s">
        <v>93</v>
      </c>
      <c r="AS560">
        <v>0.75</v>
      </c>
      <c r="CA560">
        <v>0.25</v>
      </c>
      <c r="CG560">
        <v>-35</v>
      </c>
      <c r="CH560" t="s">
        <v>95</v>
      </c>
      <c r="CI560" t="s">
        <v>93</v>
      </c>
      <c r="CR560">
        <f t="shared" si="77"/>
        <v>-113.21955929068318</v>
      </c>
      <c r="CS560">
        <f t="shared" si="78"/>
        <v>-116.27580264586435</v>
      </c>
      <c r="CT560">
        <f t="shared" si="79"/>
        <v>0</v>
      </c>
      <c r="CU560" s="7">
        <f t="shared" si="80"/>
        <v>-114.74768096827376</v>
      </c>
      <c r="CV560" s="9">
        <f t="shared" si="81"/>
        <v>248.69</v>
      </c>
      <c r="CW560" t="str">
        <f t="shared" si="82"/>
        <v>Ni3Ge</v>
      </c>
    </row>
    <row r="561" spans="1:101" ht="15.75" thickBot="1" x14ac:dyDescent="0.3">
      <c r="A561" t="s">
        <v>91</v>
      </c>
      <c r="B561" t="s">
        <v>93</v>
      </c>
      <c r="C561" t="s">
        <v>3144</v>
      </c>
      <c r="E561" t="s">
        <v>3145</v>
      </c>
      <c r="F561" t="s">
        <v>93</v>
      </c>
      <c r="G561" t="s">
        <v>315</v>
      </c>
      <c r="H561">
        <v>603.22616000000005</v>
      </c>
      <c r="I561">
        <v>121</v>
      </c>
      <c r="M561">
        <f t="shared" si="74"/>
        <v>0</v>
      </c>
      <c r="O561" t="s">
        <v>93</v>
      </c>
      <c r="P561" t="s">
        <v>93</v>
      </c>
      <c r="T561">
        <f t="shared" si="75"/>
        <v>0</v>
      </c>
      <c r="V561" t="s">
        <v>93</v>
      </c>
      <c r="W561" t="s">
        <v>102</v>
      </c>
      <c r="X561">
        <v>298</v>
      </c>
      <c r="Y561" t="s">
        <v>103</v>
      </c>
      <c r="Z561">
        <v>-69.03</v>
      </c>
      <c r="AA561" t="s">
        <v>95</v>
      </c>
      <c r="AB561">
        <f t="shared" si="76"/>
        <v>-114.43469228854397</v>
      </c>
      <c r="AC561" t="s">
        <v>93</v>
      </c>
      <c r="AD561">
        <v>4.83</v>
      </c>
      <c r="AE561" t="s">
        <v>95</v>
      </c>
      <c r="AF561" t="s">
        <v>93</v>
      </c>
      <c r="AH561" t="s">
        <v>93</v>
      </c>
      <c r="AI561" t="s">
        <v>93</v>
      </c>
      <c r="AJ561" t="s">
        <v>93</v>
      </c>
      <c r="AK561" t="s">
        <v>93</v>
      </c>
      <c r="AR561">
        <v>0.4</v>
      </c>
      <c r="AS561">
        <v>0.3</v>
      </c>
      <c r="AZ561">
        <v>0.3</v>
      </c>
      <c r="CR561">
        <f t="shared" si="77"/>
        <v>0</v>
      </c>
      <c r="CS561">
        <f t="shared" si="78"/>
        <v>0</v>
      </c>
      <c r="CT561">
        <f t="shared" si="79"/>
        <v>-114.43469228854397</v>
      </c>
      <c r="CU561" s="7">
        <f t="shared" si="80"/>
        <v>-114.43469228854397</v>
      </c>
      <c r="CV561" s="9">
        <f t="shared" si="81"/>
        <v>603.22616000000005</v>
      </c>
      <c r="CW561" t="str">
        <f t="shared" si="82"/>
        <v>Al4Ni3Pd3</v>
      </c>
    </row>
    <row r="562" spans="1:101" ht="15.75" thickBot="1" x14ac:dyDescent="0.3">
      <c r="A562" t="s">
        <v>91</v>
      </c>
      <c r="B562" t="s">
        <v>396</v>
      </c>
      <c r="C562" t="s">
        <v>3144</v>
      </c>
      <c r="E562" t="s">
        <v>3145</v>
      </c>
      <c r="G562" t="s">
        <v>397</v>
      </c>
      <c r="H562">
        <v>485.15300000000002</v>
      </c>
      <c r="I562">
        <v>805</v>
      </c>
      <c r="J562">
        <v>0</v>
      </c>
      <c r="K562" t="s">
        <v>95</v>
      </c>
      <c r="L562">
        <v>-55.431366390000001</v>
      </c>
      <c r="M562">
        <f t="shared" si="74"/>
        <v>-114.25543362609321</v>
      </c>
      <c r="N562" t="s">
        <v>95</v>
      </c>
      <c r="O562" t="s">
        <v>398</v>
      </c>
      <c r="P562" t="s">
        <v>93</v>
      </c>
      <c r="Q562">
        <v>0</v>
      </c>
      <c r="R562" t="s">
        <v>95</v>
      </c>
      <c r="S562">
        <v>-55.456734019999999</v>
      </c>
      <c r="T562">
        <f t="shared" si="75"/>
        <v>-114.30772152290102</v>
      </c>
      <c r="U562" t="s">
        <v>95</v>
      </c>
      <c r="V562">
        <v>28235</v>
      </c>
      <c r="W562" t="s">
        <v>97</v>
      </c>
      <c r="X562">
        <v>1273</v>
      </c>
      <c r="Y562" t="s">
        <v>98</v>
      </c>
      <c r="AB562">
        <f t="shared" si="76"/>
        <v>0</v>
      </c>
      <c r="AC562" t="s">
        <v>93</v>
      </c>
      <c r="AD562">
        <v>1.6</v>
      </c>
      <c r="AE562" t="s">
        <v>95</v>
      </c>
      <c r="AF562" t="s">
        <v>93</v>
      </c>
      <c r="AP562">
        <v>0.33</v>
      </c>
      <c r="BC562">
        <v>0.67</v>
      </c>
      <c r="CG562">
        <v>-59</v>
      </c>
      <c r="CH562" t="s">
        <v>95</v>
      </c>
      <c r="CI562" t="s">
        <v>93</v>
      </c>
      <c r="CR562">
        <f t="shared" si="77"/>
        <v>-114.25543362609321</v>
      </c>
      <c r="CS562">
        <f t="shared" si="78"/>
        <v>-114.30772152290102</v>
      </c>
      <c r="CT562">
        <f t="shared" si="79"/>
        <v>0</v>
      </c>
      <c r="CU562" s="7">
        <f t="shared" si="80"/>
        <v>-114.28157757449711</v>
      </c>
      <c r="CV562" s="9">
        <f t="shared" si="81"/>
        <v>485.15300000000002</v>
      </c>
      <c r="CW562" t="str">
        <f t="shared" si="82"/>
        <v>ZrAu2</v>
      </c>
    </row>
    <row r="563" spans="1:101" ht="15.75" thickBot="1" x14ac:dyDescent="0.3">
      <c r="A563" t="s">
        <v>91</v>
      </c>
      <c r="B563" t="s">
        <v>1732</v>
      </c>
      <c r="C563" t="s">
        <v>3144</v>
      </c>
      <c r="E563" t="s">
        <v>3145</v>
      </c>
      <c r="F563" t="s">
        <v>93</v>
      </c>
      <c r="G563" t="s">
        <v>1733</v>
      </c>
      <c r="H563">
        <v>154.83189999999999</v>
      </c>
      <c r="I563">
        <v>663</v>
      </c>
      <c r="J563">
        <v>0</v>
      </c>
      <c r="K563" t="s">
        <v>95</v>
      </c>
      <c r="L563">
        <v>-13.7903538</v>
      </c>
      <c r="M563">
        <f t="shared" si="74"/>
        <v>-89.066618700668272</v>
      </c>
      <c r="N563" t="s">
        <v>95</v>
      </c>
      <c r="O563" t="s">
        <v>1734</v>
      </c>
      <c r="P563" t="s">
        <v>93</v>
      </c>
      <c r="Q563">
        <v>0</v>
      </c>
      <c r="R563" t="s">
        <v>95</v>
      </c>
      <c r="S563">
        <v>-13.1859967</v>
      </c>
      <c r="T563">
        <f t="shared" si="75"/>
        <v>-85.163307432124782</v>
      </c>
      <c r="U563" t="s">
        <v>95</v>
      </c>
      <c r="V563">
        <v>18873</v>
      </c>
      <c r="W563" t="s">
        <v>225</v>
      </c>
      <c r="X563">
        <v>298</v>
      </c>
      <c r="Y563" t="s">
        <v>179</v>
      </c>
      <c r="Z563">
        <v>-26.1</v>
      </c>
      <c r="AA563" t="s">
        <v>95</v>
      </c>
      <c r="AB563">
        <f t="shared" si="76"/>
        <v>-168.56991356432363</v>
      </c>
      <c r="AC563" t="s">
        <v>93</v>
      </c>
      <c r="AD563">
        <v>1.9</v>
      </c>
      <c r="AE563" t="s">
        <v>95</v>
      </c>
      <c r="AF563" t="s">
        <v>93</v>
      </c>
      <c r="BR563">
        <v>0.66</v>
      </c>
      <c r="CR563">
        <f t="shared" si="77"/>
        <v>-89.066618700668272</v>
      </c>
      <c r="CS563">
        <f t="shared" si="78"/>
        <v>-85.163307432124782</v>
      </c>
      <c r="CT563">
        <f t="shared" si="79"/>
        <v>-168.56991356432363</v>
      </c>
      <c r="CU563" s="7">
        <f t="shared" si="80"/>
        <v>-114.26661323237222</v>
      </c>
      <c r="CV563" s="9">
        <f t="shared" si="81"/>
        <v>154.83189999999999</v>
      </c>
      <c r="CW563" t="str">
        <f t="shared" si="82"/>
        <v>ScMn2</v>
      </c>
    </row>
    <row r="564" spans="1:101" ht="15.75" thickBot="1" x14ac:dyDescent="0.3">
      <c r="A564" t="s">
        <v>91</v>
      </c>
      <c r="B564" t="s">
        <v>93</v>
      </c>
      <c r="C564" t="s">
        <v>3144</v>
      </c>
      <c r="E564" t="s">
        <v>3145</v>
      </c>
      <c r="F564" t="s">
        <v>93</v>
      </c>
      <c r="G564" t="s">
        <v>2727</v>
      </c>
      <c r="H564">
        <v>284.059539999999</v>
      </c>
      <c r="I564">
        <v>1115</v>
      </c>
      <c r="M564">
        <f t="shared" si="74"/>
        <v>0</v>
      </c>
      <c r="O564" t="s">
        <v>93</v>
      </c>
      <c r="P564" t="s">
        <v>93</v>
      </c>
      <c r="T564">
        <f t="shared" si="75"/>
        <v>0</v>
      </c>
      <c r="V564" t="s">
        <v>93</v>
      </c>
      <c r="W564" t="s">
        <v>102</v>
      </c>
      <c r="X564">
        <v>298</v>
      </c>
      <c r="Y564" t="s">
        <v>103</v>
      </c>
      <c r="Z564">
        <v>-32.299999999999997</v>
      </c>
      <c r="AA564" t="s">
        <v>95</v>
      </c>
      <c r="AB564">
        <f t="shared" si="76"/>
        <v>-113.70855560774375</v>
      </c>
      <c r="AC564" t="s">
        <v>93</v>
      </c>
      <c r="AD564">
        <v>1.9</v>
      </c>
      <c r="AE564" t="s">
        <v>95</v>
      </c>
      <c r="AF564" t="s">
        <v>93</v>
      </c>
      <c r="AH564" t="s">
        <v>93</v>
      </c>
      <c r="AI564" t="s">
        <v>93</v>
      </c>
      <c r="AJ564" t="s">
        <v>93</v>
      </c>
      <c r="AK564" t="s">
        <v>93</v>
      </c>
      <c r="AR564">
        <v>0.25</v>
      </c>
      <c r="AV564">
        <v>0.5</v>
      </c>
      <c r="BR564">
        <v>0.25</v>
      </c>
      <c r="CR564">
        <f t="shared" si="77"/>
        <v>0</v>
      </c>
      <c r="CS564">
        <f t="shared" si="78"/>
        <v>0</v>
      </c>
      <c r="CT564">
        <f t="shared" si="79"/>
        <v>-113.70855560774375</v>
      </c>
      <c r="CU564" s="7">
        <f t="shared" si="80"/>
        <v>-113.70855560774375</v>
      </c>
      <c r="CV564" s="9">
        <f t="shared" si="81"/>
        <v>284.059539999999</v>
      </c>
      <c r="CW564" t="str">
        <f t="shared" si="82"/>
        <v>Ru2MnAl</v>
      </c>
    </row>
    <row r="565" spans="1:101" ht="15.75" thickBot="1" x14ac:dyDescent="0.3">
      <c r="A565" t="s">
        <v>91</v>
      </c>
      <c r="B565" t="s">
        <v>93</v>
      </c>
      <c r="C565" t="s">
        <v>3144</v>
      </c>
      <c r="E565" t="s">
        <v>3145</v>
      </c>
      <c r="F565" t="s">
        <v>93</v>
      </c>
      <c r="G565" t="s">
        <v>236</v>
      </c>
      <c r="H565">
        <v>555.51769999999999</v>
      </c>
      <c r="I565">
        <v>59</v>
      </c>
      <c r="M565">
        <f t="shared" si="74"/>
        <v>0</v>
      </c>
      <c r="O565" t="s">
        <v>93</v>
      </c>
      <c r="P565" t="s">
        <v>93</v>
      </c>
      <c r="T565">
        <f t="shared" si="75"/>
        <v>0</v>
      </c>
      <c r="V565" t="s">
        <v>93</v>
      </c>
      <c r="W565" t="s">
        <v>102</v>
      </c>
      <c r="X565">
        <v>298</v>
      </c>
      <c r="Y565" t="s">
        <v>103</v>
      </c>
      <c r="Z565">
        <v>-63.14</v>
      </c>
      <c r="AA565" t="s">
        <v>95</v>
      </c>
      <c r="AB565">
        <f t="shared" si="76"/>
        <v>-113.65974477500897</v>
      </c>
      <c r="AC565" t="s">
        <v>93</v>
      </c>
      <c r="AD565">
        <v>0.8</v>
      </c>
      <c r="AE565" t="s">
        <v>95</v>
      </c>
      <c r="AF565" t="s">
        <v>93</v>
      </c>
      <c r="AH565" t="s">
        <v>93</v>
      </c>
      <c r="AI565" t="s">
        <v>93</v>
      </c>
      <c r="AJ565" t="s">
        <v>93</v>
      </c>
      <c r="AK565" t="s">
        <v>93</v>
      </c>
      <c r="AR565">
        <v>0.5</v>
      </c>
      <c r="AS565">
        <v>0.2</v>
      </c>
      <c r="AV565">
        <v>0.3</v>
      </c>
      <c r="CR565">
        <f t="shared" si="77"/>
        <v>0</v>
      </c>
      <c r="CS565">
        <f t="shared" si="78"/>
        <v>0</v>
      </c>
      <c r="CT565">
        <f t="shared" si="79"/>
        <v>-113.65974477500897</v>
      </c>
      <c r="CU565" s="7">
        <f t="shared" si="80"/>
        <v>-113.65974477500897</v>
      </c>
      <c r="CV565" s="9">
        <f t="shared" si="81"/>
        <v>555.51769999999999</v>
      </c>
      <c r="CW565" t="str">
        <f t="shared" si="82"/>
        <v>Al5Ni2Ru3</v>
      </c>
    </row>
    <row r="566" spans="1:101" ht="15.75" thickBot="1" x14ac:dyDescent="0.3">
      <c r="A566" t="s">
        <v>91</v>
      </c>
      <c r="B566" t="s">
        <v>1264</v>
      </c>
      <c r="C566" t="s">
        <v>3144</v>
      </c>
      <c r="E566" t="s">
        <v>3145</v>
      </c>
      <c r="F566" t="s">
        <v>93</v>
      </c>
      <c r="G566" t="s">
        <v>1265</v>
      </c>
      <c r="H566">
        <v>342.53</v>
      </c>
      <c r="I566">
        <v>494</v>
      </c>
      <c r="M566">
        <f t="shared" si="74"/>
        <v>0</v>
      </c>
      <c r="O566" t="s">
        <v>93</v>
      </c>
      <c r="P566" t="s">
        <v>93</v>
      </c>
      <c r="T566">
        <f t="shared" si="75"/>
        <v>0</v>
      </c>
      <c r="V566" t="s">
        <v>93</v>
      </c>
      <c r="W566" t="s">
        <v>93</v>
      </c>
      <c r="X566">
        <v>298</v>
      </c>
      <c r="Y566" t="s">
        <v>93</v>
      </c>
      <c r="Z566">
        <v>-38.9</v>
      </c>
      <c r="AA566" t="s">
        <v>95</v>
      </c>
      <c r="AB566">
        <f t="shared" si="76"/>
        <v>-113.56669488803901</v>
      </c>
      <c r="AC566" t="s">
        <v>93</v>
      </c>
      <c r="AD566">
        <v>1.9</v>
      </c>
      <c r="AE566" t="s">
        <v>95</v>
      </c>
      <c r="AF566" t="s">
        <v>93</v>
      </c>
      <c r="AH566" t="s">
        <v>93</v>
      </c>
      <c r="AI566" t="s">
        <v>93</v>
      </c>
      <c r="AJ566" t="s">
        <v>93</v>
      </c>
      <c r="AK566" t="s">
        <v>93</v>
      </c>
      <c r="AO566">
        <v>0.28999999999999998</v>
      </c>
      <c r="BQ566">
        <v>0.71</v>
      </c>
      <c r="CR566">
        <f t="shared" si="77"/>
        <v>0</v>
      </c>
      <c r="CS566">
        <f t="shared" si="78"/>
        <v>0</v>
      </c>
      <c r="CT566">
        <f t="shared" si="79"/>
        <v>-113.56669488803901</v>
      </c>
      <c r="CU566" s="7">
        <f t="shared" si="80"/>
        <v>-113.56669488803901</v>
      </c>
      <c r="CV566" s="9">
        <f t="shared" si="81"/>
        <v>342.53</v>
      </c>
      <c r="CW566" t="str">
        <f t="shared" si="82"/>
        <v>B5Nd2</v>
      </c>
    </row>
    <row r="567" spans="1:101" ht="15.75" thickBot="1" x14ac:dyDescent="0.3">
      <c r="A567" t="s">
        <v>91</v>
      </c>
      <c r="B567" t="s">
        <v>2810</v>
      </c>
      <c r="C567" t="s">
        <v>3144</v>
      </c>
      <c r="E567" t="s">
        <v>3145</v>
      </c>
      <c r="F567" t="s">
        <v>93</v>
      </c>
      <c r="G567" t="s">
        <v>2811</v>
      </c>
      <c r="H567">
        <v>375.4425</v>
      </c>
      <c r="I567">
        <v>1149</v>
      </c>
      <c r="J567">
        <v>1.4921882900000001</v>
      </c>
      <c r="K567" t="s">
        <v>95</v>
      </c>
      <c r="L567">
        <v>-40.173378849999999</v>
      </c>
      <c r="M567">
        <f t="shared" si="74"/>
        <v>-107.00274702517696</v>
      </c>
      <c r="N567" t="s">
        <v>95</v>
      </c>
      <c r="O567" t="s">
        <v>2812</v>
      </c>
      <c r="P567" t="s">
        <v>121</v>
      </c>
      <c r="Q567">
        <v>1.5979854899999999</v>
      </c>
      <c r="R567" t="s">
        <v>95</v>
      </c>
      <c r="S567">
        <v>-42.322172960000003</v>
      </c>
      <c r="T567">
        <f t="shared" si="75"/>
        <v>-112.7261110822563</v>
      </c>
      <c r="U567" t="s">
        <v>95</v>
      </c>
      <c r="V567">
        <v>18063</v>
      </c>
      <c r="W567" t="s">
        <v>870</v>
      </c>
      <c r="X567">
        <v>298</v>
      </c>
      <c r="Y567" t="s">
        <v>98</v>
      </c>
      <c r="Z567">
        <v>-44.8</v>
      </c>
      <c r="AA567" t="s">
        <v>95</v>
      </c>
      <c r="AB567">
        <f t="shared" si="76"/>
        <v>-119.32586214933046</v>
      </c>
      <c r="AC567" t="s">
        <v>93</v>
      </c>
      <c r="AD567">
        <v>2.2000000000000002</v>
      </c>
      <c r="AE567" t="s">
        <v>95</v>
      </c>
      <c r="AF567" t="s">
        <v>93</v>
      </c>
      <c r="BD567">
        <v>0.25</v>
      </c>
      <c r="BF567">
        <v>0.5</v>
      </c>
      <c r="CF567">
        <v>0.25</v>
      </c>
      <c r="CR567">
        <f t="shared" si="77"/>
        <v>-107.00274702517696</v>
      </c>
      <c r="CS567">
        <f t="shared" si="78"/>
        <v>-112.7261110822563</v>
      </c>
      <c r="CT567">
        <f t="shared" si="79"/>
        <v>-119.32586214933046</v>
      </c>
      <c r="CU567" s="7">
        <f t="shared" si="80"/>
        <v>-113.01824008558792</v>
      </c>
      <c r="CV567" s="9">
        <f t="shared" si="81"/>
        <v>375.4425</v>
      </c>
      <c r="CW567" t="str">
        <f t="shared" si="82"/>
        <v>VSnRh2</v>
      </c>
    </row>
    <row r="568" spans="1:101" ht="15.75" thickBot="1" x14ac:dyDescent="0.3">
      <c r="A568" t="s">
        <v>91</v>
      </c>
      <c r="B568" t="s">
        <v>93</v>
      </c>
      <c r="C568" t="s">
        <v>3144</v>
      </c>
      <c r="E568" t="s">
        <v>3145</v>
      </c>
      <c r="F568" t="s">
        <v>93</v>
      </c>
      <c r="G568" t="s">
        <v>313</v>
      </c>
      <c r="H568">
        <v>507.82615999999899</v>
      </c>
      <c r="I568">
        <v>119</v>
      </c>
      <c r="M568">
        <f t="shared" si="74"/>
        <v>0</v>
      </c>
      <c r="O568" t="s">
        <v>93</v>
      </c>
      <c r="P568" t="s">
        <v>93</v>
      </c>
      <c r="T568">
        <f t="shared" si="75"/>
        <v>0</v>
      </c>
      <c r="V568" t="s">
        <v>93</v>
      </c>
      <c r="W568" t="s">
        <v>102</v>
      </c>
      <c r="X568">
        <v>298</v>
      </c>
      <c r="Y568" t="s">
        <v>103</v>
      </c>
      <c r="Z568">
        <v>-57.14</v>
      </c>
      <c r="AA568" t="s">
        <v>95</v>
      </c>
      <c r="AB568">
        <f t="shared" si="76"/>
        <v>-112.51881943222483</v>
      </c>
      <c r="AC568" t="s">
        <v>93</v>
      </c>
      <c r="AD568">
        <v>1.86</v>
      </c>
      <c r="AE568" t="s">
        <v>95</v>
      </c>
      <c r="AF568" t="s">
        <v>93</v>
      </c>
      <c r="AH568" t="s">
        <v>93</v>
      </c>
      <c r="AI568" t="s">
        <v>93</v>
      </c>
      <c r="AJ568" t="s">
        <v>93</v>
      </c>
      <c r="AK568" t="s">
        <v>93</v>
      </c>
      <c r="AR568">
        <v>0.4</v>
      </c>
      <c r="AS568">
        <v>0.5</v>
      </c>
      <c r="AZ568">
        <v>0.1</v>
      </c>
      <c r="CR568">
        <f t="shared" si="77"/>
        <v>0</v>
      </c>
      <c r="CS568">
        <f t="shared" si="78"/>
        <v>0</v>
      </c>
      <c r="CT568">
        <f t="shared" si="79"/>
        <v>-112.51881943222483</v>
      </c>
      <c r="CU568" s="7">
        <f t="shared" si="80"/>
        <v>-112.51881943222483</v>
      </c>
      <c r="CV568" s="9">
        <f t="shared" si="81"/>
        <v>507.82615999999899</v>
      </c>
      <c r="CW568" t="str">
        <f t="shared" si="82"/>
        <v>Al4Ni5Pd</v>
      </c>
    </row>
    <row r="569" spans="1:101" ht="15.75" thickBot="1" x14ac:dyDescent="0.3">
      <c r="A569" t="s">
        <v>91</v>
      </c>
      <c r="B569" t="s">
        <v>2892</v>
      </c>
      <c r="C569" t="s">
        <v>3144</v>
      </c>
      <c r="E569" t="s">
        <v>3145</v>
      </c>
      <c r="F569" t="s">
        <v>93</v>
      </c>
      <c r="G569" t="s">
        <v>2893</v>
      </c>
      <c r="H569">
        <v>368.71799999999899</v>
      </c>
      <c r="I569">
        <v>1183</v>
      </c>
      <c r="J569">
        <v>5.0059331199999999</v>
      </c>
      <c r="K569" t="s">
        <v>95</v>
      </c>
      <c r="L569">
        <v>-32.704911719999998</v>
      </c>
      <c r="M569">
        <f t="shared" si="74"/>
        <v>-88.698983288041504</v>
      </c>
      <c r="N569" t="s">
        <v>95</v>
      </c>
      <c r="O569" t="s">
        <v>2894</v>
      </c>
      <c r="P569" t="s">
        <v>93</v>
      </c>
      <c r="Q569">
        <v>4.7585787699999997</v>
      </c>
      <c r="R569" t="s">
        <v>95</v>
      </c>
      <c r="S569">
        <v>-35.628199889999998</v>
      </c>
      <c r="T569">
        <f t="shared" si="75"/>
        <v>-96.627232437798256</v>
      </c>
      <c r="U569" t="s">
        <v>95</v>
      </c>
      <c r="V569">
        <v>17683</v>
      </c>
      <c r="W569" t="s">
        <v>1370</v>
      </c>
      <c r="X569">
        <v>298</v>
      </c>
      <c r="Y569" t="s">
        <v>1983</v>
      </c>
      <c r="Z569">
        <v>-55.8</v>
      </c>
      <c r="AA569" t="s">
        <v>95</v>
      </c>
      <c r="AB569">
        <f t="shared" si="76"/>
        <v>-151.33516671277278</v>
      </c>
      <c r="AC569" t="s">
        <v>93</v>
      </c>
      <c r="AD569">
        <v>2.6</v>
      </c>
      <c r="AE569" t="s">
        <v>95</v>
      </c>
      <c r="AF569" t="s">
        <v>93</v>
      </c>
      <c r="AY569">
        <v>0.33300000000000002</v>
      </c>
      <c r="BR569">
        <v>0.33300000000000002</v>
      </c>
      <c r="CF569">
        <v>0.33300000000000002</v>
      </c>
      <c r="CR569">
        <f t="shared" si="77"/>
        <v>-88.698983288041504</v>
      </c>
      <c r="CS569">
        <f t="shared" si="78"/>
        <v>-96.627232437798256</v>
      </c>
      <c r="CT569">
        <f t="shared" si="79"/>
        <v>-151.33516671277278</v>
      </c>
      <c r="CU569" s="7">
        <f t="shared" si="80"/>
        <v>-112.22046081287084</v>
      </c>
      <c r="CV569" s="9">
        <f t="shared" si="81"/>
        <v>368.71799999999899</v>
      </c>
      <c r="CW569" t="str">
        <f t="shared" si="82"/>
        <v>MnSnPt</v>
      </c>
    </row>
    <row r="570" spans="1:101" ht="15.75" thickBot="1" x14ac:dyDescent="0.3">
      <c r="A570" t="s">
        <v>91</v>
      </c>
      <c r="B570" t="s">
        <v>2801</v>
      </c>
      <c r="C570" t="s">
        <v>3144</v>
      </c>
      <c r="E570" t="s">
        <v>3145</v>
      </c>
      <c r="F570" t="s">
        <v>93</v>
      </c>
      <c r="G570" t="s">
        <v>2802</v>
      </c>
      <c r="H570">
        <v>379.438999999999</v>
      </c>
      <c r="I570">
        <v>1145</v>
      </c>
      <c r="J570">
        <v>0</v>
      </c>
      <c r="K570" t="s">
        <v>95</v>
      </c>
      <c r="L570">
        <v>-42.463694310000001</v>
      </c>
      <c r="M570">
        <f t="shared" si="74"/>
        <v>-111.91178110315522</v>
      </c>
      <c r="N570" t="s">
        <v>95</v>
      </c>
      <c r="O570" t="s">
        <v>2803</v>
      </c>
      <c r="P570" t="s">
        <v>93</v>
      </c>
      <c r="Q570">
        <v>0</v>
      </c>
      <c r="R570" t="s">
        <v>95</v>
      </c>
      <c r="S570">
        <v>-45.06765841</v>
      </c>
      <c r="T570">
        <f t="shared" si="75"/>
        <v>-118.77444967438802</v>
      </c>
      <c r="U570" t="s">
        <v>95</v>
      </c>
      <c r="V570">
        <v>17688</v>
      </c>
      <c r="W570" t="s">
        <v>184</v>
      </c>
      <c r="X570">
        <v>298</v>
      </c>
      <c r="Y570" t="s">
        <v>185</v>
      </c>
      <c r="Z570">
        <v>-40.1</v>
      </c>
      <c r="AA570" t="s">
        <v>95</v>
      </c>
      <c r="AB570">
        <f t="shared" si="76"/>
        <v>-105.68233629120914</v>
      </c>
      <c r="AC570" t="s">
        <v>93</v>
      </c>
      <c r="AD570">
        <v>3.6</v>
      </c>
      <c r="AE570" t="s">
        <v>95</v>
      </c>
      <c r="AF570" t="s">
        <v>93</v>
      </c>
      <c r="BF570">
        <v>0.5</v>
      </c>
      <c r="BR570">
        <v>0.25</v>
      </c>
      <c r="CF570">
        <v>0.25</v>
      </c>
      <c r="CR570">
        <f t="shared" si="77"/>
        <v>-111.91178110315522</v>
      </c>
      <c r="CS570">
        <f t="shared" si="78"/>
        <v>-118.77444967438802</v>
      </c>
      <c r="CT570">
        <f t="shared" si="79"/>
        <v>-105.68233629120914</v>
      </c>
      <c r="CU570" s="7">
        <f t="shared" si="80"/>
        <v>-112.12285568958413</v>
      </c>
      <c r="CV570" s="9">
        <f t="shared" si="81"/>
        <v>379.438999999999</v>
      </c>
      <c r="CW570" t="str">
        <f t="shared" si="82"/>
        <v>MnSnRh2</v>
      </c>
    </row>
    <row r="571" spans="1:101" ht="15.75" thickBot="1" x14ac:dyDescent="0.3">
      <c r="A571" t="s">
        <v>91</v>
      </c>
      <c r="B571" t="s">
        <v>2401</v>
      </c>
      <c r="C571" t="s">
        <v>3144</v>
      </c>
      <c r="E571" t="s">
        <v>3145</v>
      </c>
      <c r="F571" t="s">
        <v>93</v>
      </c>
      <c r="G571" t="s">
        <v>2368</v>
      </c>
      <c r="H571">
        <v>200.69494</v>
      </c>
      <c r="I571">
        <v>976</v>
      </c>
      <c r="M571">
        <f t="shared" si="74"/>
        <v>0</v>
      </c>
      <c r="O571" t="s">
        <v>93</v>
      </c>
      <c r="P571" t="s">
        <v>93</v>
      </c>
      <c r="T571">
        <f t="shared" si="75"/>
        <v>0</v>
      </c>
      <c r="V571" t="s">
        <v>93</v>
      </c>
      <c r="W571" t="s">
        <v>102</v>
      </c>
      <c r="X571">
        <v>298</v>
      </c>
      <c r="Y571" t="s">
        <v>103</v>
      </c>
      <c r="Z571">
        <v>-22.5</v>
      </c>
      <c r="AA571" t="s">
        <v>95</v>
      </c>
      <c r="AB571">
        <f t="shared" si="76"/>
        <v>-112.1104498200104</v>
      </c>
      <c r="AC571" t="s">
        <v>93</v>
      </c>
      <c r="AD571">
        <v>2.5</v>
      </c>
      <c r="AE571" t="s">
        <v>95</v>
      </c>
      <c r="AF571" t="s">
        <v>93</v>
      </c>
      <c r="AH571" t="s">
        <v>93</v>
      </c>
      <c r="AI571" t="s">
        <v>93</v>
      </c>
      <c r="AJ571" t="s">
        <v>93</v>
      </c>
      <c r="AK571" t="s">
        <v>93</v>
      </c>
      <c r="AR571">
        <v>0.25</v>
      </c>
      <c r="AT571">
        <v>0.25</v>
      </c>
      <c r="AW571">
        <v>0.5</v>
      </c>
      <c r="CR571">
        <f t="shared" si="77"/>
        <v>0</v>
      </c>
      <c r="CS571">
        <f t="shared" si="78"/>
        <v>0</v>
      </c>
      <c r="CT571">
        <f t="shared" si="79"/>
        <v>-112.1104498200104</v>
      </c>
      <c r="CU571" s="7">
        <f t="shared" si="80"/>
        <v>-112.1104498200104</v>
      </c>
      <c r="CV571" s="9">
        <f t="shared" si="81"/>
        <v>200.69494</v>
      </c>
      <c r="CW571" t="str">
        <f t="shared" si="82"/>
        <v>Co2FeAl</v>
      </c>
    </row>
    <row r="572" spans="1:101" ht="15.75" thickBot="1" x14ac:dyDescent="0.3">
      <c r="A572" t="s">
        <v>91</v>
      </c>
      <c r="B572" t="s">
        <v>93</v>
      </c>
      <c r="C572" t="s">
        <v>3144</v>
      </c>
      <c r="E572" t="s">
        <v>3145</v>
      </c>
      <c r="F572" t="s">
        <v>93</v>
      </c>
      <c r="G572" t="s">
        <v>215</v>
      </c>
      <c r="H572">
        <v>425.55470000000003</v>
      </c>
      <c r="I572">
        <v>47</v>
      </c>
      <c r="M572">
        <f t="shared" si="74"/>
        <v>0</v>
      </c>
      <c r="O572" t="s">
        <v>93</v>
      </c>
      <c r="P572" t="s">
        <v>93</v>
      </c>
      <c r="T572">
        <f t="shared" si="75"/>
        <v>0</v>
      </c>
      <c r="V572" t="s">
        <v>93</v>
      </c>
      <c r="W572" t="s">
        <v>102</v>
      </c>
      <c r="X572">
        <v>298</v>
      </c>
      <c r="Y572" t="s">
        <v>103</v>
      </c>
      <c r="Z572">
        <v>-47.7</v>
      </c>
      <c r="AA572" t="s">
        <v>95</v>
      </c>
      <c r="AB572">
        <f t="shared" si="76"/>
        <v>-112.08899819459168</v>
      </c>
      <c r="AC572" t="s">
        <v>93</v>
      </c>
      <c r="AD572">
        <v>1.2</v>
      </c>
      <c r="AE572" t="s">
        <v>95</v>
      </c>
      <c r="AF572" t="s">
        <v>93</v>
      </c>
      <c r="AH572" t="s">
        <v>93</v>
      </c>
      <c r="AI572" t="s">
        <v>93</v>
      </c>
      <c r="AJ572" t="s">
        <v>93</v>
      </c>
      <c r="AK572" t="s">
        <v>93</v>
      </c>
      <c r="AR572">
        <v>0.5</v>
      </c>
      <c r="AS572">
        <v>0.4</v>
      </c>
      <c r="AT572">
        <v>0.1</v>
      </c>
      <c r="CR572">
        <f t="shared" si="77"/>
        <v>0</v>
      </c>
      <c r="CS572">
        <f t="shared" si="78"/>
        <v>0</v>
      </c>
      <c r="CT572">
        <f t="shared" si="79"/>
        <v>-112.08899819459168</v>
      </c>
      <c r="CU572" s="7">
        <f t="shared" si="80"/>
        <v>-112.08899819459168</v>
      </c>
      <c r="CV572" s="9">
        <f t="shared" si="81"/>
        <v>425.55470000000003</v>
      </c>
      <c r="CW572" t="str">
        <f t="shared" si="82"/>
        <v>Al5FeNi4</v>
      </c>
    </row>
    <row r="573" spans="1:101" ht="15.75" thickBot="1" x14ac:dyDescent="0.3">
      <c r="A573" t="s">
        <v>91</v>
      </c>
      <c r="B573" t="s">
        <v>93</v>
      </c>
      <c r="C573" t="s">
        <v>3144</v>
      </c>
      <c r="E573" t="s">
        <v>3145</v>
      </c>
      <c r="F573" t="s">
        <v>93</v>
      </c>
      <c r="G573" t="s">
        <v>329</v>
      </c>
      <c r="H573">
        <v>491.16307999999998</v>
      </c>
      <c r="I573">
        <v>131</v>
      </c>
      <c r="M573">
        <f t="shared" si="74"/>
        <v>0</v>
      </c>
      <c r="O573" t="s">
        <v>93</v>
      </c>
      <c r="P573" t="s">
        <v>93</v>
      </c>
      <c r="T573">
        <f t="shared" si="75"/>
        <v>0</v>
      </c>
      <c r="V573" t="s">
        <v>93</v>
      </c>
      <c r="W573" t="s">
        <v>184</v>
      </c>
      <c r="X573">
        <v>298</v>
      </c>
      <c r="Y573" t="s">
        <v>185</v>
      </c>
      <c r="Z573">
        <v>-54.9</v>
      </c>
      <c r="AA573" t="s">
        <v>95</v>
      </c>
      <c r="AB573">
        <f t="shared" si="76"/>
        <v>-111.77550234435373</v>
      </c>
      <c r="AC573" t="s">
        <v>93</v>
      </c>
      <c r="AD573">
        <v>3</v>
      </c>
      <c r="AE573" t="s">
        <v>95</v>
      </c>
      <c r="AF573" t="s">
        <v>93</v>
      </c>
      <c r="AH573" t="s">
        <v>93</v>
      </c>
      <c r="AI573" t="s">
        <v>93</v>
      </c>
      <c r="AJ573" t="s">
        <v>93</v>
      </c>
      <c r="AK573" t="s">
        <v>93</v>
      </c>
      <c r="AR573">
        <v>0.2</v>
      </c>
      <c r="AS573">
        <v>0.5</v>
      </c>
      <c r="BA573">
        <v>0.3</v>
      </c>
      <c r="CR573">
        <f t="shared" si="77"/>
        <v>0</v>
      </c>
      <c r="CS573">
        <f t="shared" si="78"/>
        <v>0</v>
      </c>
      <c r="CT573">
        <f t="shared" si="79"/>
        <v>-111.77550234435373</v>
      </c>
      <c r="CU573" s="7">
        <f t="shared" si="80"/>
        <v>-111.77550234435373</v>
      </c>
      <c r="CV573" s="9">
        <f t="shared" si="81"/>
        <v>491.16307999999998</v>
      </c>
      <c r="CW573" t="str">
        <f t="shared" si="82"/>
        <v>Al2Ni5Ti3</v>
      </c>
    </row>
    <row r="574" spans="1:101" ht="15.75" thickBot="1" x14ac:dyDescent="0.3">
      <c r="A574" t="s">
        <v>91</v>
      </c>
      <c r="B574" t="s">
        <v>562</v>
      </c>
      <c r="C574" t="s">
        <v>3144</v>
      </c>
      <c r="E574" t="s">
        <v>3145</v>
      </c>
      <c r="F574" t="s">
        <v>93</v>
      </c>
      <c r="G574" t="s">
        <v>563</v>
      </c>
      <c r="H574">
        <v>747.77</v>
      </c>
      <c r="I574">
        <v>230</v>
      </c>
      <c r="M574">
        <f t="shared" si="74"/>
        <v>0</v>
      </c>
      <c r="O574" t="s">
        <v>93</v>
      </c>
      <c r="P574" t="s">
        <v>93</v>
      </c>
      <c r="T574">
        <f t="shared" si="75"/>
        <v>0</v>
      </c>
      <c r="V574" t="s">
        <v>93</v>
      </c>
      <c r="W574" t="s">
        <v>93</v>
      </c>
      <c r="X574">
        <v>298</v>
      </c>
      <c r="Y574" t="s">
        <v>93</v>
      </c>
      <c r="Z574">
        <v>-82.8</v>
      </c>
      <c r="AA574" t="s">
        <v>95</v>
      </c>
      <c r="AB574">
        <f t="shared" si="76"/>
        <v>-110.72923492517754</v>
      </c>
      <c r="AC574" t="s">
        <v>93</v>
      </c>
      <c r="AD574">
        <v>2.2000000000000002</v>
      </c>
      <c r="AE574" t="s">
        <v>95</v>
      </c>
      <c r="AF574" t="s">
        <v>93</v>
      </c>
      <c r="AH574" t="s">
        <v>93</v>
      </c>
      <c r="AI574" t="s">
        <v>93</v>
      </c>
      <c r="AJ574" t="s">
        <v>93</v>
      </c>
      <c r="AK574" t="s">
        <v>93</v>
      </c>
      <c r="AY574">
        <v>0.75</v>
      </c>
      <c r="BG574">
        <v>0.25</v>
      </c>
      <c r="CR574">
        <f t="shared" si="77"/>
        <v>0</v>
      </c>
      <c r="CS574">
        <f t="shared" si="78"/>
        <v>0</v>
      </c>
      <c r="CT574">
        <f t="shared" si="79"/>
        <v>-110.72923492517754</v>
      </c>
      <c r="CU574" s="7">
        <f t="shared" si="80"/>
        <v>-110.72923492517754</v>
      </c>
      <c r="CV574" s="9">
        <f t="shared" si="81"/>
        <v>747.77</v>
      </c>
      <c r="CW574" t="str">
        <f t="shared" si="82"/>
        <v>DyPt3</v>
      </c>
    </row>
    <row r="575" spans="1:101" ht="15.75" thickBot="1" x14ac:dyDescent="0.3">
      <c r="A575" t="s">
        <v>91</v>
      </c>
      <c r="B575" t="s">
        <v>2916</v>
      </c>
      <c r="C575" t="s">
        <v>3144</v>
      </c>
      <c r="E575" t="s">
        <v>3145</v>
      </c>
      <c r="F575" t="s">
        <v>93</v>
      </c>
      <c r="G575" t="s">
        <v>2917</v>
      </c>
      <c r="H575">
        <v>338.72800000000001</v>
      </c>
      <c r="I575">
        <v>1199</v>
      </c>
      <c r="M575">
        <f t="shared" si="74"/>
        <v>0</v>
      </c>
      <c r="O575" t="s">
        <v>93</v>
      </c>
      <c r="P575" t="s">
        <v>93</v>
      </c>
      <c r="T575">
        <f t="shared" si="75"/>
        <v>0</v>
      </c>
      <c r="V575" t="s">
        <v>93</v>
      </c>
      <c r="W575" t="s">
        <v>184</v>
      </c>
      <c r="X575">
        <v>298</v>
      </c>
      <c r="Y575" t="s">
        <v>1983</v>
      </c>
      <c r="Z575">
        <v>-37.5</v>
      </c>
      <c r="AA575" t="s">
        <v>95</v>
      </c>
      <c r="AB575">
        <f t="shared" si="76"/>
        <v>-110.70829692260457</v>
      </c>
      <c r="AC575" t="s">
        <v>93</v>
      </c>
      <c r="AD575">
        <v>1</v>
      </c>
      <c r="AE575" t="s">
        <v>95</v>
      </c>
      <c r="AF575" t="s">
        <v>93</v>
      </c>
      <c r="AH575" t="s">
        <v>93</v>
      </c>
      <c r="AI575" t="s">
        <v>93</v>
      </c>
      <c r="AJ575" t="s">
        <v>93</v>
      </c>
      <c r="AK575" t="s">
        <v>93</v>
      </c>
      <c r="AS575">
        <v>0.25</v>
      </c>
      <c r="AZ575">
        <v>0.25</v>
      </c>
      <c r="BR575">
        <v>0.25</v>
      </c>
      <c r="CF575">
        <v>0.25</v>
      </c>
      <c r="CR575">
        <f t="shared" si="77"/>
        <v>0</v>
      </c>
      <c r="CS575">
        <f t="shared" si="78"/>
        <v>0</v>
      </c>
      <c r="CT575">
        <f t="shared" si="79"/>
        <v>-110.70829692260457</v>
      </c>
      <c r="CU575" s="7">
        <f t="shared" si="80"/>
        <v>-110.70829692260457</v>
      </c>
      <c r="CV575" s="9">
        <f t="shared" si="81"/>
        <v>338.72800000000001</v>
      </c>
      <c r="CW575" t="str">
        <f t="shared" si="82"/>
        <v>NiPdMnSn</v>
      </c>
    </row>
    <row r="576" spans="1:101" ht="15.75" thickBot="1" x14ac:dyDescent="0.3">
      <c r="A576" t="s">
        <v>91</v>
      </c>
      <c r="B576" t="s">
        <v>2749</v>
      </c>
      <c r="C576" t="s">
        <v>3144</v>
      </c>
      <c r="E576" t="s">
        <v>3145</v>
      </c>
      <c r="F576" t="s">
        <v>93</v>
      </c>
      <c r="G576" t="s">
        <v>2750</v>
      </c>
      <c r="H576">
        <v>280.06304</v>
      </c>
      <c r="I576">
        <v>1124</v>
      </c>
      <c r="M576">
        <f t="shared" si="74"/>
        <v>0</v>
      </c>
      <c r="O576" t="s">
        <v>93</v>
      </c>
      <c r="P576" t="s">
        <v>93</v>
      </c>
      <c r="T576">
        <f t="shared" si="75"/>
        <v>0</v>
      </c>
      <c r="V576" t="s">
        <v>93</v>
      </c>
      <c r="W576" t="s">
        <v>102</v>
      </c>
      <c r="X576">
        <v>298</v>
      </c>
      <c r="Y576" t="s">
        <v>103</v>
      </c>
      <c r="Z576">
        <v>-30.9</v>
      </c>
      <c r="AA576" t="s">
        <v>95</v>
      </c>
      <c r="AB576">
        <f t="shared" si="76"/>
        <v>-110.33230232736172</v>
      </c>
      <c r="AC576" t="s">
        <v>93</v>
      </c>
      <c r="AD576">
        <v>1.6</v>
      </c>
      <c r="AE576" t="s">
        <v>95</v>
      </c>
      <c r="AF576" t="s">
        <v>93</v>
      </c>
      <c r="AH576" t="s">
        <v>93</v>
      </c>
      <c r="AI576" t="s">
        <v>93</v>
      </c>
      <c r="AJ576" t="s">
        <v>93</v>
      </c>
      <c r="AK576" t="s">
        <v>93</v>
      </c>
      <c r="AR576">
        <v>0.25</v>
      </c>
      <c r="AV576">
        <v>0.5</v>
      </c>
      <c r="BD576">
        <v>0.25</v>
      </c>
      <c r="CR576">
        <f t="shared" si="77"/>
        <v>0</v>
      </c>
      <c r="CS576">
        <f t="shared" si="78"/>
        <v>0</v>
      </c>
      <c r="CT576">
        <f t="shared" si="79"/>
        <v>-110.33230232736172</v>
      </c>
      <c r="CU576" s="7">
        <f t="shared" si="80"/>
        <v>-110.33230232736172</v>
      </c>
      <c r="CV576" s="9">
        <f t="shared" si="81"/>
        <v>280.06304</v>
      </c>
      <c r="CW576" t="str">
        <f t="shared" si="82"/>
        <v>Ru2VAl</v>
      </c>
    </row>
    <row r="577" spans="1:101" ht="15.75" thickBot="1" x14ac:dyDescent="0.3">
      <c r="A577" t="s">
        <v>91</v>
      </c>
      <c r="B577" t="s">
        <v>2022</v>
      </c>
      <c r="C577" t="s">
        <v>3144</v>
      </c>
      <c r="E577" t="s">
        <v>3145</v>
      </c>
      <c r="G577" t="s">
        <v>2024</v>
      </c>
      <c r="H577">
        <v>463.38</v>
      </c>
      <c r="I577">
        <v>794</v>
      </c>
      <c r="J577">
        <v>0</v>
      </c>
      <c r="K577" t="s">
        <v>95</v>
      </c>
      <c r="L577">
        <v>-51.251564629999997</v>
      </c>
      <c r="M577">
        <f t="shared" si="74"/>
        <v>-110.60374774483144</v>
      </c>
      <c r="N577" t="s">
        <v>95</v>
      </c>
      <c r="O577" t="s">
        <v>2025</v>
      </c>
      <c r="P577" t="s">
        <v>93</v>
      </c>
      <c r="Q577">
        <v>0</v>
      </c>
      <c r="R577" t="s">
        <v>95</v>
      </c>
      <c r="S577">
        <v>-50.902507540000002</v>
      </c>
      <c r="T577">
        <f t="shared" si="75"/>
        <v>-109.85046298933919</v>
      </c>
      <c r="U577" t="s">
        <v>95</v>
      </c>
      <c r="V577">
        <v>17382</v>
      </c>
      <c r="W577" t="s">
        <v>97</v>
      </c>
      <c r="X577">
        <v>1473</v>
      </c>
      <c r="Y577" t="s">
        <v>98</v>
      </c>
      <c r="AB577">
        <f t="shared" si="76"/>
        <v>0</v>
      </c>
      <c r="AC577" t="s">
        <v>93</v>
      </c>
      <c r="AD577">
        <v>2.7</v>
      </c>
      <c r="AE577" t="s">
        <v>95</v>
      </c>
      <c r="AF577" t="s">
        <v>93</v>
      </c>
      <c r="AQ577">
        <v>0.67</v>
      </c>
      <c r="AZ577">
        <v>0.33</v>
      </c>
      <c r="CG577">
        <v>-52.4</v>
      </c>
      <c r="CH577" t="s">
        <v>95</v>
      </c>
      <c r="CI577" t="s">
        <v>93</v>
      </c>
      <c r="CR577">
        <f t="shared" si="77"/>
        <v>-110.60374774483144</v>
      </c>
      <c r="CS577">
        <f t="shared" si="78"/>
        <v>-109.85046298933919</v>
      </c>
      <c r="CT577">
        <f t="shared" si="79"/>
        <v>0</v>
      </c>
      <c r="CU577" s="7">
        <f t="shared" si="80"/>
        <v>-110.22710536708531</v>
      </c>
      <c r="CV577" s="9">
        <f t="shared" si="81"/>
        <v>463.38</v>
      </c>
      <c r="CW577" t="str">
        <f t="shared" si="82"/>
        <v>Hf2Pd</v>
      </c>
    </row>
    <row r="578" spans="1:101" ht="15.75" thickBot="1" x14ac:dyDescent="0.3">
      <c r="A578" t="s">
        <v>484</v>
      </c>
      <c r="B578" t="s">
        <v>93</v>
      </c>
      <c r="C578" t="s">
        <v>3138</v>
      </c>
      <c r="D578" t="s">
        <v>3139</v>
      </c>
      <c r="F578" t="s">
        <v>3140</v>
      </c>
      <c r="G578" t="s">
        <v>2339</v>
      </c>
      <c r="H578">
        <v>284.659999999999</v>
      </c>
      <c r="I578">
        <v>946</v>
      </c>
      <c r="M578">
        <f t="shared" ref="M578:M641" si="83">(1000/H578)*L578</f>
        <v>0</v>
      </c>
      <c r="O578" t="s">
        <v>93</v>
      </c>
      <c r="P578" t="s">
        <v>93</v>
      </c>
      <c r="T578">
        <f t="shared" ref="T578:T641" si="84">(1000/H578)*S578</f>
        <v>0</v>
      </c>
      <c r="V578" t="s">
        <v>93</v>
      </c>
      <c r="W578" t="s">
        <v>159</v>
      </c>
      <c r="X578">
        <v>298</v>
      </c>
      <c r="Y578" t="s">
        <v>160</v>
      </c>
      <c r="Z578">
        <v>-31.3</v>
      </c>
      <c r="AA578" t="s">
        <v>95</v>
      </c>
      <c r="AB578">
        <f t="shared" ref="AB578:AB641" si="85">(1000/H578)*Z578</f>
        <v>-109.95573666830643</v>
      </c>
      <c r="AC578" t="s">
        <v>93</v>
      </c>
      <c r="AD578">
        <v>1</v>
      </c>
      <c r="AE578" t="s">
        <v>95</v>
      </c>
      <c r="AF578" t="s">
        <v>93</v>
      </c>
      <c r="AH578" t="s">
        <v>93</v>
      </c>
      <c r="AI578" t="s">
        <v>93</v>
      </c>
      <c r="AJ578" t="s">
        <v>93</v>
      </c>
      <c r="AK578" t="s">
        <v>93</v>
      </c>
      <c r="AS578">
        <v>0.68400000000000005</v>
      </c>
      <c r="BH578">
        <v>0.316</v>
      </c>
      <c r="CR578">
        <f t="shared" ref="CR578:CR641" si="86">VALUE(M578)</f>
        <v>0</v>
      </c>
      <c r="CS578">
        <f t="shared" ref="CS578:CS641" si="87">VALUE(T578)</f>
        <v>0</v>
      </c>
      <c r="CT578">
        <f t="shared" ref="CT578:CT641" si="88">VALUE(AB578)</f>
        <v>-109.95573666830643</v>
      </c>
      <c r="CU578" s="7">
        <f t="shared" ref="CU578:CU641" si="89">SUM(CR578:CT578)/(COUNTIF(CR578:CT578,"&lt;&gt;0")-COUNTBLANK(CR578:CT578)-(COUNTA(CR578:CT578)-COUNT(CR578:CT578)))</f>
        <v>-109.95573666830643</v>
      </c>
      <c r="CV578" s="9">
        <f t="shared" si="81"/>
        <v>284.659999999999</v>
      </c>
      <c r="CW578" t="str">
        <f t="shared" si="82"/>
        <v>ErNi2</v>
      </c>
    </row>
    <row r="579" spans="1:101" ht="15.75" thickBot="1" x14ac:dyDescent="0.3">
      <c r="A579" t="s">
        <v>91</v>
      </c>
      <c r="B579" t="s">
        <v>92</v>
      </c>
      <c r="C579" t="s">
        <v>3144</v>
      </c>
      <c r="E579" t="s">
        <v>3145</v>
      </c>
      <c r="F579" t="s">
        <v>93</v>
      </c>
      <c r="G579" t="s">
        <v>94</v>
      </c>
      <c r="H579">
        <v>260.69189999999998</v>
      </c>
      <c r="I579">
        <v>1</v>
      </c>
      <c r="J579">
        <v>0</v>
      </c>
      <c r="K579" t="s">
        <v>95</v>
      </c>
      <c r="L579">
        <v>-29.15064538</v>
      </c>
      <c r="M579">
        <f t="shared" si="83"/>
        <v>-111.82029583581233</v>
      </c>
      <c r="N579" t="s">
        <v>95</v>
      </c>
      <c r="O579" t="s">
        <v>96</v>
      </c>
      <c r="P579" t="s">
        <v>93</v>
      </c>
      <c r="Q579">
        <v>0</v>
      </c>
      <c r="R579" t="s">
        <v>95</v>
      </c>
      <c r="S579">
        <v>-29.670116449999998</v>
      </c>
      <c r="T579">
        <f t="shared" si="84"/>
        <v>-113.81295870719421</v>
      </c>
      <c r="U579" t="s">
        <v>95</v>
      </c>
      <c r="V579">
        <v>27633</v>
      </c>
      <c r="W579" t="s">
        <v>97</v>
      </c>
      <c r="X579">
        <v>298</v>
      </c>
      <c r="Y579" t="s">
        <v>98</v>
      </c>
      <c r="Z579">
        <v>-27.1</v>
      </c>
      <c r="AA579" t="s">
        <v>95</v>
      </c>
      <c r="AB579">
        <f t="shared" si="85"/>
        <v>-103.95413129445144</v>
      </c>
      <c r="AC579" t="s">
        <v>93</v>
      </c>
      <c r="AD579">
        <v>0.6</v>
      </c>
      <c r="AE579" t="s">
        <v>95</v>
      </c>
      <c r="AF579" t="s">
        <v>93</v>
      </c>
      <c r="CR579">
        <f t="shared" si="86"/>
        <v>-111.82029583581233</v>
      </c>
      <c r="CS579">
        <f t="shared" si="87"/>
        <v>-113.81295870719421</v>
      </c>
      <c r="CT579">
        <f t="shared" si="88"/>
        <v>-103.95413129445144</v>
      </c>
      <c r="CU579" s="7">
        <f t="shared" si="89"/>
        <v>-109.86246194581933</v>
      </c>
      <c r="CV579" s="9">
        <f t="shared" ref="CV579:CV642" si="90">H579</f>
        <v>260.69189999999998</v>
      </c>
      <c r="CW579" t="str">
        <f t="shared" si="82"/>
        <v>ScAg2</v>
      </c>
    </row>
    <row r="580" spans="1:101" ht="15.75" thickBot="1" x14ac:dyDescent="0.3">
      <c r="A580" t="s">
        <v>91</v>
      </c>
      <c r="B580" t="s">
        <v>93</v>
      </c>
      <c r="C580" t="s">
        <v>3144</v>
      </c>
      <c r="E580" t="s">
        <v>3145</v>
      </c>
      <c r="F580" t="s">
        <v>93</v>
      </c>
      <c r="G580" t="s">
        <v>300</v>
      </c>
      <c r="H580">
        <v>805.85924</v>
      </c>
      <c r="I580">
        <v>109</v>
      </c>
      <c r="M580">
        <f t="shared" si="83"/>
        <v>0</v>
      </c>
      <c r="O580" t="s">
        <v>93</v>
      </c>
      <c r="P580" t="s">
        <v>93</v>
      </c>
      <c r="T580">
        <f t="shared" si="84"/>
        <v>0</v>
      </c>
      <c r="V580" t="s">
        <v>93</v>
      </c>
      <c r="W580" t="s">
        <v>297</v>
      </c>
      <c r="X580">
        <v>298</v>
      </c>
      <c r="Y580" t="s">
        <v>298</v>
      </c>
      <c r="Z580">
        <v>-87.85</v>
      </c>
      <c r="AA580" t="s">
        <v>95</v>
      </c>
      <c r="AB580">
        <f t="shared" si="85"/>
        <v>-109.01407546062264</v>
      </c>
      <c r="AC580" t="s">
        <v>93</v>
      </c>
      <c r="AD580">
        <v>1.77</v>
      </c>
      <c r="AE580" t="s">
        <v>95</v>
      </c>
      <c r="AF580" t="s">
        <v>93</v>
      </c>
      <c r="AH580" t="s">
        <v>93</v>
      </c>
      <c r="AI580" t="s">
        <v>93</v>
      </c>
      <c r="AJ580" t="s">
        <v>93</v>
      </c>
      <c r="AK580" t="s">
        <v>93</v>
      </c>
      <c r="AR580">
        <v>0.6</v>
      </c>
      <c r="AS580">
        <v>0.1</v>
      </c>
      <c r="AY580">
        <v>0.3</v>
      </c>
      <c r="CR580">
        <f t="shared" si="86"/>
        <v>0</v>
      </c>
      <c r="CS580">
        <f t="shared" si="87"/>
        <v>0</v>
      </c>
      <c r="CT580">
        <f t="shared" si="88"/>
        <v>-109.01407546062264</v>
      </c>
      <c r="CU580" s="7">
        <f t="shared" si="89"/>
        <v>-109.01407546062264</v>
      </c>
      <c r="CV580" s="9">
        <f t="shared" si="90"/>
        <v>805.85924</v>
      </c>
      <c r="CW580" t="str">
        <f t="shared" si="82"/>
        <v>Al6NiPt3</v>
      </c>
    </row>
    <row r="581" spans="1:101" ht="15.75" thickBot="1" x14ac:dyDescent="0.3">
      <c r="A581" t="s">
        <v>91</v>
      </c>
      <c r="B581" t="s">
        <v>2716</v>
      </c>
      <c r="C581" t="s">
        <v>3144</v>
      </c>
      <c r="E581" t="s">
        <v>3145</v>
      </c>
      <c r="F581" t="s">
        <v>93</v>
      </c>
      <c r="G581" t="s">
        <v>2717</v>
      </c>
      <c r="H581">
        <v>514.83799999999997</v>
      </c>
      <c r="I581">
        <v>1109</v>
      </c>
      <c r="M581">
        <f t="shared" si="83"/>
        <v>0</v>
      </c>
      <c r="O581" t="s">
        <v>93</v>
      </c>
      <c r="P581" t="s">
        <v>93</v>
      </c>
      <c r="T581">
        <f t="shared" si="84"/>
        <v>0</v>
      </c>
      <c r="V581" t="s">
        <v>93</v>
      </c>
      <c r="W581" t="s">
        <v>93</v>
      </c>
      <c r="X581">
        <v>298</v>
      </c>
      <c r="Y581" t="s">
        <v>93</v>
      </c>
      <c r="Z581">
        <v>-56.1</v>
      </c>
      <c r="AA581" t="s">
        <v>95</v>
      </c>
      <c r="AB581">
        <f t="shared" si="85"/>
        <v>-108.9663156177283</v>
      </c>
      <c r="AC581" t="s">
        <v>93</v>
      </c>
      <c r="AD581">
        <v>2.7</v>
      </c>
      <c r="AE581" t="s">
        <v>95</v>
      </c>
      <c r="AF581" t="s">
        <v>93</v>
      </c>
      <c r="AH581" t="s">
        <v>93</v>
      </c>
      <c r="AI581" t="s">
        <v>93</v>
      </c>
      <c r="AJ581" t="s">
        <v>93</v>
      </c>
      <c r="AK581" t="s">
        <v>93</v>
      </c>
      <c r="AY581">
        <v>0.5</v>
      </c>
      <c r="BR581">
        <v>0.25</v>
      </c>
      <c r="BY581">
        <v>0.25</v>
      </c>
      <c r="CR581">
        <f t="shared" si="86"/>
        <v>0</v>
      </c>
      <c r="CS581">
        <f t="shared" si="87"/>
        <v>0</v>
      </c>
      <c r="CT581">
        <f t="shared" si="88"/>
        <v>-108.9663156177283</v>
      </c>
      <c r="CU581" s="7">
        <f t="shared" si="89"/>
        <v>-108.9663156177283</v>
      </c>
      <c r="CV581" s="9">
        <f t="shared" si="90"/>
        <v>514.83799999999997</v>
      </c>
      <c r="CW581" t="str">
        <f t="shared" si="82"/>
        <v>Pt2MnGa</v>
      </c>
    </row>
    <row r="582" spans="1:101" ht="15.75" thickBot="1" x14ac:dyDescent="0.3">
      <c r="A582" t="s">
        <v>91</v>
      </c>
      <c r="B582" t="s">
        <v>2414</v>
      </c>
      <c r="C582" t="s">
        <v>3144</v>
      </c>
      <c r="E582" t="s">
        <v>3145</v>
      </c>
      <c r="F582" t="s">
        <v>93</v>
      </c>
      <c r="G582" t="s">
        <v>2415</v>
      </c>
      <c r="H582">
        <v>245.39439999999999</v>
      </c>
      <c r="I582">
        <v>981</v>
      </c>
      <c r="J582">
        <v>0</v>
      </c>
      <c r="K582" t="s">
        <v>95</v>
      </c>
      <c r="L582">
        <v>-23.44898783</v>
      </c>
      <c r="M582">
        <f t="shared" si="83"/>
        <v>-95.556328221018902</v>
      </c>
      <c r="N582" t="s">
        <v>95</v>
      </c>
      <c r="O582" t="s">
        <v>2416</v>
      </c>
      <c r="P582" t="s">
        <v>93</v>
      </c>
      <c r="Q582">
        <v>3.7874240000000003E-2</v>
      </c>
      <c r="R582" t="s">
        <v>95</v>
      </c>
      <c r="S582">
        <v>-24.79321727</v>
      </c>
      <c r="T582">
        <f t="shared" si="84"/>
        <v>-101.03416080399553</v>
      </c>
      <c r="U582" t="s">
        <v>95</v>
      </c>
      <c r="V582">
        <v>647056</v>
      </c>
      <c r="W582" t="s">
        <v>184</v>
      </c>
      <c r="X582">
        <v>298</v>
      </c>
      <c r="Y582" t="s">
        <v>185</v>
      </c>
      <c r="Z582">
        <v>-31.6</v>
      </c>
      <c r="AA582" t="s">
        <v>95</v>
      </c>
      <c r="AB582">
        <f t="shared" si="85"/>
        <v>-128.77229472229197</v>
      </c>
      <c r="AC582" t="s">
        <v>93</v>
      </c>
      <c r="AD582">
        <v>3</v>
      </c>
      <c r="AE582" t="s">
        <v>95</v>
      </c>
      <c r="AF582" t="s">
        <v>93</v>
      </c>
      <c r="AW582">
        <v>0.5</v>
      </c>
      <c r="BR582">
        <v>0.25</v>
      </c>
      <c r="CA582">
        <v>0.25</v>
      </c>
      <c r="CR582">
        <f t="shared" si="86"/>
        <v>-95.556328221018902</v>
      </c>
      <c r="CS582">
        <f t="shared" si="87"/>
        <v>-101.03416080399553</v>
      </c>
      <c r="CT582">
        <f t="shared" si="88"/>
        <v>-128.77229472229197</v>
      </c>
      <c r="CU582" s="7">
        <f t="shared" si="89"/>
        <v>-108.45426124910215</v>
      </c>
      <c r="CV582" s="9">
        <f t="shared" si="90"/>
        <v>245.39439999999999</v>
      </c>
      <c r="CW582" t="str">
        <f t="shared" si="82"/>
        <v>MnCo2Ge</v>
      </c>
    </row>
    <row r="583" spans="1:101" ht="15.75" thickBot="1" x14ac:dyDescent="0.3">
      <c r="A583" t="s">
        <v>91</v>
      </c>
      <c r="B583" t="s">
        <v>2068</v>
      </c>
      <c r="C583" t="s">
        <v>3144</v>
      </c>
      <c r="E583" t="s">
        <v>3145</v>
      </c>
      <c r="G583" t="s">
        <v>2069</v>
      </c>
      <c r="H583">
        <v>488.53649999999999</v>
      </c>
      <c r="I583">
        <v>815</v>
      </c>
      <c r="J583">
        <v>0.50638766000000002</v>
      </c>
      <c r="K583" t="s">
        <v>95</v>
      </c>
      <c r="L583">
        <v>-53.394036640000003</v>
      </c>
      <c r="M583">
        <f t="shared" si="83"/>
        <v>-109.29385345823701</v>
      </c>
      <c r="N583" t="s">
        <v>95</v>
      </c>
      <c r="O583" t="s">
        <v>2070</v>
      </c>
      <c r="P583" t="s">
        <v>121</v>
      </c>
      <c r="Q583">
        <v>0.67796274000000001</v>
      </c>
      <c r="R583" t="s">
        <v>95</v>
      </c>
      <c r="S583">
        <v>-52.174968219999997</v>
      </c>
      <c r="T583">
        <f t="shared" si="84"/>
        <v>-106.79850578206542</v>
      </c>
      <c r="U583" t="s">
        <v>95</v>
      </c>
      <c r="V583">
        <v>5838</v>
      </c>
      <c r="W583" t="s">
        <v>463</v>
      </c>
      <c r="X583">
        <v>1505</v>
      </c>
      <c r="Y583" t="s">
        <v>359</v>
      </c>
      <c r="AB583">
        <f t="shared" si="85"/>
        <v>0</v>
      </c>
      <c r="AC583" t="s">
        <v>93</v>
      </c>
      <c r="AD583">
        <v>0.6</v>
      </c>
      <c r="AE583" t="s">
        <v>95</v>
      </c>
      <c r="AF583" t="s">
        <v>93</v>
      </c>
      <c r="AV583">
        <v>0.56999999999999995</v>
      </c>
      <c r="BX583">
        <v>0.43</v>
      </c>
      <c r="CG583">
        <v>-45.3</v>
      </c>
      <c r="CH583" t="s">
        <v>95</v>
      </c>
      <c r="CI583" t="s">
        <v>93</v>
      </c>
      <c r="CR583">
        <f t="shared" si="86"/>
        <v>-109.29385345823701</v>
      </c>
      <c r="CS583">
        <f t="shared" si="87"/>
        <v>-106.79850578206542</v>
      </c>
      <c r="CT583">
        <f t="shared" si="88"/>
        <v>0</v>
      </c>
      <c r="CU583" s="7">
        <f t="shared" si="89"/>
        <v>-108.04617962015121</v>
      </c>
      <c r="CV583" s="9">
        <f t="shared" si="90"/>
        <v>488.53649999999999</v>
      </c>
      <c r="CW583" t="str">
        <f t="shared" si="82"/>
        <v>Si3Ru4</v>
      </c>
    </row>
    <row r="584" spans="1:101" ht="15.75" thickBot="1" x14ac:dyDescent="0.3">
      <c r="A584" t="s">
        <v>91</v>
      </c>
      <c r="B584" t="s">
        <v>498</v>
      </c>
      <c r="C584" t="s">
        <v>3144</v>
      </c>
      <c r="E584" t="s">
        <v>3145</v>
      </c>
      <c r="F584" t="s">
        <v>93</v>
      </c>
      <c r="G584" t="s">
        <v>499</v>
      </c>
      <c r="H584">
        <v>215.99789999999999</v>
      </c>
      <c r="I584">
        <v>202</v>
      </c>
      <c r="J584">
        <v>0</v>
      </c>
      <c r="K584" t="s">
        <v>95</v>
      </c>
      <c r="L584">
        <v>-25.085701069999999</v>
      </c>
      <c r="M584">
        <f t="shared" si="83"/>
        <v>-116.13863407931281</v>
      </c>
      <c r="N584" t="s">
        <v>95</v>
      </c>
      <c r="O584" t="s">
        <v>500</v>
      </c>
      <c r="P584" t="s">
        <v>93</v>
      </c>
      <c r="Q584">
        <v>0</v>
      </c>
      <c r="R584" t="s">
        <v>95</v>
      </c>
      <c r="S584">
        <v>-25.423007989999999</v>
      </c>
      <c r="T584">
        <f t="shared" si="84"/>
        <v>-117.70025537285316</v>
      </c>
      <c r="U584" t="s">
        <v>95</v>
      </c>
      <c r="V584">
        <v>22909</v>
      </c>
      <c r="W584" t="s">
        <v>364</v>
      </c>
      <c r="X584">
        <v>298</v>
      </c>
      <c r="Y584" t="s">
        <v>365</v>
      </c>
      <c r="Z584">
        <v>-19.5</v>
      </c>
      <c r="AA584" t="s">
        <v>95</v>
      </c>
      <c r="AB584">
        <f t="shared" si="85"/>
        <v>-90.278655486928344</v>
      </c>
      <c r="AC584" t="s">
        <v>93</v>
      </c>
      <c r="AD584">
        <v>0.3</v>
      </c>
      <c r="AE584" t="s">
        <v>95</v>
      </c>
      <c r="AF584" t="s">
        <v>93</v>
      </c>
      <c r="AG584">
        <v>0.33</v>
      </c>
      <c r="AX584">
        <v>0.66</v>
      </c>
      <c r="CR584">
        <f t="shared" si="86"/>
        <v>-116.13863407931281</v>
      </c>
      <c r="CS584">
        <f t="shared" si="87"/>
        <v>-117.70025537285316</v>
      </c>
      <c r="CT584">
        <f t="shared" si="88"/>
        <v>-90.278655486928344</v>
      </c>
      <c r="CU584" s="7">
        <f t="shared" si="89"/>
        <v>-108.03918164636478</v>
      </c>
      <c r="CV584" s="9">
        <f t="shared" si="90"/>
        <v>215.99789999999999</v>
      </c>
      <c r="CW584" t="str">
        <f t="shared" si="82"/>
        <v>YCu2</v>
      </c>
    </row>
    <row r="585" spans="1:101" ht="15.75" thickBot="1" x14ac:dyDescent="0.3">
      <c r="A585" t="s">
        <v>91</v>
      </c>
      <c r="B585" t="s">
        <v>1328</v>
      </c>
      <c r="C585" t="s">
        <v>3144</v>
      </c>
      <c r="E585" t="s">
        <v>3145</v>
      </c>
      <c r="F585" t="s">
        <v>93</v>
      </c>
      <c r="G585" t="s">
        <v>1329</v>
      </c>
      <c r="H585">
        <v>181.27199999999999</v>
      </c>
      <c r="I585">
        <v>517</v>
      </c>
      <c r="J585">
        <v>0</v>
      </c>
      <c r="K585" t="s">
        <v>95</v>
      </c>
      <c r="L585">
        <v>-16.046423740000002</v>
      </c>
      <c r="M585">
        <f t="shared" si="83"/>
        <v>-88.521248400194196</v>
      </c>
      <c r="N585" t="s">
        <v>95</v>
      </c>
      <c r="O585" t="s">
        <v>1330</v>
      </c>
      <c r="P585" t="s">
        <v>93</v>
      </c>
      <c r="Q585">
        <v>2.3621248399999999</v>
      </c>
      <c r="R585" t="s">
        <v>95</v>
      </c>
      <c r="S585">
        <v>-17.901591270000001</v>
      </c>
      <c r="T585">
        <f t="shared" si="84"/>
        <v>-98.75541324639218</v>
      </c>
      <c r="U585" t="s">
        <v>95</v>
      </c>
      <c r="V585">
        <v>19369</v>
      </c>
      <c r="W585" t="s">
        <v>97</v>
      </c>
      <c r="X585">
        <v>298</v>
      </c>
      <c r="Y585" t="s">
        <v>98</v>
      </c>
      <c r="Z585">
        <v>-24.8</v>
      </c>
      <c r="AA585" t="s">
        <v>95</v>
      </c>
      <c r="AB585">
        <f t="shared" si="85"/>
        <v>-136.81098018447418</v>
      </c>
      <c r="AC585" t="s">
        <v>93</v>
      </c>
      <c r="AD585">
        <v>1.6</v>
      </c>
      <c r="AE585" t="s">
        <v>95</v>
      </c>
      <c r="AF585" t="s">
        <v>93</v>
      </c>
      <c r="BI585">
        <v>0.33</v>
      </c>
      <c r="BU585">
        <v>0.66</v>
      </c>
      <c r="CR585">
        <f t="shared" si="86"/>
        <v>-88.521248400194196</v>
      </c>
      <c r="CS585">
        <f t="shared" si="87"/>
        <v>-98.75541324639218</v>
      </c>
      <c r="CT585">
        <f t="shared" si="88"/>
        <v>-136.81098018447418</v>
      </c>
      <c r="CU585" s="7">
        <f t="shared" si="89"/>
        <v>-108.02921394368684</v>
      </c>
      <c r="CV585" s="9">
        <f t="shared" si="90"/>
        <v>181.27199999999999</v>
      </c>
      <c r="CW585" t="str">
        <f t="shared" si="82"/>
        <v>GdC2</v>
      </c>
    </row>
    <row r="586" spans="1:101" ht="15.75" thickBot="1" x14ac:dyDescent="0.3">
      <c r="A586" t="s">
        <v>91</v>
      </c>
      <c r="B586" t="s">
        <v>967</v>
      </c>
      <c r="C586" t="s">
        <v>3144</v>
      </c>
      <c r="E586" t="s">
        <v>3145</v>
      </c>
      <c r="F586" t="s">
        <v>93</v>
      </c>
      <c r="G586" t="s">
        <v>968</v>
      </c>
      <c r="H586">
        <v>441.12150000000003</v>
      </c>
      <c r="I586">
        <v>386</v>
      </c>
      <c r="J586">
        <v>0</v>
      </c>
      <c r="K586" t="s">
        <v>95</v>
      </c>
      <c r="L586">
        <v>-53.744257920000003</v>
      </c>
      <c r="M586">
        <f t="shared" si="83"/>
        <v>-121.83549865513241</v>
      </c>
      <c r="N586" t="s">
        <v>95</v>
      </c>
      <c r="O586" t="s">
        <v>969</v>
      </c>
      <c r="P586" t="s">
        <v>93</v>
      </c>
      <c r="Q586">
        <v>0</v>
      </c>
      <c r="R586" t="s">
        <v>95</v>
      </c>
      <c r="S586">
        <v>-51.833410550000004</v>
      </c>
      <c r="T586">
        <f t="shared" si="84"/>
        <v>-117.50370487496075</v>
      </c>
      <c r="U586" t="s">
        <v>95</v>
      </c>
      <c r="V586">
        <v>30989</v>
      </c>
      <c r="W586" t="s">
        <v>970</v>
      </c>
      <c r="X586">
        <v>298</v>
      </c>
      <c r="Y586" t="s">
        <v>971</v>
      </c>
      <c r="Z586">
        <v>-37.200000000000003</v>
      </c>
      <c r="AA586" t="s">
        <v>95</v>
      </c>
      <c r="AB586">
        <f t="shared" si="85"/>
        <v>-84.330507581244618</v>
      </c>
      <c r="AC586" t="s">
        <v>93</v>
      </c>
      <c r="AD586">
        <v>2.5</v>
      </c>
      <c r="AE586" t="s">
        <v>95</v>
      </c>
      <c r="AF586" t="s">
        <v>93</v>
      </c>
      <c r="AY586">
        <v>0.66</v>
      </c>
      <c r="BD586">
        <v>0.33</v>
      </c>
      <c r="CR586">
        <f t="shared" si="86"/>
        <v>-121.83549865513241</v>
      </c>
      <c r="CS586">
        <f t="shared" si="87"/>
        <v>-117.50370487496075</v>
      </c>
      <c r="CT586">
        <f t="shared" si="88"/>
        <v>-84.330507581244618</v>
      </c>
      <c r="CU586" s="7">
        <f t="shared" si="89"/>
        <v>-107.88990370377927</v>
      </c>
      <c r="CV586" s="9">
        <f t="shared" si="90"/>
        <v>441.12150000000003</v>
      </c>
      <c r="CW586" t="str">
        <f t="shared" si="82"/>
        <v>VPt2</v>
      </c>
    </row>
    <row r="587" spans="1:101" ht="15.75" thickBot="1" x14ac:dyDescent="0.3">
      <c r="A587" t="s">
        <v>91</v>
      </c>
      <c r="B587" t="s">
        <v>2813</v>
      </c>
      <c r="C587" t="s">
        <v>3144</v>
      </c>
      <c r="E587" t="s">
        <v>3145</v>
      </c>
      <c r="F587" t="s">
        <v>93</v>
      </c>
      <c r="G587" t="s">
        <v>2814</v>
      </c>
      <c r="H587">
        <v>238.0615</v>
      </c>
      <c r="I587">
        <v>1150</v>
      </c>
      <c r="J587">
        <v>2.0183181000000001</v>
      </c>
      <c r="K587" t="s">
        <v>95</v>
      </c>
      <c r="L587">
        <v>-27.802033779999999</v>
      </c>
      <c r="M587">
        <f t="shared" si="83"/>
        <v>-116.7850903232988</v>
      </c>
      <c r="N587" t="s">
        <v>95</v>
      </c>
      <c r="O587" t="s">
        <v>2815</v>
      </c>
      <c r="P587" t="s">
        <v>121</v>
      </c>
      <c r="Q587">
        <v>2.76179957</v>
      </c>
      <c r="R587" t="s">
        <v>95</v>
      </c>
      <c r="S587">
        <v>-27.691332330000002</v>
      </c>
      <c r="T587">
        <f t="shared" si="84"/>
        <v>-116.32007834110094</v>
      </c>
      <c r="U587" t="s">
        <v>95</v>
      </c>
      <c r="V587">
        <v>17275</v>
      </c>
      <c r="W587" t="s">
        <v>184</v>
      </c>
      <c r="X587">
        <v>298</v>
      </c>
      <c r="Y587" t="s">
        <v>185</v>
      </c>
      <c r="Z587">
        <v>-21.5</v>
      </c>
      <c r="AA587" t="s">
        <v>95</v>
      </c>
      <c r="AB587">
        <f t="shared" si="85"/>
        <v>-90.312797323380721</v>
      </c>
      <c r="AC587" t="s">
        <v>93</v>
      </c>
      <c r="AD587">
        <v>3</v>
      </c>
      <c r="AE587" t="s">
        <v>95</v>
      </c>
      <c r="AF587" t="s">
        <v>93</v>
      </c>
      <c r="AS587">
        <v>0.5</v>
      </c>
      <c r="BD587">
        <v>0.25</v>
      </c>
      <c r="BY587">
        <v>0.25</v>
      </c>
      <c r="CR587">
        <f t="shared" si="86"/>
        <v>-116.7850903232988</v>
      </c>
      <c r="CS587">
        <f t="shared" si="87"/>
        <v>-116.32007834110094</v>
      </c>
      <c r="CT587">
        <f t="shared" si="88"/>
        <v>-90.312797323380721</v>
      </c>
      <c r="CU587" s="7">
        <f t="shared" si="89"/>
        <v>-107.80598866259349</v>
      </c>
      <c r="CV587" s="9">
        <f t="shared" si="90"/>
        <v>238.0615</v>
      </c>
      <c r="CW587" t="str">
        <f t="shared" si="82"/>
        <v>VGaNi2</v>
      </c>
    </row>
    <row r="588" spans="1:101" ht="15.75" thickBot="1" x14ac:dyDescent="0.3">
      <c r="A588" t="s">
        <v>91</v>
      </c>
      <c r="B588" t="s">
        <v>362</v>
      </c>
      <c r="C588" t="s">
        <v>3144</v>
      </c>
      <c r="E588" t="s">
        <v>3145</v>
      </c>
      <c r="F588" t="s">
        <v>93</v>
      </c>
      <c r="G588" t="s">
        <v>363</v>
      </c>
      <c r="H588">
        <v>534.053</v>
      </c>
      <c r="I588">
        <v>152</v>
      </c>
      <c r="M588">
        <f t="shared" si="83"/>
        <v>0</v>
      </c>
      <c r="O588" t="s">
        <v>93</v>
      </c>
      <c r="P588" t="s">
        <v>93</v>
      </c>
      <c r="T588">
        <f t="shared" si="84"/>
        <v>0</v>
      </c>
      <c r="V588" t="s">
        <v>93</v>
      </c>
      <c r="W588" t="s">
        <v>364</v>
      </c>
      <c r="X588">
        <v>298</v>
      </c>
      <c r="Y588" t="s">
        <v>365</v>
      </c>
      <c r="Z588">
        <v>-57.5</v>
      </c>
      <c r="AA588" t="s">
        <v>95</v>
      </c>
      <c r="AB588">
        <f t="shared" si="85"/>
        <v>-107.6672165496683</v>
      </c>
      <c r="AC588" t="s">
        <v>93</v>
      </c>
      <c r="AD588">
        <v>4.7</v>
      </c>
      <c r="AE588" t="s">
        <v>95</v>
      </c>
      <c r="AF588" t="s">
        <v>93</v>
      </c>
      <c r="AH588" t="s">
        <v>93</v>
      </c>
      <c r="AI588" t="s">
        <v>93</v>
      </c>
      <c r="AJ588" t="s">
        <v>93</v>
      </c>
      <c r="AK588" t="s">
        <v>93</v>
      </c>
      <c r="AM588">
        <v>0.33</v>
      </c>
      <c r="BC588">
        <v>0.66</v>
      </c>
      <c r="CR588">
        <f t="shared" si="86"/>
        <v>0</v>
      </c>
      <c r="CS588">
        <f t="shared" si="87"/>
        <v>0</v>
      </c>
      <c r="CT588">
        <f t="shared" si="88"/>
        <v>-107.6672165496683</v>
      </c>
      <c r="CU588" s="7">
        <f t="shared" si="89"/>
        <v>-107.6672165496683</v>
      </c>
      <c r="CV588" s="9">
        <f t="shared" si="90"/>
        <v>534.053</v>
      </c>
      <c r="CW588" t="str">
        <f t="shared" si="82"/>
        <v>Au2Ce</v>
      </c>
    </row>
    <row r="589" spans="1:101" ht="15.75" thickBot="1" x14ac:dyDescent="0.3">
      <c r="A589" t="s">
        <v>91</v>
      </c>
      <c r="B589" t="s">
        <v>2688</v>
      </c>
      <c r="C589" t="s">
        <v>3144</v>
      </c>
      <c r="E589" t="s">
        <v>3145</v>
      </c>
      <c r="F589" t="s">
        <v>93</v>
      </c>
      <c r="G589" t="s">
        <v>2689</v>
      </c>
      <c r="H589">
        <v>382.55799999999999</v>
      </c>
      <c r="I589">
        <v>1099</v>
      </c>
      <c r="M589">
        <f t="shared" si="83"/>
        <v>0</v>
      </c>
      <c r="O589" t="s">
        <v>93</v>
      </c>
      <c r="P589" t="s">
        <v>93</v>
      </c>
      <c r="T589">
        <f t="shared" si="84"/>
        <v>0</v>
      </c>
      <c r="V589" t="s">
        <v>93</v>
      </c>
      <c r="W589" t="s">
        <v>102</v>
      </c>
      <c r="X589">
        <v>298</v>
      </c>
      <c r="Y589" t="s">
        <v>103</v>
      </c>
      <c r="Z589">
        <v>-41</v>
      </c>
      <c r="AA589" t="s">
        <v>95</v>
      </c>
      <c r="AB589">
        <f t="shared" si="85"/>
        <v>-107.17329137019746</v>
      </c>
      <c r="AC589" t="s">
        <v>93</v>
      </c>
      <c r="AD589">
        <v>2.5</v>
      </c>
      <c r="AE589" t="s">
        <v>95</v>
      </c>
      <c r="AF589" t="s">
        <v>93</v>
      </c>
      <c r="AH589" t="s">
        <v>93</v>
      </c>
      <c r="AI589" t="s">
        <v>93</v>
      </c>
      <c r="AJ589" t="s">
        <v>93</v>
      </c>
      <c r="AK589" t="s">
        <v>93</v>
      </c>
      <c r="AZ589">
        <v>0.5</v>
      </c>
      <c r="BR589">
        <v>0.25</v>
      </c>
      <c r="BZ589">
        <v>0.25</v>
      </c>
      <c r="CR589">
        <f t="shared" si="86"/>
        <v>0</v>
      </c>
      <c r="CS589">
        <f t="shared" si="87"/>
        <v>0</v>
      </c>
      <c r="CT589">
        <f t="shared" si="88"/>
        <v>-107.17329137019746</v>
      </c>
      <c r="CU589" s="7">
        <f t="shared" si="89"/>
        <v>-107.17329137019746</v>
      </c>
      <c r="CV589" s="9">
        <f t="shared" si="90"/>
        <v>382.55799999999999</v>
      </c>
      <c r="CW589" t="str">
        <f t="shared" si="82"/>
        <v>Pd2MnIn</v>
      </c>
    </row>
    <row r="590" spans="1:101" ht="15.75" thickBot="1" x14ac:dyDescent="0.3">
      <c r="A590" t="s">
        <v>91</v>
      </c>
      <c r="B590" t="s">
        <v>1094</v>
      </c>
      <c r="C590" t="s">
        <v>3144</v>
      </c>
      <c r="E590" t="s">
        <v>3145</v>
      </c>
      <c r="F590" t="s">
        <v>93</v>
      </c>
      <c r="G590" t="s">
        <v>1095</v>
      </c>
      <c r="H590">
        <v>218.77708000000001</v>
      </c>
      <c r="I590">
        <v>433</v>
      </c>
      <c r="M590">
        <f t="shared" si="83"/>
        <v>0</v>
      </c>
      <c r="O590" t="s">
        <v>93</v>
      </c>
      <c r="P590" t="s">
        <v>93</v>
      </c>
      <c r="T590">
        <f t="shared" si="84"/>
        <v>0</v>
      </c>
      <c r="V590" t="s">
        <v>93</v>
      </c>
      <c r="W590" t="s">
        <v>1096</v>
      </c>
      <c r="X590">
        <v>298</v>
      </c>
      <c r="Y590" t="s">
        <v>179</v>
      </c>
      <c r="Z590">
        <v>-23.4</v>
      </c>
      <c r="AA590" t="s">
        <v>95</v>
      </c>
      <c r="AB590">
        <f t="shared" si="85"/>
        <v>-106.95818775897364</v>
      </c>
      <c r="AC590" t="s">
        <v>93</v>
      </c>
      <c r="AD590">
        <v>0.8</v>
      </c>
      <c r="AE590" t="s">
        <v>95</v>
      </c>
      <c r="AF590" t="s">
        <v>93</v>
      </c>
      <c r="AH590" t="s">
        <v>93</v>
      </c>
      <c r="AI590" t="s">
        <v>93</v>
      </c>
      <c r="AJ590" t="s">
        <v>93</v>
      </c>
      <c r="AK590" t="s">
        <v>93</v>
      </c>
      <c r="AR590">
        <v>0.4</v>
      </c>
      <c r="BR590">
        <v>0.6</v>
      </c>
      <c r="CR590">
        <f t="shared" si="86"/>
        <v>0</v>
      </c>
      <c r="CS590">
        <f t="shared" si="87"/>
        <v>0</v>
      </c>
      <c r="CT590">
        <f t="shared" si="88"/>
        <v>-106.95818775897364</v>
      </c>
      <c r="CU590" s="7">
        <f t="shared" si="89"/>
        <v>-106.95818775897364</v>
      </c>
      <c r="CV590" s="9">
        <f t="shared" si="90"/>
        <v>218.77708000000001</v>
      </c>
      <c r="CW590" t="str">
        <f t="shared" si="82"/>
        <v>Al2Mn3</v>
      </c>
    </row>
    <row r="591" spans="1:101" ht="15.75" thickBot="1" x14ac:dyDescent="0.3">
      <c r="A591" t="s">
        <v>91</v>
      </c>
      <c r="B591" t="s">
        <v>93</v>
      </c>
      <c r="C591" t="s">
        <v>3144</v>
      </c>
      <c r="E591" t="s">
        <v>3145</v>
      </c>
      <c r="F591" t="s">
        <v>93</v>
      </c>
      <c r="G591" t="s">
        <v>340</v>
      </c>
      <c r="H591">
        <v>561.92769999999996</v>
      </c>
      <c r="I591">
        <v>139</v>
      </c>
      <c r="M591">
        <f t="shared" si="83"/>
        <v>0</v>
      </c>
      <c r="O591" t="s">
        <v>93</v>
      </c>
      <c r="P591" t="s">
        <v>93</v>
      </c>
      <c r="T591">
        <f t="shared" si="84"/>
        <v>0</v>
      </c>
      <c r="V591" t="s">
        <v>93</v>
      </c>
      <c r="W591" t="s">
        <v>102</v>
      </c>
      <c r="X591">
        <v>298</v>
      </c>
      <c r="Y591" t="s">
        <v>103</v>
      </c>
      <c r="Z591">
        <v>-60.08</v>
      </c>
      <c r="AA591" t="s">
        <v>95</v>
      </c>
      <c r="AB591">
        <f t="shared" si="85"/>
        <v>-106.91766930158454</v>
      </c>
      <c r="AC591" t="s">
        <v>93</v>
      </c>
      <c r="AD591">
        <v>3.34</v>
      </c>
      <c r="AE591" t="s">
        <v>95</v>
      </c>
      <c r="AF591" t="s">
        <v>93</v>
      </c>
      <c r="AH591" t="s">
        <v>93</v>
      </c>
      <c r="AI591" t="s">
        <v>93</v>
      </c>
      <c r="AJ591" t="s">
        <v>93</v>
      </c>
      <c r="AK591" t="s">
        <v>93</v>
      </c>
      <c r="AR591">
        <v>0.5</v>
      </c>
      <c r="AS591">
        <v>0.4</v>
      </c>
      <c r="BB591">
        <v>0.1</v>
      </c>
      <c r="CR591">
        <f t="shared" si="86"/>
        <v>0</v>
      </c>
      <c r="CS591">
        <f t="shared" si="87"/>
        <v>0</v>
      </c>
      <c r="CT591">
        <f t="shared" si="88"/>
        <v>-106.91766930158454</v>
      </c>
      <c r="CU591" s="7">
        <f t="shared" si="89"/>
        <v>-106.91766930158454</v>
      </c>
      <c r="CV591" s="9">
        <f t="shared" si="90"/>
        <v>561.92769999999996</v>
      </c>
      <c r="CW591" t="str">
        <f t="shared" si="82"/>
        <v>Al5IrNi4</v>
      </c>
    </row>
    <row r="592" spans="1:101" ht="15.75" thickBot="1" x14ac:dyDescent="0.3">
      <c r="A592" t="s">
        <v>91</v>
      </c>
      <c r="B592" t="s">
        <v>93</v>
      </c>
      <c r="C592" t="s">
        <v>3144</v>
      </c>
      <c r="E592" t="s">
        <v>3145</v>
      </c>
      <c r="F592" t="s">
        <v>93</v>
      </c>
      <c r="G592" t="s">
        <v>211</v>
      </c>
      <c r="H592">
        <v>457.273159999999</v>
      </c>
      <c r="I592">
        <v>44</v>
      </c>
      <c r="M592">
        <f t="shared" si="83"/>
        <v>0</v>
      </c>
      <c r="O592" t="s">
        <v>93</v>
      </c>
      <c r="P592" t="s">
        <v>93</v>
      </c>
      <c r="T592">
        <f t="shared" si="84"/>
        <v>0</v>
      </c>
      <c r="V592" t="s">
        <v>93</v>
      </c>
      <c r="W592" t="s">
        <v>102</v>
      </c>
      <c r="X592">
        <v>298</v>
      </c>
      <c r="Y592" t="s">
        <v>103</v>
      </c>
      <c r="Z592">
        <v>-48.8</v>
      </c>
      <c r="AA592" t="s">
        <v>95</v>
      </c>
      <c r="AB592">
        <f t="shared" si="85"/>
        <v>-106.71958091745448</v>
      </c>
      <c r="AC592" t="s">
        <v>93</v>
      </c>
      <c r="AD592">
        <v>1.5</v>
      </c>
      <c r="AE592" t="s">
        <v>95</v>
      </c>
      <c r="AF592" t="s">
        <v>93</v>
      </c>
      <c r="AH592" t="s">
        <v>93</v>
      </c>
      <c r="AI592" t="s">
        <v>93</v>
      </c>
      <c r="AJ592" t="s">
        <v>93</v>
      </c>
      <c r="AK592" t="s">
        <v>93</v>
      </c>
      <c r="AR592">
        <v>0.4</v>
      </c>
      <c r="AS592">
        <v>0.5</v>
      </c>
      <c r="AT592">
        <v>0.1</v>
      </c>
      <c r="CR592">
        <f t="shared" si="86"/>
        <v>0</v>
      </c>
      <c r="CS592">
        <f t="shared" si="87"/>
        <v>0</v>
      </c>
      <c r="CT592">
        <f t="shared" si="88"/>
        <v>-106.71958091745448</v>
      </c>
      <c r="CU592" s="7">
        <f t="shared" si="89"/>
        <v>-106.71958091745448</v>
      </c>
      <c r="CV592" s="9">
        <f t="shared" si="90"/>
        <v>457.273159999999</v>
      </c>
      <c r="CW592" t="str">
        <f t="shared" si="82"/>
        <v>Al4FeNi5</v>
      </c>
    </row>
    <row r="593" spans="1:101" ht="15.75" thickBot="1" x14ac:dyDescent="0.3">
      <c r="A593" t="s">
        <v>91</v>
      </c>
      <c r="B593" t="s">
        <v>2034</v>
      </c>
      <c r="C593" t="s">
        <v>3144</v>
      </c>
      <c r="E593" t="s">
        <v>3145</v>
      </c>
      <c r="G593" t="s">
        <v>2035</v>
      </c>
      <c r="H593">
        <v>379.40649999999999</v>
      </c>
      <c r="I593">
        <v>802</v>
      </c>
      <c r="J593">
        <v>0</v>
      </c>
      <c r="K593" t="s">
        <v>95</v>
      </c>
      <c r="L593">
        <v>-40.381175089999999</v>
      </c>
      <c r="M593">
        <f t="shared" si="83"/>
        <v>-106.43248096698396</v>
      </c>
      <c r="N593" t="s">
        <v>95</v>
      </c>
      <c r="O593" t="s">
        <v>2036</v>
      </c>
      <c r="P593" t="s">
        <v>121</v>
      </c>
      <c r="Q593">
        <v>0</v>
      </c>
      <c r="R593" t="s">
        <v>95</v>
      </c>
      <c r="S593">
        <v>-40.291397060000001</v>
      </c>
      <c r="T593">
        <f t="shared" si="84"/>
        <v>-106.19585341843117</v>
      </c>
      <c r="U593" t="s">
        <v>95</v>
      </c>
      <c r="V593">
        <v>18742</v>
      </c>
      <c r="W593" t="s">
        <v>97</v>
      </c>
      <c r="X593">
        <v>1273</v>
      </c>
      <c r="Y593" t="s">
        <v>98</v>
      </c>
      <c r="AB593">
        <f t="shared" si="85"/>
        <v>0</v>
      </c>
      <c r="AC593" t="s">
        <v>93</v>
      </c>
      <c r="AD593">
        <v>3</v>
      </c>
      <c r="AE593" t="s">
        <v>95</v>
      </c>
      <c r="AF593" t="s">
        <v>93</v>
      </c>
      <c r="AP593">
        <v>0.67</v>
      </c>
      <c r="BC593">
        <v>0.33</v>
      </c>
      <c r="CG593">
        <v>-49.4</v>
      </c>
      <c r="CH593" t="s">
        <v>95</v>
      </c>
      <c r="CI593" t="s">
        <v>93</v>
      </c>
      <c r="CR593">
        <f t="shared" si="86"/>
        <v>-106.43248096698396</v>
      </c>
      <c r="CS593">
        <f t="shared" si="87"/>
        <v>-106.19585341843117</v>
      </c>
      <c r="CT593">
        <f t="shared" si="88"/>
        <v>0</v>
      </c>
      <c r="CU593" s="7">
        <f t="shared" si="89"/>
        <v>-106.31416719270757</v>
      </c>
      <c r="CV593" s="9">
        <f t="shared" si="90"/>
        <v>379.40649999999999</v>
      </c>
      <c r="CW593" t="str">
        <f t="shared" si="82"/>
        <v>Zr2Au</v>
      </c>
    </row>
    <row r="594" spans="1:101" ht="15.75" thickBot="1" x14ac:dyDescent="0.3">
      <c r="A594" t="s">
        <v>91</v>
      </c>
      <c r="B594" t="s">
        <v>2045</v>
      </c>
      <c r="C594" t="s">
        <v>3144</v>
      </c>
      <c r="E594" t="s">
        <v>3145</v>
      </c>
      <c r="F594" t="s">
        <v>93</v>
      </c>
      <c r="G594" t="s">
        <v>2047</v>
      </c>
      <c r="H594">
        <v>192.96261999999999</v>
      </c>
      <c r="I594">
        <v>808</v>
      </c>
      <c r="M594">
        <f t="shared" si="83"/>
        <v>0</v>
      </c>
      <c r="O594" t="s">
        <v>93</v>
      </c>
      <c r="P594" t="s">
        <v>93</v>
      </c>
      <c r="T594">
        <f t="shared" si="84"/>
        <v>0</v>
      </c>
      <c r="V594" t="s">
        <v>93</v>
      </c>
      <c r="W594" t="s">
        <v>2048</v>
      </c>
      <c r="X594">
        <v>298</v>
      </c>
      <c r="Y594" t="s">
        <v>480</v>
      </c>
      <c r="Z594">
        <v>-20.48</v>
      </c>
      <c r="AA594" t="s">
        <v>95</v>
      </c>
      <c r="AB594">
        <f t="shared" si="85"/>
        <v>-106.13454564412528</v>
      </c>
      <c r="AC594" t="s">
        <v>93</v>
      </c>
      <c r="AD594">
        <v>1.2</v>
      </c>
      <c r="AE594" t="s">
        <v>95</v>
      </c>
      <c r="AF594" t="s">
        <v>93</v>
      </c>
      <c r="AH594" t="s">
        <v>93</v>
      </c>
      <c r="AI594" t="s">
        <v>93</v>
      </c>
      <c r="AJ594" t="s">
        <v>93</v>
      </c>
      <c r="AK594" t="s">
        <v>93</v>
      </c>
      <c r="AR594">
        <v>0.5</v>
      </c>
      <c r="AT594">
        <v>0.16669999999999999</v>
      </c>
      <c r="BX594">
        <v>0.33329999999999999</v>
      </c>
      <c r="CR594">
        <f t="shared" si="86"/>
        <v>0</v>
      </c>
      <c r="CS594">
        <f t="shared" si="87"/>
        <v>0</v>
      </c>
      <c r="CT594">
        <f t="shared" si="88"/>
        <v>-106.13454564412528</v>
      </c>
      <c r="CU594" s="7">
        <f t="shared" si="89"/>
        <v>-106.13454564412528</v>
      </c>
      <c r="CV594" s="9">
        <f t="shared" si="90"/>
        <v>192.96261999999999</v>
      </c>
      <c r="CW594" t="str">
        <f t="shared" si="82"/>
        <v>Al3FeSi2</v>
      </c>
    </row>
    <row r="595" spans="1:101" ht="15.75" thickBot="1" x14ac:dyDescent="0.3">
      <c r="A595" t="s">
        <v>91</v>
      </c>
      <c r="B595" t="s">
        <v>1337</v>
      </c>
      <c r="C595" t="s">
        <v>3144</v>
      </c>
      <c r="E595" t="s">
        <v>3145</v>
      </c>
      <c r="F595" t="s">
        <v>93</v>
      </c>
      <c r="G595" t="s">
        <v>1338</v>
      </c>
      <c r="H595">
        <v>198.989</v>
      </c>
      <c r="I595">
        <v>520</v>
      </c>
      <c r="J595">
        <v>10.619949889999999</v>
      </c>
      <c r="K595" t="s">
        <v>95</v>
      </c>
      <c r="L595">
        <v>-17.983138820000001</v>
      </c>
      <c r="M595">
        <f t="shared" si="83"/>
        <v>-90.372527225122994</v>
      </c>
      <c r="N595" t="s">
        <v>95</v>
      </c>
      <c r="O595" t="s">
        <v>1339</v>
      </c>
      <c r="P595" t="s">
        <v>93</v>
      </c>
      <c r="Q595">
        <v>10.48497766</v>
      </c>
      <c r="R595" t="s">
        <v>95</v>
      </c>
      <c r="S595">
        <v>-18.56987509</v>
      </c>
      <c r="T595">
        <f t="shared" si="84"/>
        <v>-93.321113679650622</v>
      </c>
      <c r="U595" t="s">
        <v>95</v>
      </c>
      <c r="V595">
        <v>13888</v>
      </c>
      <c r="W595" t="s">
        <v>97</v>
      </c>
      <c r="X595">
        <v>298</v>
      </c>
      <c r="Y595" t="s">
        <v>98</v>
      </c>
      <c r="Z595">
        <v>-26.7</v>
      </c>
      <c r="AA595" t="s">
        <v>95</v>
      </c>
      <c r="AB595">
        <f t="shared" si="85"/>
        <v>-134.1782711607174</v>
      </c>
      <c r="AC595" t="s">
        <v>93</v>
      </c>
      <c r="AD595">
        <v>1.8</v>
      </c>
      <c r="AE595" t="s">
        <v>95</v>
      </c>
      <c r="AF595" t="s">
        <v>93</v>
      </c>
      <c r="BL595">
        <v>0.33</v>
      </c>
      <c r="BU595">
        <v>0.66</v>
      </c>
      <c r="CR595">
        <f t="shared" si="86"/>
        <v>-90.372527225122994</v>
      </c>
      <c r="CS595">
        <f t="shared" si="87"/>
        <v>-93.321113679650622</v>
      </c>
      <c r="CT595">
        <f t="shared" si="88"/>
        <v>-134.1782711607174</v>
      </c>
      <c r="CU595" s="7">
        <f t="shared" si="89"/>
        <v>-105.95730402183034</v>
      </c>
      <c r="CV595" s="9">
        <f t="shared" si="90"/>
        <v>198.989</v>
      </c>
      <c r="CW595" t="str">
        <f t="shared" si="82"/>
        <v>LuC2</v>
      </c>
    </row>
    <row r="596" spans="1:101" ht="15.75" thickBot="1" x14ac:dyDescent="0.3">
      <c r="A596" t="s">
        <v>91</v>
      </c>
      <c r="B596" t="s">
        <v>915</v>
      </c>
      <c r="C596" t="s">
        <v>3144</v>
      </c>
      <c r="E596" t="s">
        <v>3145</v>
      </c>
      <c r="F596" t="s">
        <v>93</v>
      </c>
      <c r="G596" t="s">
        <v>916</v>
      </c>
      <c r="H596">
        <v>557.22900000000004</v>
      </c>
      <c r="I596">
        <v>364</v>
      </c>
      <c r="J596">
        <v>0</v>
      </c>
      <c r="K596" t="s">
        <v>95</v>
      </c>
      <c r="L596">
        <v>-51.756309819999998</v>
      </c>
      <c r="M596">
        <f t="shared" si="83"/>
        <v>-92.881579781382513</v>
      </c>
      <c r="N596" t="s">
        <v>95</v>
      </c>
      <c r="O596" t="s">
        <v>917</v>
      </c>
      <c r="P596" t="s">
        <v>93</v>
      </c>
      <c r="Q596">
        <v>0</v>
      </c>
      <c r="R596" t="s">
        <v>95</v>
      </c>
      <c r="S596">
        <v>-51.1618225</v>
      </c>
      <c r="T596">
        <f t="shared" si="84"/>
        <v>-91.81471621182672</v>
      </c>
      <c r="U596" t="s">
        <v>95</v>
      </c>
      <c r="V596">
        <v>17982</v>
      </c>
      <c r="W596" t="s">
        <v>339</v>
      </c>
      <c r="X596">
        <v>298</v>
      </c>
      <c r="Y596" t="s">
        <v>179</v>
      </c>
      <c r="Z596">
        <v>-73.7</v>
      </c>
      <c r="AA596" t="s">
        <v>95</v>
      </c>
      <c r="AB596">
        <f t="shared" si="85"/>
        <v>-132.26160160364947</v>
      </c>
      <c r="AC596" t="s">
        <v>93</v>
      </c>
      <c r="AD596">
        <v>0.9</v>
      </c>
      <c r="AE596" t="s">
        <v>95</v>
      </c>
      <c r="AF596" t="s">
        <v>93</v>
      </c>
      <c r="AZ596">
        <v>0.75</v>
      </c>
      <c r="BP596">
        <v>0.25</v>
      </c>
      <c r="CR596">
        <f t="shared" si="86"/>
        <v>-92.881579781382513</v>
      </c>
      <c r="CS596">
        <f t="shared" si="87"/>
        <v>-91.81471621182672</v>
      </c>
      <c r="CT596">
        <f t="shared" si="88"/>
        <v>-132.26160160364947</v>
      </c>
      <c r="CU596" s="7">
        <f t="shared" si="89"/>
        <v>-105.65263253228623</v>
      </c>
      <c r="CV596" s="9">
        <f t="shared" si="90"/>
        <v>557.22900000000004</v>
      </c>
      <c r="CW596" t="str">
        <f t="shared" si="82"/>
        <v>UPd3</v>
      </c>
    </row>
    <row r="597" spans="1:101" ht="15.75" thickBot="1" x14ac:dyDescent="0.3">
      <c r="A597" t="s">
        <v>91</v>
      </c>
      <c r="B597" t="s">
        <v>93</v>
      </c>
      <c r="C597" t="s">
        <v>3144</v>
      </c>
      <c r="E597" t="s">
        <v>3145</v>
      </c>
      <c r="F597" t="s">
        <v>93</v>
      </c>
      <c r="G597" t="s">
        <v>280</v>
      </c>
      <c r="H597">
        <v>464.97215999999997</v>
      </c>
      <c r="I597">
        <v>92</v>
      </c>
      <c r="M597">
        <f t="shared" si="83"/>
        <v>0</v>
      </c>
      <c r="O597" t="s">
        <v>93</v>
      </c>
      <c r="P597" t="s">
        <v>93</v>
      </c>
      <c r="T597">
        <f t="shared" si="84"/>
        <v>0</v>
      </c>
      <c r="V597" t="s">
        <v>93</v>
      </c>
      <c r="W597" t="s">
        <v>102</v>
      </c>
      <c r="X597">
        <v>298</v>
      </c>
      <c r="Y597" t="s">
        <v>103</v>
      </c>
      <c r="Z597">
        <v>-48.9</v>
      </c>
      <c r="AA597" t="s">
        <v>95</v>
      </c>
      <c r="AB597">
        <f t="shared" si="85"/>
        <v>-105.16758680777792</v>
      </c>
      <c r="AC597" t="s">
        <v>93</v>
      </c>
      <c r="AD597">
        <v>1.39</v>
      </c>
      <c r="AE597" t="s">
        <v>95</v>
      </c>
      <c r="AF597" t="s">
        <v>93</v>
      </c>
      <c r="AH597" t="s">
        <v>93</v>
      </c>
      <c r="AI597" t="s">
        <v>93</v>
      </c>
      <c r="AJ597" t="s">
        <v>93</v>
      </c>
      <c r="AK597" t="s">
        <v>93</v>
      </c>
      <c r="AR597">
        <v>0.4</v>
      </c>
      <c r="AS597">
        <v>0.5</v>
      </c>
      <c r="AX597">
        <v>0.1</v>
      </c>
      <c r="CR597">
        <f t="shared" si="86"/>
        <v>0</v>
      </c>
      <c r="CS597">
        <f t="shared" si="87"/>
        <v>0</v>
      </c>
      <c r="CT597">
        <f t="shared" si="88"/>
        <v>-105.16758680777792</v>
      </c>
      <c r="CU597" s="7">
        <f t="shared" si="89"/>
        <v>-105.16758680777792</v>
      </c>
      <c r="CV597" s="9">
        <f t="shared" si="90"/>
        <v>464.97215999999997</v>
      </c>
      <c r="CW597" t="str">
        <f t="shared" si="82"/>
        <v>Al4CuNi5</v>
      </c>
    </row>
    <row r="598" spans="1:101" ht="15.75" thickBot="1" x14ac:dyDescent="0.3">
      <c r="A598" t="s">
        <v>91</v>
      </c>
      <c r="B598" t="s">
        <v>671</v>
      </c>
      <c r="C598" t="s">
        <v>3144</v>
      </c>
      <c r="E598" t="s">
        <v>3145</v>
      </c>
      <c r="F598" t="s">
        <v>93</v>
      </c>
      <c r="G598" t="s">
        <v>672</v>
      </c>
      <c r="H598">
        <v>700.60220000000004</v>
      </c>
      <c r="I598">
        <v>271</v>
      </c>
      <c r="M598">
        <f t="shared" si="83"/>
        <v>0</v>
      </c>
      <c r="O598" t="s">
        <v>93</v>
      </c>
      <c r="P598" t="s">
        <v>93</v>
      </c>
      <c r="T598">
        <f t="shared" si="84"/>
        <v>0</v>
      </c>
      <c r="V598" t="s">
        <v>93</v>
      </c>
      <c r="W598" t="s">
        <v>673</v>
      </c>
      <c r="X598">
        <v>298</v>
      </c>
      <c r="Y598" t="s">
        <v>480</v>
      </c>
      <c r="Z598">
        <v>-73.400000000000006</v>
      </c>
      <c r="AA598" t="s">
        <v>95</v>
      </c>
      <c r="AB598">
        <f t="shared" si="85"/>
        <v>-104.76701329227913</v>
      </c>
      <c r="AC598" t="s">
        <v>93</v>
      </c>
      <c r="AD598">
        <v>2</v>
      </c>
      <c r="AE598" t="s">
        <v>95</v>
      </c>
      <c r="AF598" t="s">
        <v>93</v>
      </c>
      <c r="AH598" t="s">
        <v>93</v>
      </c>
      <c r="AI598" t="s">
        <v>93</v>
      </c>
      <c r="AJ598" t="s">
        <v>93</v>
      </c>
      <c r="AK598" t="s">
        <v>93</v>
      </c>
      <c r="BF598">
        <v>0.4</v>
      </c>
      <c r="BJ598">
        <v>0.6</v>
      </c>
      <c r="CR598">
        <f t="shared" si="86"/>
        <v>0</v>
      </c>
      <c r="CS598">
        <f t="shared" si="87"/>
        <v>0</v>
      </c>
      <c r="CT598">
        <f t="shared" si="88"/>
        <v>-104.76701329227913</v>
      </c>
      <c r="CU598" s="7">
        <f t="shared" si="89"/>
        <v>-104.76701329227913</v>
      </c>
      <c r="CV598" s="9">
        <f t="shared" si="90"/>
        <v>700.60220000000004</v>
      </c>
      <c r="CW598" t="str">
        <f t="shared" si="82"/>
        <v>Ho3Rh2</v>
      </c>
    </row>
    <row r="599" spans="1:101" ht="15.75" thickBot="1" x14ac:dyDescent="0.3">
      <c r="A599" t="s">
        <v>91</v>
      </c>
      <c r="B599" t="s">
        <v>476</v>
      </c>
      <c r="C599" t="s">
        <v>3144</v>
      </c>
      <c r="E599" t="s">
        <v>3145</v>
      </c>
      <c r="F599" t="s">
        <v>93</v>
      </c>
      <c r="G599" t="s">
        <v>477</v>
      </c>
      <c r="H599">
        <v>241.3732</v>
      </c>
      <c r="I599">
        <v>194</v>
      </c>
      <c r="J599">
        <v>0</v>
      </c>
      <c r="K599" t="s">
        <v>95</v>
      </c>
      <c r="L599">
        <v>-24.230427389999999</v>
      </c>
      <c r="M599">
        <f t="shared" si="83"/>
        <v>-100.38574038045648</v>
      </c>
      <c r="N599" t="s">
        <v>95</v>
      </c>
      <c r="O599" t="s">
        <v>478</v>
      </c>
      <c r="P599" t="s">
        <v>93</v>
      </c>
      <c r="Q599">
        <v>0</v>
      </c>
      <c r="R599" t="s">
        <v>95</v>
      </c>
      <c r="S599">
        <v>-25.16156891</v>
      </c>
      <c r="T599">
        <f t="shared" si="84"/>
        <v>-104.24342433211309</v>
      </c>
      <c r="U599" t="s">
        <v>95</v>
      </c>
      <c r="V599">
        <v>29534</v>
      </c>
      <c r="W599" t="s">
        <v>479</v>
      </c>
      <c r="X599">
        <v>298</v>
      </c>
      <c r="Y599" t="s">
        <v>480</v>
      </c>
      <c r="Z599">
        <v>-26.4</v>
      </c>
      <c r="AA599" t="s">
        <v>95</v>
      </c>
      <c r="AB599">
        <f t="shared" si="85"/>
        <v>-109.37419730110882</v>
      </c>
      <c r="AC599" t="s">
        <v>93</v>
      </c>
      <c r="AD599">
        <v>1</v>
      </c>
      <c r="AE599" t="s">
        <v>95</v>
      </c>
      <c r="AF599" t="s">
        <v>93</v>
      </c>
      <c r="AP599">
        <v>0.66</v>
      </c>
      <c r="AW599">
        <v>0.33</v>
      </c>
      <c r="CR599">
        <f t="shared" si="86"/>
        <v>-100.38574038045648</v>
      </c>
      <c r="CS599">
        <f t="shared" si="87"/>
        <v>-104.24342433211309</v>
      </c>
      <c r="CT599">
        <f t="shared" si="88"/>
        <v>-109.37419730110882</v>
      </c>
      <c r="CU599" s="7">
        <f t="shared" si="89"/>
        <v>-104.66778733789279</v>
      </c>
      <c r="CV599" s="9">
        <f t="shared" si="90"/>
        <v>241.3732</v>
      </c>
      <c r="CW599" t="str">
        <f t="shared" si="82"/>
        <v>Zr2Co</v>
      </c>
    </row>
    <row r="600" spans="1:101" ht="15.75" thickBot="1" x14ac:dyDescent="0.3">
      <c r="A600" t="s">
        <v>91</v>
      </c>
      <c r="B600" t="s">
        <v>801</v>
      </c>
      <c r="C600" t="s">
        <v>3144</v>
      </c>
      <c r="E600" t="s">
        <v>3145</v>
      </c>
      <c r="F600" t="s">
        <v>93</v>
      </c>
      <c r="G600" t="s">
        <v>802</v>
      </c>
      <c r="H600">
        <v>452.95650000000001</v>
      </c>
      <c r="I600">
        <v>321</v>
      </c>
      <c r="J600">
        <v>0</v>
      </c>
      <c r="K600" t="s">
        <v>95</v>
      </c>
      <c r="L600">
        <v>-49.052150570000002</v>
      </c>
      <c r="M600">
        <f t="shared" si="83"/>
        <v>-108.29329211524728</v>
      </c>
      <c r="N600" t="s">
        <v>95</v>
      </c>
      <c r="O600" t="s">
        <v>803</v>
      </c>
      <c r="P600" t="s">
        <v>93</v>
      </c>
      <c r="Q600">
        <v>0</v>
      </c>
      <c r="R600" t="s">
        <v>95</v>
      </c>
      <c r="S600">
        <v>-48.730693969999997</v>
      </c>
      <c r="T600">
        <f t="shared" si="84"/>
        <v>-107.58360674810936</v>
      </c>
      <c r="U600" t="s">
        <v>95</v>
      </c>
      <c r="V600">
        <v>30811</v>
      </c>
      <c r="W600" t="s">
        <v>178</v>
      </c>
      <c r="X600">
        <v>298</v>
      </c>
      <c r="Y600" t="s">
        <v>179</v>
      </c>
      <c r="Z600">
        <v>-44.4</v>
      </c>
      <c r="AA600" t="s">
        <v>95</v>
      </c>
      <c r="AB600">
        <f t="shared" si="85"/>
        <v>-98.022657804888553</v>
      </c>
      <c r="AC600" t="s">
        <v>93</v>
      </c>
      <c r="AD600">
        <v>1.6</v>
      </c>
      <c r="AE600" t="s">
        <v>95</v>
      </c>
      <c r="AF600" t="s">
        <v>93</v>
      </c>
      <c r="AO600">
        <v>0.25</v>
      </c>
      <c r="BF600">
        <v>0.75</v>
      </c>
      <c r="CR600">
        <f t="shared" si="86"/>
        <v>-108.29329211524728</v>
      </c>
      <c r="CS600">
        <f t="shared" si="87"/>
        <v>-107.58360674810936</v>
      </c>
      <c r="CT600">
        <f t="shared" si="88"/>
        <v>-98.022657804888553</v>
      </c>
      <c r="CU600" s="7">
        <f t="shared" si="89"/>
        <v>-104.63318555608173</v>
      </c>
      <c r="CV600" s="9">
        <f t="shared" si="90"/>
        <v>452.95650000000001</v>
      </c>
      <c r="CW600" t="str">
        <f t="shared" si="82"/>
        <v>NdRh3</v>
      </c>
    </row>
    <row r="601" spans="1:101" ht="15.75" thickBot="1" x14ac:dyDescent="0.3">
      <c r="A601" t="s">
        <v>91</v>
      </c>
      <c r="B601" t="s">
        <v>1346</v>
      </c>
      <c r="C601" t="s">
        <v>3144</v>
      </c>
      <c r="E601" t="s">
        <v>3145</v>
      </c>
      <c r="F601" t="s">
        <v>93</v>
      </c>
      <c r="G601" t="s">
        <v>1347</v>
      </c>
      <c r="H601">
        <v>174.422</v>
      </c>
      <c r="I601">
        <v>523</v>
      </c>
      <c r="J601">
        <v>2.3114575199999998</v>
      </c>
      <c r="K601" t="s">
        <v>95</v>
      </c>
      <c r="L601">
        <v>-14.23376</v>
      </c>
      <c r="M601">
        <f t="shared" si="83"/>
        <v>-81.60530208345277</v>
      </c>
      <c r="N601" t="s">
        <v>95</v>
      </c>
      <c r="O601" t="s">
        <v>1348</v>
      </c>
      <c r="P601" t="s">
        <v>93</v>
      </c>
      <c r="Q601">
        <v>2.22339384</v>
      </c>
      <c r="R601" t="s">
        <v>95</v>
      </c>
      <c r="S601">
        <v>-14.816894769999999</v>
      </c>
      <c r="T601">
        <f t="shared" si="84"/>
        <v>-84.948543016362606</v>
      </c>
      <c r="U601" t="s">
        <v>95</v>
      </c>
      <c r="V601">
        <v>19368</v>
      </c>
      <c r="W601" t="s">
        <v>97</v>
      </c>
      <c r="X601">
        <v>298</v>
      </c>
      <c r="Y601" t="s">
        <v>98</v>
      </c>
      <c r="Z601">
        <v>-25.7</v>
      </c>
      <c r="AA601" t="s">
        <v>95</v>
      </c>
      <c r="AB601">
        <f t="shared" si="85"/>
        <v>-147.34379837405831</v>
      </c>
      <c r="AC601" t="s">
        <v>93</v>
      </c>
      <c r="AD601">
        <v>1.1000000000000001</v>
      </c>
      <c r="AE601" t="s">
        <v>95</v>
      </c>
      <c r="AF601" t="s">
        <v>93</v>
      </c>
      <c r="BN601">
        <v>0.33</v>
      </c>
      <c r="BU601">
        <v>0.66</v>
      </c>
      <c r="CR601">
        <f t="shared" si="86"/>
        <v>-81.60530208345277</v>
      </c>
      <c r="CS601">
        <f t="shared" si="87"/>
        <v>-84.948543016362606</v>
      </c>
      <c r="CT601">
        <f t="shared" si="88"/>
        <v>-147.34379837405831</v>
      </c>
      <c r="CU601" s="7">
        <f t="shared" si="89"/>
        <v>-104.63254782462457</v>
      </c>
      <c r="CV601" s="9">
        <f t="shared" si="90"/>
        <v>174.422</v>
      </c>
      <c r="CW601" t="str">
        <f t="shared" si="82"/>
        <v>SmC2</v>
      </c>
    </row>
    <row r="602" spans="1:101" ht="15.75" thickBot="1" x14ac:dyDescent="0.3">
      <c r="A602" t="s">
        <v>484</v>
      </c>
      <c r="B602" t="s">
        <v>915</v>
      </c>
      <c r="C602" t="s">
        <v>3138</v>
      </c>
      <c r="D602" t="s">
        <v>3139</v>
      </c>
      <c r="F602" t="s">
        <v>3140</v>
      </c>
      <c r="G602" t="s">
        <v>916</v>
      </c>
      <c r="H602">
        <v>557.22900000000004</v>
      </c>
      <c r="I602">
        <v>365</v>
      </c>
      <c r="J602">
        <v>0</v>
      </c>
      <c r="K602" t="s">
        <v>95</v>
      </c>
      <c r="L602">
        <v>-51.756309819999998</v>
      </c>
      <c r="M602">
        <f t="shared" si="83"/>
        <v>-92.881579781382513</v>
      </c>
      <c r="N602" t="s">
        <v>95</v>
      </c>
      <c r="O602" t="s">
        <v>917</v>
      </c>
      <c r="P602" t="s">
        <v>93</v>
      </c>
      <c r="Q602">
        <v>0</v>
      </c>
      <c r="R602" t="s">
        <v>95</v>
      </c>
      <c r="S602">
        <v>-51.1618225</v>
      </c>
      <c r="T602">
        <f t="shared" si="84"/>
        <v>-91.81471621182672</v>
      </c>
      <c r="U602" t="s">
        <v>95</v>
      </c>
      <c r="V602">
        <v>17982</v>
      </c>
      <c r="W602" t="s">
        <v>339</v>
      </c>
      <c r="X602">
        <v>298</v>
      </c>
      <c r="Y602" t="s">
        <v>179</v>
      </c>
      <c r="Z602">
        <v>-71.5</v>
      </c>
      <c r="AA602" t="s">
        <v>95</v>
      </c>
      <c r="AB602">
        <f t="shared" si="85"/>
        <v>-128.31349409309277</v>
      </c>
      <c r="AC602" t="s">
        <v>93</v>
      </c>
      <c r="AD602">
        <v>5.4</v>
      </c>
      <c r="AE602" t="s">
        <v>95</v>
      </c>
      <c r="AF602" t="s">
        <v>93</v>
      </c>
      <c r="AZ602">
        <v>0.75</v>
      </c>
      <c r="BP602">
        <v>0.25</v>
      </c>
      <c r="CR602">
        <f t="shared" si="86"/>
        <v>-92.881579781382513</v>
      </c>
      <c r="CS602">
        <f t="shared" si="87"/>
        <v>-91.81471621182672</v>
      </c>
      <c r="CT602">
        <f t="shared" si="88"/>
        <v>-128.31349409309277</v>
      </c>
      <c r="CU602" s="7">
        <f t="shared" si="89"/>
        <v>-104.33659669543401</v>
      </c>
      <c r="CV602" s="9">
        <f t="shared" si="90"/>
        <v>557.22900000000004</v>
      </c>
      <c r="CW602" t="str">
        <f t="shared" si="82"/>
        <v>UPd3</v>
      </c>
    </row>
    <row r="603" spans="1:101" ht="15.75" thickBot="1" x14ac:dyDescent="0.3">
      <c r="A603" t="s">
        <v>91</v>
      </c>
      <c r="B603" t="s">
        <v>1340</v>
      </c>
      <c r="C603" t="s">
        <v>3144</v>
      </c>
      <c r="E603" t="s">
        <v>3145</v>
      </c>
      <c r="F603" t="s">
        <v>93</v>
      </c>
      <c r="G603" t="s">
        <v>1341</v>
      </c>
      <c r="H603">
        <v>168.262</v>
      </c>
      <c r="I603">
        <v>521</v>
      </c>
      <c r="J603">
        <v>1.9793959299999999</v>
      </c>
      <c r="K603" t="s">
        <v>95</v>
      </c>
      <c r="L603">
        <v>-11.422056599999999</v>
      </c>
      <c r="M603">
        <f t="shared" si="83"/>
        <v>-67.882567662336115</v>
      </c>
      <c r="N603" t="s">
        <v>95</v>
      </c>
      <c r="O603" t="s">
        <v>1342</v>
      </c>
      <c r="P603" t="s">
        <v>93</v>
      </c>
      <c r="Q603">
        <v>1.8843300199999999</v>
      </c>
      <c r="R603" t="s">
        <v>95</v>
      </c>
      <c r="S603">
        <v>-12.018637650000001</v>
      </c>
      <c r="T603">
        <f t="shared" si="84"/>
        <v>-71.428115973897846</v>
      </c>
      <c r="U603" t="s">
        <v>95</v>
      </c>
      <c r="V603">
        <v>53650</v>
      </c>
      <c r="W603" t="s">
        <v>97</v>
      </c>
      <c r="X603">
        <v>298</v>
      </c>
      <c r="Y603" t="s">
        <v>98</v>
      </c>
      <c r="Z603">
        <v>-29.2</v>
      </c>
      <c r="AA603" t="s">
        <v>95</v>
      </c>
      <c r="AB603">
        <f t="shared" si="85"/>
        <v>-173.53888578526346</v>
      </c>
      <c r="AC603" t="s">
        <v>93</v>
      </c>
      <c r="AD603">
        <v>1.4</v>
      </c>
      <c r="AE603" t="s">
        <v>95</v>
      </c>
      <c r="AF603" t="s">
        <v>93</v>
      </c>
      <c r="AO603">
        <v>0.33</v>
      </c>
      <c r="BU603">
        <v>0.66</v>
      </c>
      <c r="CR603">
        <f t="shared" si="86"/>
        <v>-67.882567662336115</v>
      </c>
      <c r="CS603">
        <f t="shared" si="87"/>
        <v>-71.428115973897846</v>
      </c>
      <c r="CT603">
        <f t="shared" si="88"/>
        <v>-173.53888578526346</v>
      </c>
      <c r="CU603" s="7">
        <f t="shared" si="89"/>
        <v>-104.28318980716581</v>
      </c>
      <c r="CV603" s="9">
        <f t="shared" si="90"/>
        <v>168.262</v>
      </c>
      <c r="CW603" t="str">
        <f t="shared" si="82"/>
        <v>NdC2</v>
      </c>
    </row>
    <row r="604" spans="1:101" ht="15.75" thickBot="1" x14ac:dyDescent="0.3">
      <c r="A604" t="s">
        <v>91</v>
      </c>
      <c r="B604" t="s">
        <v>439</v>
      </c>
      <c r="C604" t="s">
        <v>3144</v>
      </c>
      <c r="E604" t="s">
        <v>3145</v>
      </c>
      <c r="F604" t="s">
        <v>93</v>
      </c>
      <c r="G604" t="s">
        <v>440</v>
      </c>
      <c r="H604">
        <v>448.8365</v>
      </c>
      <c r="I604">
        <v>180</v>
      </c>
      <c r="J604">
        <v>0</v>
      </c>
      <c r="K604" t="s">
        <v>95</v>
      </c>
      <c r="L604">
        <v>-62.783218009999999</v>
      </c>
      <c r="M604">
        <f t="shared" si="83"/>
        <v>-139.87992957346384</v>
      </c>
      <c r="N604" t="s">
        <v>95</v>
      </c>
      <c r="O604" t="s">
        <v>441</v>
      </c>
      <c r="P604" t="s">
        <v>93</v>
      </c>
      <c r="Q604">
        <v>21.379602569999999</v>
      </c>
      <c r="R604" t="s">
        <v>95</v>
      </c>
      <c r="S604">
        <v>-22.15437876</v>
      </c>
      <c r="T604">
        <f t="shared" si="84"/>
        <v>-49.359574722643998</v>
      </c>
      <c r="U604" t="s">
        <v>95</v>
      </c>
      <c r="V604">
        <v>29167</v>
      </c>
      <c r="W604" t="s">
        <v>194</v>
      </c>
      <c r="X604">
        <v>298</v>
      </c>
      <c r="Y604" t="s">
        <v>103</v>
      </c>
      <c r="Z604">
        <v>-55.2</v>
      </c>
      <c r="AA604" t="s">
        <v>95</v>
      </c>
      <c r="AB604">
        <f t="shared" si="85"/>
        <v>-122.98465031253031</v>
      </c>
      <c r="AC604" t="s">
        <v>93</v>
      </c>
      <c r="AD604">
        <v>1.6</v>
      </c>
      <c r="AE604" t="s">
        <v>95</v>
      </c>
      <c r="AF604" t="s">
        <v>93</v>
      </c>
      <c r="AM604">
        <v>0.25</v>
      </c>
      <c r="BF604">
        <v>0.75</v>
      </c>
      <c r="CR604">
        <f t="shared" si="86"/>
        <v>-139.87992957346384</v>
      </c>
      <c r="CS604">
        <f t="shared" si="87"/>
        <v>-49.359574722643998</v>
      </c>
      <c r="CT604">
        <f t="shared" si="88"/>
        <v>-122.98465031253031</v>
      </c>
      <c r="CU604" s="7">
        <f t="shared" si="89"/>
        <v>-104.0747182028794</v>
      </c>
      <c r="CV604" s="9">
        <f t="shared" si="90"/>
        <v>448.8365</v>
      </c>
      <c r="CW604" t="str">
        <f t="shared" si="82"/>
        <v>CeRh3</v>
      </c>
    </row>
    <row r="605" spans="1:101" ht="15.75" thickBot="1" x14ac:dyDescent="0.3">
      <c r="A605" t="s">
        <v>91</v>
      </c>
      <c r="B605" t="s">
        <v>2872</v>
      </c>
      <c r="C605" t="s">
        <v>3144</v>
      </c>
      <c r="E605" t="s">
        <v>3145</v>
      </c>
      <c r="F605" t="s">
        <v>93</v>
      </c>
      <c r="G605" t="s">
        <v>2873</v>
      </c>
      <c r="H605">
        <v>355.88</v>
      </c>
      <c r="I605">
        <v>1176</v>
      </c>
      <c r="J605">
        <v>0</v>
      </c>
      <c r="K605" t="s">
        <v>95</v>
      </c>
      <c r="L605">
        <v>-61.007861480000003</v>
      </c>
      <c r="M605">
        <f t="shared" si="83"/>
        <v>-171.42818219624593</v>
      </c>
      <c r="N605" t="s">
        <v>95</v>
      </c>
      <c r="O605" t="s">
        <v>2874</v>
      </c>
      <c r="P605" t="s">
        <v>93</v>
      </c>
      <c r="Q605">
        <v>61.60818269</v>
      </c>
      <c r="R605" t="s">
        <v>95</v>
      </c>
      <c r="S605">
        <v>12.612485380000001</v>
      </c>
      <c r="T605">
        <f t="shared" si="84"/>
        <v>35.440275879509947</v>
      </c>
      <c r="U605" t="s">
        <v>95</v>
      </c>
      <c r="V605">
        <v>667584</v>
      </c>
      <c r="W605" t="s">
        <v>1370</v>
      </c>
      <c r="X605">
        <v>298</v>
      </c>
      <c r="Y605" t="s">
        <v>1983</v>
      </c>
      <c r="Z605">
        <v>-62.6</v>
      </c>
      <c r="AA605" t="s">
        <v>95</v>
      </c>
      <c r="AB605">
        <f t="shared" si="85"/>
        <v>-175.90198943464088</v>
      </c>
      <c r="AC605" t="s">
        <v>93</v>
      </c>
      <c r="AD605">
        <v>2.5</v>
      </c>
      <c r="AE605" t="s">
        <v>95</v>
      </c>
      <c r="AF605" t="s">
        <v>93</v>
      </c>
      <c r="AQ605">
        <v>0.33300000000000002</v>
      </c>
      <c r="AS605">
        <v>0.33300000000000002</v>
      </c>
      <c r="CF605">
        <v>0.33300000000000002</v>
      </c>
      <c r="CR605">
        <f t="shared" si="86"/>
        <v>-171.42818219624593</v>
      </c>
      <c r="CS605">
        <f t="shared" si="87"/>
        <v>35.440275879509947</v>
      </c>
      <c r="CT605">
        <f t="shared" si="88"/>
        <v>-175.90198943464088</v>
      </c>
      <c r="CU605" s="7">
        <f t="shared" si="89"/>
        <v>-103.96329858379228</v>
      </c>
      <c r="CV605" s="9">
        <f t="shared" si="90"/>
        <v>355.88</v>
      </c>
      <c r="CW605" t="str">
        <f t="shared" si="82"/>
        <v>HfNiSn</v>
      </c>
    </row>
    <row r="606" spans="1:101" ht="15.75" thickBot="1" x14ac:dyDescent="0.3">
      <c r="A606" t="s">
        <v>91</v>
      </c>
      <c r="B606" t="s">
        <v>1079</v>
      </c>
      <c r="C606" t="s">
        <v>3144</v>
      </c>
      <c r="E606" t="s">
        <v>3145</v>
      </c>
      <c r="F606" t="s">
        <v>93</v>
      </c>
      <c r="G606" t="s">
        <v>1080</v>
      </c>
      <c r="H606">
        <v>612.25153999999998</v>
      </c>
      <c r="I606">
        <v>429</v>
      </c>
      <c r="M606">
        <f t="shared" si="83"/>
        <v>0</v>
      </c>
      <c r="O606" t="s">
        <v>93</v>
      </c>
      <c r="P606" t="s">
        <v>1081</v>
      </c>
      <c r="T606">
        <f t="shared" si="84"/>
        <v>0</v>
      </c>
      <c r="V606" t="s">
        <v>93</v>
      </c>
      <c r="W606" t="s">
        <v>93</v>
      </c>
      <c r="X606">
        <v>298</v>
      </c>
      <c r="Y606" t="s">
        <v>93</v>
      </c>
      <c r="Z606">
        <v>-63.6</v>
      </c>
      <c r="AA606" t="s">
        <v>95</v>
      </c>
      <c r="AB606">
        <f t="shared" si="85"/>
        <v>-103.87887305273256</v>
      </c>
      <c r="AC606" t="s">
        <v>93</v>
      </c>
      <c r="AD606">
        <v>2.1</v>
      </c>
      <c r="AE606" t="s">
        <v>95</v>
      </c>
      <c r="AF606" t="s">
        <v>93</v>
      </c>
      <c r="AH606" t="s">
        <v>93</v>
      </c>
      <c r="AI606" t="s">
        <v>93</v>
      </c>
      <c r="AJ606" t="s">
        <v>93</v>
      </c>
      <c r="AK606" t="s">
        <v>93</v>
      </c>
      <c r="AR606">
        <v>0.25</v>
      </c>
      <c r="AY606">
        <v>0.75</v>
      </c>
      <c r="CR606">
        <f t="shared" si="86"/>
        <v>0</v>
      </c>
      <c r="CS606">
        <f t="shared" si="87"/>
        <v>0</v>
      </c>
      <c r="CT606">
        <f t="shared" si="88"/>
        <v>-103.87887305273256</v>
      </c>
      <c r="CU606" s="7">
        <f t="shared" si="89"/>
        <v>-103.87887305273256</v>
      </c>
      <c r="CV606" s="9">
        <f t="shared" si="90"/>
        <v>612.25153999999998</v>
      </c>
      <c r="CW606" t="str">
        <f t="shared" si="82"/>
        <v>AlPt3</v>
      </c>
    </row>
    <row r="607" spans="1:101" ht="15.75" thickBot="1" x14ac:dyDescent="0.3">
      <c r="A607" t="s">
        <v>91</v>
      </c>
      <c r="B607" t="s">
        <v>93</v>
      </c>
      <c r="C607" t="s">
        <v>3144</v>
      </c>
      <c r="E607" t="s">
        <v>3145</v>
      </c>
      <c r="F607" t="s">
        <v>93</v>
      </c>
      <c r="G607" t="s">
        <v>235</v>
      </c>
      <c r="H607">
        <v>597.8877</v>
      </c>
      <c r="I607">
        <v>58</v>
      </c>
      <c r="M607">
        <f t="shared" si="83"/>
        <v>0</v>
      </c>
      <c r="O607" t="s">
        <v>93</v>
      </c>
      <c r="P607" t="s">
        <v>93</v>
      </c>
      <c r="T607">
        <f t="shared" si="84"/>
        <v>0</v>
      </c>
      <c r="V607" t="s">
        <v>93</v>
      </c>
      <c r="W607" t="s">
        <v>102</v>
      </c>
      <c r="X607">
        <v>298</v>
      </c>
      <c r="Y607" t="s">
        <v>103</v>
      </c>
      <c r="Z607">
        <v>-62</v>
      </c>
      <c r="AA607" t="s">
        <v>95</v>
      </c>
      <c r="AB607">
        <f t="shared" si="85"/>
        <v>-103.69840356307714</v>
      </c>
      <c r="AC607" t="s">
        <v>93</v>
      </c>
      <c r="AD607">
        <v>1.3</v>
      </c>
      <c r="AE607" t="s">
        <v>95</v>
      </c>
      <c r="AF607" t="s">
        <v>93</v>
      </c>
      <c r="AH607" t="s">
        <v>93</v>
      </c>
      <c r="AI607" t="s">
        <v>93</v>
      </c>
      <c r="AJ607" t="s">
        <v>93</v>
      </c>
      <c r="AK607" t="s">
        <v>93</v>
      </c>
      <c r="AR607">
        <v>0.5</v>
      </c>
      <c r="AS607">
        <v>0.1</v>
      </c>
      <c r="AV607">
        <v>0.4</v>
      </c>
      <c r="CR607">
        <f t="shared" si="86"/>
        <v>0</v>
      </c>
      <c r="CS607">
        <f t="shared" si="87"/>
        <v>0</v>
      </c>
      <c r="CT607">
        <f t="shared" si="88"/>
        <v>-103.69840356307714</v>
      </c>
      <c r="CU607" s="7">
        <f t="shared" si="89"/>
        <v>-103.69840356307714</v>
      </c>
      <c r="CV607" s="9">
        <f t="shared" si="90"/>
        <v>597.8877</v>
      </c>
      <c r="CW607" t="str">
        <f t="shared" si="82"/>
        <v>Al5NiRu4</v>
      </c>
    </row>
    <row r="608" spans="1:101" ht="15.75" thickBot="1" x14ac:dyDescent="0.3">
      <c r="A608" t="s">
        <v>91</v>
      </c>
      <c r="B608" t="s">
        <v>93</v>
      </c>
      <c r="C608" t="s">
        <v>3144</v>
      </c>
      <c r="E608" t="s">
        <v>3145</v>
      </c>
      <c r="F608" t="s">
        <v>93</v>
      </c>
      <c r="G608" t="s">
        <v>777</v>
      </c>
      <c r="H608">
        <v>950.50099999999998</v>
      </c>
      <c r="I608">
        <v>313</v>
      </c>
      <c r="M608">
        <f t="shared" si="83"/>
        <v>0</v>
      </c>
      <c r="O608" t="s">
        <v>93</v>
      </c>
      <c r="P608" t="s">
        <v>93</v>
      </c>
      <c r="T608">
        <f t="shared" si="84"/>
        <v>0</v>
      </c>
      <c r="V608" t="s">
        <v>93</v>
      </c>
      <c r="W608" t="s">
        <v>93</v>
      </c>
      <c r="X608">
        <v>298</v>
      </c>
      <c r="Y608" t="s">
        <v>93</v>
      </c>
      <c r="Z608">
        <v>-98.4</v>
      </c>
      <c r="AA608" t="s">
        <v>95</v>
      </c>
      <c r="AB608">
        <f t="shared" si="85"/>
        <v>-103.524351894422</v>
      </c>
      <c r="AC608" t="s">
        <v>93</v>
      </c>
      <c r="AD608">
        <v>2.2000000000000002</v>
      </c>
      <c r="AE608" t="s">
        <v>95</v>
      </c>
      <c r="AF608" t="s">
        <v>93</v>
      </c>
      <c r="AH608" t="s">
        <v>93</v>
      </c>
      <c r="AI608" t="s">
        <v>93</v>
      </c>
      <c r="AJ608" t="s">
        <v>93</v>
      </c>
      <c r="AK608" t="s">
        <v>93</v>
      </c>
      <c r="AZ608">
        <v>0.56999999999999995</v>
      </c>
      <c r="BL608">
        <v>0.43</v>
      </c>
      <c r="CR608">
        <f t="shared" si="86"/>
        <v>0</v>
      </c>
      <c r="CS608">
        <f t="shared" si="87"/>
        <v>0</v>
      </c>
      <c r="CT608">
        <f t="shared" si="88"/>
        <v>-103.524351894422</v>
      </c>
      <c r="CU608" s="7">
        <f t="shared" si="89"/>
        <v>-103.524351894422</v>
      </c>
      <c r="CV608" s="9">
        <f t="shared" si="90"/>
        <v>950.50099999999998</v>
      </c>
      <c r="CW608" t="str">
        <f t="shared" si="82"/>
        <v>Lu3Pd4</v>
      </c>
    </row>
    <row r="609" spans="1:101" ht="15.75" thickBot="1" x14ac:dyDescent="0.3">
      <c r="A609" t="s">
        <v>91</v>
      </c>
      <c r="B609" t="s">
        <v>93</v>
      </c>
      <c r="C609" t="s">
        <v>3144</v>
      </c>
      <c r="E609" t="s">
        <v>3145</v>
      </c>
      <c r="F609" t="s">
        <v>93</v>
      </c>
      <c r="G609" t="s">
        <v>291</v>
      </c>
      <c r="H609">
        <v>701.18769999999995</v>
      </c>
      <c r="I609">
        <v>102</v>
      </c>
      <c r="M609">
        <f t="shared" si="83"/>
        <v>0</v>
      </c>
      <c r="O609" t="s">
        <v>93</v>
      </c>
      <c r="P609" t="s">
        <v>93</v>
      </c>
      <c r="T609">
        <f t="shared" si="84"/>
        <v>0</v>
      </c>
      <c r="V609" t="s">
        <v>93</v>
      </c>
      <c r="W609" t="s">
        <v>102</v>
      </c>
      <c r="X609">
        <v>298</v>
      </c>
      <c r="Y609" t="s">
        <v>103</v>
      </c>
      <c r="Z609">
        <v>-72.09</v>
      </c>
      <c r="AA609" t="s">
        <v>95</v>
      </c>
      <c r="AB609">
        <f t="shared" si="85"/>
        <v>-102.81127293020117</v>
      </c>
      <c r="AC609" t="s">
        <v>93</v>
      </c>
      <c r="AD609">
        <v>2.38</v>
      </c>
      <c r="AE609" t="s">
        <v>95</v>
      </c>
      <c r="AF609" t="s">
        <v>93</v>
      </c>
      <c r="AH609" t="s">
        <v>93</v>
      </c>
      <c r="AI609" t="s">
        <v>93</v>
      </c>
      <c r="AJ609" t="s">
        <v>93</v>
      </c>
      <c r="AK609" t="s">
        <v>93</v>
      </c>
      <c r="AR609">
        <v>0.5</v>
      </c>
      <c r="AS609">
        <v>0.3</v>
      </c>
      <c r="AY609">
        <v>0.2</v>
      </c>
      <c r="CR609">
        <f t="shared" si="86"/>
        <v>0</v>
      </c>
      <c r="CS609">
        <f t="shared" si="87"/>
        <v>0</v>
      </c>
      <c r="CT609">
        <f t="shared" si="88"/>
        <v>-102.81127293020117</v>
      </c>
      <c r="CU609" s="7">
        <f t="shared" si="89"/>
        <v>-102.81127293020117</v>
      </c>
      <c r="CV609" s="9">
        <f t="shared" si="90"/>
        <v>701.18769999999995</v>
      </c>
      <c r="CW609" t="str">
        <f t="shared" si="82"/>
        <v>Al5Ni3Pt2</v>
      </c>
    </row>
    <row r="610" spans="1:101" ht="15.75" thickBot="1" x14ac:dyDescent="0.3">
      <c r="A610" t="s">
        <v>484</v>
      </c>
      <c r="B610" t="s">
        <v>2199</v>
      </c>
      <c r="C610" t="s">
        <v>3138</v>
      </c>
      <c r="D610" t="s">
        <v>3139</v>
      </c>
      <c r="F610" t="s">
        <v>3140</v>
      </c>
      <c r="G610" t="s">
        <v>2200</v>
      </c>
      <c r="H610">
        <v>680.65</v>
      </c>
      <c r="I610">
        <v>875</v>
      </c>
      <c r="J610">
        <v>0</v>
      </c>
      <c r="K610" t="s">
        <v>95</v>
      </c>
      <c r="L610">
        <v>-67.496577689999995</v>
      </c>
      <c r="M610">
        <f t="shared" si="83"/>
        <v>-99.164883111731427</v>
      </c>
      <c r="N610" t="s">
        <v>95</v>
      </c>
      <c r="O610" t="s">
        <v>2201</v>
      </c>
      <c r="P610" t="s">
        <v>93</v>
      </c>
      <c r="Q610">
        <v>0</v>
      </c>
      <c r="R610" t="s">
        <v>95</v>
      </c>
      <c r="S610">
        <v>-67.277343509999994</v>
      </c>
      <c r="T610">
        <f t="shared" si="84"/>
        <v>-98.842787791082046</v>
      </c>
      <c r="U610" t="s">
        <v>95</v>
      </c>
      <c r="V610">
        <v>30438</v>
      </c>
      <c r="W610" t="s">
        <v>1478</v>
      </c>
      <c r="X610">
        <v>298</v>
      </c>
      <c r="Y610" t="s">
        <v>1273</v>
      </c>
      <c r="Z610">
        <v>-74.599999999999994</v>
      </c>
      <c r="AA610" t="s">
        <v>95</v>
      </c>
      <c r="AB610">
        <f t="shared" si="85"/>
        <v>-109.60111657973994</v>
      </c>
      <c r="AC610" t="s">
        <v>93</v>
      </c>
      <c r="AD610">
        <v>7.9</v>
      </c>
      <c r="AE610" t="s">
        <v>95</v>
      </c>
      <c r="AF610" t="s">
        <v>93</v>
      </c>
      <c r="AQ610">
        <v>0.6</v>
      </c>
      <c r="CA610">
        <v>0.4</v>
      </c>
      <c r="CR610">
        <f t="shared" si="86"/>
        <v>-99.164883111731427</v>
      </c>
      <c r="CS610">
        <f t="shared" si="87"/>
        <v>-98.842787791082046</v>
      </c>
      <c r="CT610">
        <f t="shared" si="88"/>
        <v>-109.60111657973994</v>
      </c>
      <c r="CU610" s="7">
        <f t="shared" si="89"/>
        <v>-102.53626249418447</v>
      </c>
      <c r="CV610" s="9">
        <f t="shared" si="90"/>
        <v>680.65</v>
      </c>
      <c r="CW610" t="str">
        <f t="shared" si="82"/>
        <v>Hf3Ge2</v>
      </c>
    </row>
    <row r="611" spans="1:101" ht="15.75" thickBot="1" x14ac:dyDescent="0.3">
      <c r="A611" t="s">
        <v>91</v>
      </c>
      <c r="B611" t="s">
        <v>388</v>
      </c>
      <c r="C611" t="s">
        <v>3144</v>
      </c>
      <c r="E611" t="s">
        <v>3145</v>
      </c>
      <c r="F611" t="s">
        <v>93</v>
      </c>
      <c r="G611" t="s">
        <v>389</v>
      </c>
      <c r="H611">
        <v>340.66649999999998</v>
      </c>
      <c r="I611">
        <v>162</v>
      </c>
      <c r="J611">
        <v>0</v>
      </c>
      <c r="K611" t="s">
        <v>95</v>
      </c>
      <c r="L611">
        <v>-33.798839569999998</v>
      </c>
      <c r="M611">
        <f t="shared" si="83"/>
        <v>-99.2138633238079</v>
      </c>
      <c r="N611" t="s">
        <v>95</v>
      </c>
      <c r="O611" t="s">
        <v>390</v>
      </c>
      <c r="P611" t="s">
        <v>93</v>
      </c>
      <c r="Q611">
        <v>0</v>
      </c>
      <c r="R611" t="s">
        <v>95</v>
      </c>
      <c r="S611">
        <v>-39.460479839999998</v>
      </c>
      <c r="T611">
        <f t="shared" si="84"/>
        <v>-115.83316774616819</v>
      </c>
      <c r="U611" t="s">
        <v>95</v>
      </c>
      <c r="V611">
        <v>10815</v>
      </c>
      <c r="W611" t="s">
        <v>391</v>
      </c>
      <c r="X611">
        <v>298</v>
      </c>
      <c r="Y611" t="s">
        <v>392</v>
      </c>
      <c r="Z611">
        <v>-31.39</v>
      </c>
      <c r="AA611" t="s">
        <v>95</v>
      </c>
      <c r="AB611">
        <f t="shared" si="85"/>
        <v>-92.142902222554909</v>
      </c>
      <c r="AC611" t="s">
        <v>93</v>
      </c>
      <c r="AD611">
        <v>0.5</v>
      </c>
      <c r="AE611" t="s">
        <v>95</v>
      </c>
      <c r="AF611" t="s">
        <v>93</v>
      </c>
      <c r="BA611">
        <v>0.75</v>
      </c>
      <c r="BC611">
        <v>0.25</v>
      </c>
      <c r="CR611">
        <f t="shared" si="86"/>
        <v>-99.2138633238079</v>
      </c>
      <c r="CS611">
        <f t="shared" si="87"/>
        <v>-115.83316774616819</v>
      </c>
      <c r="CT611">
        <f t="shared" si="88"/>
        <v>-92.142902222554909</v>
      </c>
      <c r="CU611" s="7">
        <f t="shared" si="89"/>
        <v>-102.39664443084366</v>
      </c>
      <c r="CV611" s="9">
        <f t="shared" si="90"/>
        <v>340.66649999999998</v>
      </c>
      <c r="CW611" t="str">
        <f t="shared" si="82"/>
        <v>Ti3Au</v>
      </c>
    </row>
    <row r="612" spans="1:101" ht="15.75" thickBot="1" x14ac:dyDescent="0.3">
      <c r="A612" t="s">
        <v>91</v>
      </c>
      <c r="B612" t="s">
        <v>93</v>
      </c>
      <c r="C612" t="s">
        <v>3144</v>
      </c>
      <c r="E612" t="s">
        <v>3145</v>
      </c>
      <c r="F612" t="s">
        <v>93</v>
      </c>
      <c r="G612" t="s">
        <v>676</v>
      </c>
      <c r="H612">
        <v>920.39120000000003</v>
      </c>
      <c r="I612">
        <v>273</v>
      </c>
      <c r="M612">
        <f t="shared" si="83"/>
        <v>0</v>
      </c>
      <c r="O612" t="s">
        <v>93</v>
      </c>
      <c r="P612" t="s">
        <v>93</v>
      </c>
      <c r="T612">
        <f t="shared" si="84"/>
        <v>0</v>
      </c>
      <c r="V612" t="s">
        <v>93</v>
      </c>
      <c r="W612" t="s">
        <v>93</v>
      </c>
      <c r="X612">
        <v>298</v>
      </c>
      <c r="Y612" t="s">
        <v>93</v>
      </c>
      <c r="Z612">
        <v>-94.2</v>
      </c>
      <c r="AA612" t="s">
        <v>95</v>
      </c>
      <c r="AB612">
        <f t="shared" si="85"/>
        <v>-102.34778428998453</v>
      </c>
      <c r="AC612" t="s">
        <v>93</v>
      </c>
      <c r="AD612">
        <v>2.1</v>
      </c>
      <c r="AE612" t="s">
        <v>95</v>
      </c>
      <c r="AF612" t="s">
        <v>93</v>
      </c>
      <c r="AH612" t="s">
        <v>93</v>
      </c>
      <c r="AI612" t="s">
        <v>93</v>
      </c>
      <c r="AJ612" t="s">
        <v>93</v>
      </c>
      <c r="AK612" t="s">
        <v>93</v>
      </c>
      <c r="AZ612">
        <v>0.56999999999999995</v>
      </c>
      <c r="BJ612">
        <v>0.43</v>
      </c>
      <c r="CR612">
        <f t="shared" si="86"/>
        <v>0</v>
      </c>
      <c r="CS612">
        <f t="shared" si="87"/>
        <v>0</v>
      </c>
      <c r="CT612">
        <f t="shared" si="88"/>
        <v>-102.34778428998453</v>
      </c>
      <c r="CU612" s="7">
        <f t="shared" si="89"/>
        <v>-102.34778428998453</v>
      </c>
      <c r="CV612" s="9">
        <f t="shared" si="90"/>
        <v>920.39120000000003</v>
      </c>
      <c r="CW612" t="str">
        <f t="shared" si="82"/>
        <v>Ho3Pd4</v>
      </c>
    </row>
    <row r="613" spans="1:101" ht="15.75" thickBot="1" x14ac:dyDescent="0.3">
      <c r="A613" t="s">
        <v>91</v>
      </c>
      <c r="B613" t="s">
        <v>476</v>
      </c>
      <c r="C613" t="s">
        <v>3144</v>
      </c>
      <c r="E613" t="s">
        <v>3145</v>
      </c>
      <c r="G613" t="s">
        <v>477</v>
      </c>
      <c r="H613">
        <v>241.3732</v>
      </c>
      <c r="I613">
        <v>757</v>
      </c>
      <c r="J613">
        <v>0</v>
      </c>
      <c r="K613" t="s">
        <v>95</v>
      </c>
      <c r="L613">
        <v>-24.230427389999999</v>
      </c>
      <c r="M613">
        <f t="shared" si="83"/>
        <v>-100.38574038045648</v>
      </c>
      <c r="N613" t="s">
        <v>95</v>
      </c>
      <c r="O613" t="s">
        <v>478</v>
      </c>
      <c r="P613" t="s">
        <v>93</v>
      </c>
      <c r="Q613">
        <v>0</v>
      </c>
      <c r="R613" t="s">
        <v>95</v>
      </c>
      <c r="S613">
        <v>-25.16156891</v>
      </c>
      <c r="T613">
        <f t="shared" si="84"/>
        <v>-104.24342433211309</v>
      </c>
      <c r="U613" t="s">
        <v>95</v>
      </c>
      <c r="V613">
        <v>29534</v>
      </c>
      <c r="W613" t="s">
        <v>479</v>
      </c>
      <c r="X613">
        <v>1290</v>
      </c>
      <c r="Y613" t="s">
        <v>480</v>
      </c>
      <c r="AB613">
        <f t="shared" si="85"/>
        <v>0</v>
      </c>
      <c r="AC613" t="s">
        <v>93</v>
      </c>
      <c r="AD613">
        <v>2</v>
      </c>
      <c r="AE613" t="s">
        <v>95</v>
      </c>
      <c r="AF613" t="s">
        <v>93</v>
      </c>
      <c r="AP613">
        <v>0.67</v>
      </c>
      <c r="AW613">
        <v>0.33</v>
      </c>
      <c r="CG613">
        <v>-33</v>
      </c>
      <c r="CH613" t="s">
        <v>95</v>
      </c>
      <c r="CI613" t="s">
        <v>93</v>
      </c>
      <c r="CR613">
        <f t="shared" si="86"/>
        <v>-100.38574038045648</v>
      </c>
      <c r="CS613">
        <f t="shared" si="87"/>
        <v>-104.24342433211309</v>
      </c>
      <c r="CT613">
        <f t="shared" si="88"/>
        <v>0</v>
      </c>
      <c r="CU613" s="7">
        <f t="shared" si="89"/>
        <v>-102.31458235628479</v>
      </c>
      <c r="CV613" s="9">
        <f t="shared" si="90"/>
        <v>241.3732</v>
      </c>
      <c r="CW613" t="str">
        <f t="shared" si="82"/>
        <v>Zr2Co</v>
      </c>
    </row>
    <row r="614" spans="1:101" ht="15.75" thickBot="1" x14ac:dyDescent="0.3">
      <c r="A614" t="s">
        <v>91</v>
      </c>
      <c r="B614" t="s">
        <v>2353</v>
      </c>
      <c r="C614" t="s">
        <v>3144</v>
      </c>
      <c r="E614" t="s">
        <v>3145</v>
      </c>
      <c r="F614" t="s">
        <v>93</v>
      </c>
      <c r="G614" t="s">
        <v>2354</v>
      </c>
      <c r="H614">
        <v>242.96700000000001</v>
      </c>
      <c r="I614">
        <v>956</v>
      </c>
      <c r="M614">
        <f t="shared" si="83"/>
        <v>0</v>
      </c>
      <c r="O614" t="s">
        <v>93</v>
      </c>
      <c r="P614" t="s">
        <v>121</v>
      </c>
      <c r="T614">
        <f t="shared" si="84"/>
        <v>0</v>
      </c>
      <c r="V614" t="s">
        <v>93</v>
      </c>
      <c r="W614" t="s">
        <v>102</v>
      </c>
      <c r="X614">
        <v>298</v>
      </c>
      <c r="Y614" t="s">
        <v>103</v>
      </c>
      <c r="Z614">
        <v>-24.8</v>
      </c>
      <c r="AA614" t="s">
        <v>95</v>
      </c>
      <c r="AB614">
        <f t="shared" si="85"/>
        <v>-102.07147472702053</v>
      </c>
      <c r="AC614" t="s">
        <v>93</v>
      </c>
      <c r="AD614">
        <v>2</v>
      </c>
      <c r="AE614" t="s">
        <v>95</v>
      </c>
      <c r="AF614" t="s">
        <v>93</v>
      </c>
      <c r="AH614" t="s">
        <v>93</v>
      </c>
      <c r="AI614" t="s">
        <v>93</v>
      </c>
      <c r="AJ614" t="s">
        <v>93</v>
      </c>
      <c r="AK614" t="s">
        <v>93</v>
      </c>
      <c r="AS614">
        <v>0.5</v>
      </c>
      <c r="AT614">
        <v>0.25</v>
      </c>
      <c r="BY614">
        <v>0.25</v>
      </c>
      <c r="CR614">
        <f t="shared" si="86"/>
        <v>0</v>
      </c>
      <c r="CS614">
        <f t="shared" si="87"/>
        <v>0</v>
      </c>
      <c r="CT614">
        <f t="shared" si="88"/>
        <v>-102.07147472702053</v>
      </c>
      <c r="CU614" s="7">
        <f t="shared" si="89"/>
        <v>-102.07147472702053</v>
      </c>
      <c r="CV614" s="9">
        <f t="shared" si="90"/>
        <v>242.96700000000001</v>
      </c>
      <c r="CW614" t="str">
        <f t="shared" si="82"/>
        <v>FeGaNi2</v>
      </c>
    </row>
    <row r="615" spans="1:101" ht="15.75" thickBot="1" x14ac:dyDescent="0.3">
      <c r="A615" t="s">
        <v>484</v>
      </c>
      <c r="B615" t="s">
        <v>93</v>
      </c>
      <c r="C615" t="s">
        <v>3138</v>
      </c>
      <c r="D615" t="s">
        <v>3139</v>
      </c>
      <c r="F615" t="s">
        <v>3140</v>
      </c>
      <c r="G615" t="s">
        <v>2307</v>
      </c>
      <c r="H615">
        <v>341.48154</v>
      </c>
      <c r="I615">
        <v>923</v>
      </c>
      <c r="M615">
        <f t="shared" si="83"/>
        <v>0</v>
      </c>
      <c r="O615" t="s">
        <v>93</v>
      </c>
      <c r="P615" t="s">
        <v>93</v>
      </c>
      <c r="T615">
        <f t="shared" si="84"/>
        <v>0</v>
      </c>
      <c r="V615" t="s">
        <v>93</v>
      </c>
      <c r="W615" t="s">
        <v>1085</v>
      </c>
      <c r="X615">
        <v>298</v>
      </c>
      <c r="Y615" t="s">
        <v>359</v>
      </c>
      <c r="Z615">
        <v>-34.700000000000003</v>
      </c>
      <c r="AA615" t="s">
        <v>95</v>
      </c>
      <c r="AB615">
        <f t="shared" si="85"/>
        <v>-101.61603464714375</v>
      </c>
      <c r="AC615" t="s">
        <v>93</v>
      </c>
      <c r="AD615">
        <v>4</v>
      </c>
      <c r="AE615" t="s">
        <v>95</v>
      </c>
      <c r="AF615" t="s">
        <v>93</v>
      </c>
      <c r="AH615" t="s">
        <v>93</v>
      </c>
      <c r="AI615" t="s">
        <v>93</v>
      </c>
      <c r="AJ615" t="s">
        <v>93</v>
      </c>
      <c r="AK615" t="s">
        <v>93</v>
      </c>
      <c r="AR615">
        <v>0.33400000000000002</v>
      </c>
      <c r="BI615">
        <v>0.66600000000000004</v>
      </c>
      <c r="CR615">
        <f t="shared" si="86"/>
        <v>0</v>
      </c>
      <c r="CS615">
        <f t="shared" si="87"/>
        <v>0</v>
      </c>
      <c r="CT615">
        <f t="shared" si="88"/>
        <v>-101.61603464714375</v>
      </c>
      <c r="CU615" s="7">
        <f t="shared" si="89"/>
        <v>-101.61603464714375</v>
      </c>
      <c r="CV615" s="9">
        <f t="shared" si="90"/>
        <v>341.48154</v>
      </c>
      <c r="CW615" t="str">
        <f t="shared" si="82"/>
        <v>AlGd2</v>
      </c>
    </row>
    <row r="616" spans="1:101" ht="15.75" thickBot="1" x14ac:dyDescent="0.3">
      <c r="A616" t="s">
        <v>91</v>
      </c>
      <c r="B616" t="s">
        <v>1728</v>
      </c>
      <c r="C616" t="s">
        <v>3144</v>
      </c>
      <c r="E616" t="s">
        <v>3145</v>
      </c>
      <c r="F616" t="s">
        <v>93</v>
      </c>
      <c r="G616" t="s">
        <v>1729</v>
      </c>
      <c r="H616">
        <v>679.80539999999996</v>
      </c>
      <c r="I616">
        <v>661</v>
      </c>
      <c r="M616">
        <f t="shared" si="83"/>
        <v>0</v>
      </c>
      <c r="O616" t="s">
        <v>93</v>
      </c>
      <c r="P616" t="s">
        <v>93</v>
      </c>
      <c r="Q616">
        <v>0</v>
      </c>
      <c r="R616" t="s">
        <v>95</v>
      </c>
      <c r="S616">
        <v>-68.846989429999994</v>
      </c>
      <c r="T616">
        <f t="shared" si="84"/>
        <v>-101.27455508591135</v>
      </c>
      <c r="U616" t="s">
        <v>95</v>
      </c>
      <c r="V616">
        <v>28231</v>
      </c>
      <c r="W616" t="s">
        <v>358</v>
      </c>
      <c r="X616">
        <v>298</v>
      </c>
      <c r="Y616" t="s">
        <v>395</v>
      </c>
      <c r="Z616">
        <v>-69.099999999999994</v>
      </c>
      <c r="AA616" t="s">
        <v>95</v>
      </c>
      <c r="AB616">
        <f t="shared" si="85"/>
        <v>-101.64673596296822</v>
      </c>
      <c r="AC616" t="s">
        <v>93</v>
      </c>
      <c r="AD616">
        <v>1.9</v>
      </c>
      <c r="AE616" t="s">
        <v>95</v>
      </c>
      <c r="AF616" t="s">
        <v>93</v>
      </c>
      <c r="AG616">
        <v>0.25</v>
      </c>
      <c r="AH616" t="s">
        <v>93</v>
      </c>
      <c r="AI616" t="s">
        <v>93</v>
      </c>
      <c r="BC616">
        <v>0.75</v>
      </c>
      <c r="CR616">
        <f t="shared" si="86"/>
        <v>0</v>
      </c>
      <c r="CS616">
        <f t="shared" si="87"/>
        <v>-101.27455508591135</v>
      </c>
      <c r="CT616">
        <f t="shared" si="88"/>
        <v>-101.64673596296822</v>
      </c>
      <c r="CU616" s="7">
        <f t="shared" si="89"/>
        <v>-101.46064552443978</v>
      </c>
      <c r="CV616" s="9">
        <f t="shared" si="90"/>
        <v>679.80539999999996</v>
      </c>
      <c r="CW616" t="str">
        <f t="shared" si="82"/>
        <v>YAu3</v>
      </c>
    </row>
    <row r="617" spans="1:101" ht="15.75" thickBot="1" x14ac:dyDescent="0.3">
      <c r="A617" t="s">
        <v>91</v>
      </c>
      <c r="B617" t="s">
        <v>93</v>
      </c>
      <c r="C617" t="s">
        <v>3144</v>
      </c>
      <c r="E617" t="s">
        <v>3145</v>
      </c>
      <c r="F617" t="s">
        <v>93</v>
      </c>
      <c r="G617" t="s">
        <v>582</v>
      </c>
      <c r="H617">
        <v>927.38</v>
      </c>
      <c r="I617">
        <v>237</v>
      </c>
      <c r="M617">
        <f t="shared" si="83"/>
        <v>0</v>
      </c>
      <c r="O617" t="s">
        <v>93</v>
      </c>
      <c r="P617" t="s">
        <v>93</v>
      </c>
      <c r="Q617">
        <v>0</v>
      </c>
      <c r="R617" t="s">
        <v>95</v>
      </c>
      <c r="S617">
        <v>-93.55911949</v>
      </c>
      <c r="T617">
        <f t="shared" si="84"/>
        <v>-100.88541858784964</v>
      </c>
      <c r="U617" t="s">
        <v>95</v>
      </c>
      <c r="V617">
        <v>30026</v>
      </c>
      <c r="W617" t="s">
        <v>583</v>
      </c>
      <c r="X617">
        <v>298</v>
      </c>
      <c r="Y617" t="s">
        <v>584</v>
      </c>
      <c r="Z617">
        <v>-94.6</v>
      </c>
      <c r="AA617" t="s">
        <v>95</v>
      </c>
      <c r="AB617">
        <f t="shared" si="85"/>
        <v>-102.00780693998145</v>
      </c>
      <c r="AC617" t="s">
        <v>93</v>
      </c>
      <c r="AD617">
        <v>1.8</v>
      </c>
      <c r="AE617" t="s">
        <v>95</v>
      </c>
      <c r="AF617" t="s">
        <v>93</v>
      </c>
      <c r="AH617" t="s">
        <v>93</v>
      </c>
      <c r="AI617" t="s">
        <v>93</v>
      </c>
      <c r="AZ617">
        <v>0.56999999999999995</v>
      </c>
      <c r="BH617">
        <v>0.43</v>
      </c>
      <c r="CR617">
        <f t="shared" si="86"/>
        <v>0</v>
      </c>
      <c r="CS617">
        <f t="shared" si="87"/>
        <v>-100.88541858784964</v>
      </c>
      <c r="CT617">
        <f t="shared" si="88"/>
        <v>-102.00780693998145</v>
      </c>
      <c r="CU617" s="7">
        <f t="shared" si="89"/>
        <v>-101.44661276391554</v>
      </c>
      <c r="CV617" s="9">
        <f t="shared" si="90"/>
        <v>927.38</v>
      </c>
      <c r="CW617" t="str">
        <f t="shared" si="82"/>
        <v>Er3Pd4</v>
      </c>
    </row>
    <row r="618" spans="1:101" ht="15.75" thickBot="1" x14ac:dyDescent="0.3">
      <c r="A618" t="s">
        <v>91</v>
      </c>
      <c r="B618" t="s">
        <v>2754</v>
      </c>
      <c r="C618" t="s">
        <v>3144</v>
      </c>
      <c r="E618" t="s">
        <v>3145</v>
      </c>
      <c r="F618" t="s">
        <v>93</v>
      </c>
      <c r="G618" t="s">
        <v>2755</v>
      </c>
      <c r="H618">
        <v>325.67149999999998</v>
      </c>
      <c r="I618">
        <v>1126</v>
      </c>
      <c r="J618">
        <v>0</v>
      </c>
      <c r="K618" t="s">
        <v>95</v>
      </c>
      <c r="L618">
        <v>-34.607706720000003</v>
      </c>
      <c r="M618">
        <f t="shared" si="83"/>
        <v>-106.26569018167081</v>
      </c>
      <c r="N618" t="s">
        <v>95</v>
      </c>
      <c r="O618" t="s">
        <v>2756</v>
      </c>
      <c r="P618" t="s">
        <v>93</v>
      </c>
      <c r="Q618">
        <v>1.4984781700000001</v>
      </c>
      <c r="R618" t="s">
        <v>95</v>
      </c>
      <c r="S618">
        <v>-32.28867288</v>
      </c>
      <c r="T618">
        <f t="shared" si="84"/>
        <v>-99.144914062176156</v>
      </c>
      <c r="U618" t="s">
        <v>95</v>
      </c>
      <c r="V618">
        <v>503010</v>
      </c>
      <c r="W618" t="s">
        <v>184</v>
      </c>
      <c r="X618">
        <v>298</v>
      </c>
      <c r="Y618" t="s">
        <v>185</v>
      </c>
      <c r="Z618">
        <v>-32.1</v>
      </c>
      <c r="AA618" t="s">
        <v>95</v>
      </c>
      <c r="AB618">
        <f t="shared" si="85"/>
        <v>-98.565579118836013</v>
      </c>
      <c r="AC618" t="s">
        <v>93</v>
      </c>
      <c r="AD618">
        <v>1.8</v>
      </c>
      <c r="AE618" t="s">
        <v>95</v>
      </c>
      <c r="AF618" t="s">
        <v>93</v>
      </c>
      <c r="AV618">
        <v>0.5</v>
      </c>
      <c r="BD618">
        <v>0.25</v>
      </c>
      <c r="CA618">
        <v>0.25</v>
      </c>
      <c r="CR618">
        <f t="shared" si="86"/>
        <v>-106.26569018167081</v>
      </c>
      <c r="CS618">
        <f t="shared" si="87"/>
        <v>-99.144914062176156</v>
      </c>
      <c r="CT618">
        <f t="shared" si="88"/>
        <v>-98.565579118836013</v>
      </c>
      <c r="CU618" s="7">
        <f t="shared" si="89"/>
        <v>-101.32539445422765</v>
      </c>
      <c r="CV618" s="9">
        <f t="shared" si="90"/>
        <v>325.67149999999998</v>
      </c>
      <c r="CW618" t="str">
        <f t="shared" ref="CW618:CW681" si="91">G618</f>
        <v>VGeRu2</v>
      </c>
    </row>
    <row r="619" spans="1:101" ht="15.75" thickBot="1" x14ac:dyDescent="0.3">
      <c r="A619" t="s">
        <v>91</v>
      </c>
      <c r="B619" t="s">
        <v>1363</v>
      </c>
      <c r="C619" t="s">
        <v>3144</v>
      </c>
      <c r="E619" t="s">
        <v>3145</v>
      </c>
      <c r="F619" t="s">
        <v>93</v>
      </c>
      <c r="G619" t="s">
        <v>1364</v>
      </c>
      <c r="H619">
        <v>268.09320000000002</v>
      </c>
      <c r="I619">
        <v>529</v>
      </c>
      <c r="J619">
        <v>0</v>
      </c>
      <c r="K619" t="s">
        <v>95</v>
      </c>
      <c r="L619">
        <v>-25.668902509999999</v>
      </c>
      <c r="M619">
        <f t="shared" si="83"/>
        <v>-95.746190168195227</v>
      </c>
      <c r="N619" t="s">
        <v>95</v>
      </c>
      <c r="O619" t="s">
        <v>1365</v>
      </c>
      <c r="P619" t="s">
        <v>93</v>
      </c>
      <c r="Q619">
        <v>0</v>
      </c>
      <c r="R619" t="s">
        <v>95</v>
      </c>
      <c r="S619">
        <v>-25.771054589999999</v>
      </c>
      <c r="T619">
        <f t="shared" si="84"/>
        <v>-96.127222137674494</v>
      </c>
      <c r="U619" t="s">
        <v>95</v>
      </c>
      <c r="V619">
        <v>29254</v>
      </c>
      <c r="W619" t="s">
        <v>1366</v>
      </c>
      <c r="X619">
        <v>298</v>
      </c>
      <c r="Y619" t="s">
        <v>1093</v>
      </c>
      <c r="Z619">
        <v>-29.4</v>
      </c>
      <c r="AA619" t="s">
        <v>95</v>
      </c>
      <c r="AB619">
        <f t="shared" si="85"/>
        <v>-109.66335587773206</v>
      </c>
      <c r="AC619" t="s">
        <v>93</v>
      </c>
      <c r="AD619">
        <v>2.2000000000000002</v>
      </c>
      <c r="AE619" t="s">
        <v>95</v>
      </c>
      <c r="AF619" t="s">
        <v>93</v>
      </c>
      <c r="AW619">
        <v>0.25</v>
      </c>
      <c r="BY619">
        <v>0.75</v>
      </c>
      <c r="CR619">
        <f t="shared" si="86"/>
        <v>-95.746190168195227</v>
      </c>
      <c r="CS619">
        <f t="shared" si="87"/>
        <v>-96.127222137674494</v>
      </c>
      <c r="CT619">
        <f t="shared" si="88"/>
        <v>-109.66335587773206</v>
      </c>
      <c r="CU619" s="7">
        <f t="shared" si="89"/>
        <v>-100.5122560612006</v>
      </c>
      <c r="CV619" s="9">
        <f t="shared" si="90"/>
        <v>268.09320000000002</v>
      </c>
      <c r="CW619" t="str">
        <f t="shared" si="91"/>
        <v>Ga3Co</v>
      </c>
    </row>
    <row r="620" spans="1:101" ht="15.75" thickBot="1" x14ac:dyDescent="0.3">
      <c r="A620" t="s">
        <v>91</v>
      </c>
      <c r="B620" t="s">
        <v>1721</v>
      </c>
      <c r="C620" t="s">
        <v>3144</v>
      </c>
      <c r="E620" t="s">
        <v>3145</v>
      </c>
      <c r="F620" t="s">
        <v>93</v>
      </c>
      <c r="G620" t="s">
        <v>1722</v>
      </c>
      <c r="H620">
        <v>251.90449999999899</v>
      </c>
      <c r="I620">
        <v>659</v>
      </c>
      <c r="M620">
        <f t="shared" si="83"/>
        <v>0</v>
      </c>
      <c r="O620" t="s">
        <v>93</v>
      </c>
      <c r="P620" t="s">
        <v>93</v>
      </c>
      <c r="T620">
        <f t="shared" si="84"/>
        <v>0</v>
      </c>
      <c r="V620" t="s">
        <v>93</v>
      </c>
      <c r="W620" t="s">
        <v>1723</v>
      </c>
      <c r="X620">
        <v>298</v>
      </c>
      <c r="Y620" t="s">
        <v>1724</v>
      </c>
      <c r="Z620">
        <v>-25.3</v>
      </c>
      <c r="AA620" t="s">
        <v>95</v>
      </c>
      <c r="AB620">
        <f t="shared" si="85"/>
        <v>-100.43488703060129</v>
      </c>
      <c r="AC620" t="s">
        <v>93</v>
      </c>
      <c r="AD620">
        <v>1.7</v>
      </c>
      <c r="AE620" t="s">
        <v>95</v>
      </c>
      <c r="AF620" t="s">
        <v>93</v>
      </c>
      <c r="AH620" t="s">
        <v>93</v>
      </c>
      <c r="AI620" t="s">
        <v>93</v>
      </c>
      <c r="AJ620" t="s">
        <v>93</v>
      </c>
      <c r="AK620" t="s">
        <v>93</v>
      </c>
      <c r="BC620">
        <v>0.5</v>
      </c>
      <c r="BR620">
        <v>0.5</v>
      </c>
      <c r="CR620">
        <f t="shared" si="86"/>
        <v>0</v>
      </c>
      <c r="CS620">
        <f t="shared" si="87"/>
        <v>0</v>
      </c>
      <c r="CT620">
        <f t="shared" si="88"/>
        <v>-100.43488703060129</v>
      </c>
      <c r="CU620" s="7">
        <f t="shared" si="89"/>
        <v>-100.43488703060129</v>
      </c>
      <c r="CV620" s="9">
        <f t="shared" si="90"/>
        <v>251.90449999999899</v>
      </c>
      <c r="CW620" t="str">
        <f t="shared" si="91"/>
        <v>AuMn</v>
      </c>
    </row>
    <row r="621" spans="1:101" ht="15.75" thickBot="1" x14ac:dyDescent="0.3">
      <c r="A621" t="s">
        <v>91</v>
      </c>
      <c r="B621" t="s">
        <v>867</v>
      </c>
      <c r="C621" t="s">
        <v>3144</v>
      </c>
      <c r="E621" t="s">
        <v>3145</v>
      </c>
      <c r="F621" t="s">
        <v>93</v>
      </c>
      <c r="G621" t="s">
        <v>868</v>
      </c>
      <c r="H621">
        <v>227.04150000000001</v>
      </c>
      <c r="I621">
        <v>345</v>
      </c>
      <c r="J621">
        <v>0</v>
      </c>
      <c r="K621" t="s">
        <v>95</v>
      </c>
      <c r="L621">
        <v>-23.766352690000002</v>
      </c>
      <c r="M621">
        <f t="shared" si="83"/>
        <v>-104.67845169275222</v>
      </c>
      <c r="N621" t="s">
        <v>95</v>
      </c>
      <c r="O621" t="s">
        <v>869</v>
      </c>
      <c r="P621" t="s">
        <v>93</v>
      </c>
      <c r="Q621">
        <v>0</v>
      </c>
      <c r="R621" t="s">
        <v>95</v>
      </c>
      <c r="S621">
        <v>-22.934116320000001</v>
      </c>
      <c r="T621">
        <f t="shared" si="84"/>
        <v>-101.01288231446675</v>
      </c>
      <c r="U621" t="s">
        <v>95</v>
      </c>
      <c r="V621">
        <v>17850</v>
      </c>
      <c r="W621" t="s">
        <v>870</v>
      </c>
      <c r="X621">
        <v>298</v>
      </c>
      <c r="Y621" t="s">
        <v>98</v>
      </c>
      <c r="Z621">
        <v>-21.7</v>
      </c>
      <c r="AA621" t="s">
        <v>95</v>
      </c>
      <c r="AB621">
        <f t="shared" si="85"/>
        <v>-95.577240284265216</v>
      </c>
      <c r="AC621" t="s">
        <v>93</v>
      </c>
      <c r="AD621">
        <v>1</v>
      </c>
      <c r="AE621" t="s">
        <v>95</v>
      </c>
      <c r="AF621" t="s">
        <v>93</v>
      </c>
      <c r="AS621">
        <v>0.75</v>
      </c>
      <c r="BD621">
        <v>0.25</v>
      </c>
      <c r="CR621">
        <f t="shared" si="86"/>
        <v>-104.67845169275222</v>
      </c>
      <c r="CS621">
        <f t="shared" si="87"/>
        <v>-101.01288231446675</v>
      </c>
      <c r="CT621">
        <f t="shared" si="88"/>
        <v>-95.577240284265216</v>
      </c>
      <c r="CU621" s="7">
        <f t="shared" si="89"/>
        <v>-100.4228580971614</v>
      </c>
      <c r="CV621" s="9">
        <f t="shared" si="90"/>
        <v>227.04150000000001</v>
      </c>
      <c r="CW621" t="str">
        <f t="shared" si="91"/>
        <v>VNi3</v>
      </c>
    </row>
    <row r="622" spans="1:101" ht="15.75" thickBot="1" x14ac:dyDescent="0.3">
      <c r="A622" t="s">
        <v>91</v>
      </c>
      <c r="B622" t="s">
        <v>93</v>
      </c>
      <c r="C622" t="s">
        <v>3144</v>
      </c>
      <c r="E622" t="s">
        <v>3145</v>
      </c>
      <c r="F622" t="s">
        <v>93</v>
      </c>
      <c r="G622" t="s">
        <v>249</v>
      </c>
      <c r="H622">
        <v>460.35935999999998</v>
      </c>
      <c r="I622">
        <v>70</v>
      </c>
      <c r="M622">
        <f t="shared" si="83"/>
        <v>0</v>
      </c>
      <c r="O622" t="s">
        <v>93</v>
      </c>
      <c r="P622" t="s">
        <v>93</v>
      </c>
      <c r="T622">
        <f t="shared" si="84"/>
        <v>0</v>
      </c>
      <c r="V622" t="s">
        <v>93</v>
      </c>
      <c r="W622" t="s">
        <v>102</v>
      </c>
      <c r="X622">
        <v>298</v>
      </c>
      <c r="Y622" t="s">
        <v>103</v>
      </c>
      <c r="Z622">
        <v>-46.22</v>
      </c>
      <c r="AA622" t="s">
        <v>95</v>
      </c>
      <c r="AB622">
        <f t="shared" si="85"/>
        <v>-100.39982677880168</v>
      </c>
      <c r="AC622" t="s">
        <v>93</v>
      </c>
      <c r="AD622">
        <v>1.04</v>
      </c>
      <c r="AE622" t="s">
        <v>95</v>
      </c>
      <c r="AF622" t="s">
        <v>93</v>
      </c>
      <c r="AH622" t="s">
        <v>93</v>
      </c>
      <c r="AI622" t="s">
        <v>93</v>
      </c>
      <c r="AJ622" t="s">
        <v>93</v>
      </c>
      <c r="AK622" t="s">
        <v>93</v>
      </c>
      <c r="AR622">
        <v>0.4</v>
      </c>
      <c r="AS622">
        <v>0.5</v>
      </c>
      <c r="AW622">
        <v>0.1</v>
      </c>
      <c r="CR622">
        <f t="shared" si="86"/>
        <v>0</v>
      </c>
      <c r="CS622">
        <f t="shared" si="87"/>
        <v>0</v>
      </c>
      <c r="CT622">
        <f t="shared" si="88"/>
        <v>-100.39982677880168</v>
      </c>
      <c r="CU622" s="7">
        <f t="shared" si="89"/>
        <v>-100.39982677880168</v>
      </c>
      <c r="CV622" s="9">
        <f t="shared" si="90"/>
        <v>460.35935999999998</v>
      </c>
      <c r="CW622" t="str">
        <f t="shared" si="91"/>
        <v>Al4CoNi5</v>
      </c>
    </row>
    <row r="623" spans="1:101" ht="15.75" thickBot="1" x14ac:dyDescent="0.3">
      <c r="A623" t="s">
        <v>91</v>
      </c>
      <c r="B623" t="s">
        <v>93</v>
      </c>
      <c r="C623" t="s">
        <v>3144</v>
      </c>
      <c r="E623" t="s">
        <v>3145</v>
      </c>
      <c r="F623" t="s">
        <v>93</v>
      </c>
      <c r="G623" t="s">
        <v>2725</v>
      </c>
      <c r="H623">
        <v>499.32</v>
      </c>
      <c r="I623">
        <v>1114</v>
      </c>
      <c r="J623">
        <v>0</v>
      </c>
      <c r="K623" t="s">
        <v>95</v>
      </c>
      <c r="L623">
        <v>-61.886315070000002</v>
      </c>
      <c r="M623">
        <f t="shared" si="83"/>
        <v>-123.94119015861571</v>
      </c>
      <c r="N623" t="s">
        <v>95</v>
      </c>
      <c r="O623" t="s">
        <v>2726</v>
      </c>
      <c r="P623" t="s">
        <v>121</v>
      </c>
      <c r="Q623">
        <v>2.513847E-2</v>
      </c>
      <c r="R623" t="s">
        <v>95</v>
      </c>
      <c r="S623">
        <v>-63.274494339999997</v>
      </c>
      <c r="T623">
        <f t="shared" si="84"/>
        <v>-126.72132968837617</v>
      </c>
      <c r="U623" t="s">
        <v>95</v>
      </c>
      <c r="V623">
        <v>502278</v>
      </c>
      <c r="W623" t="s">
        <v>184</v>
      </c>
      <c r="X623">
        <v>298</v>
      </c>
      <c r="Y623" t="s">
        <v>185</v>
      </c>
      <c r="Z623">
        <v>-24.9</v>
      </c>
      <c r="AA623" t="s">
        <v>95</v>
      </c>
      <c r="AB623">
        <f t="shared" si="85"/>
        <v>-49.867820235520306</v>
      </c>
      <c r="AC623" t="s">
        <v>93</v>
      </c>
      <c r="AD623">
        <v>3.6</v>
      </c>
      <c r="AE623" t="s">
        <v>95</v>
      </c>
      <c r="AF623" t="s">
        <v>93</v>
      </c>
      <c r="AQ623">
        <v>0.25</v>
      </c>
      <c r="AV623">
        <v>0.5</v>
      </c>
      <c r="CF623">
        <v>0.25</v>
      </c>
      <c r="CR623">
        <f t="shared" si="86"/>
        <v>-123.94119015861571</v>
      </c>
      <c r="CS623">
        <f t="shared" si="87"/>
        <v>-126.72132968837617</v>
      </c>
      <c r="CT623">
        <f t="shared" si="88"/>
        <v>-49.867820235520306</v>
      </c>
      <c r="CU623" s="7">
        <f t="shared" si="89"/>
        <v>-100.17678002750405</v>
      </c>
      <c r="CV623" s="9">
        <f t="shared" si="90"/>
        <v>499.32</v>
      </c>
      <c r="CW623" t="str">
        <f t="shared" si="91"/>
        <v>HfSnRu2</v>
      </c>
    </row>
    <row r="624" spans="1:101" ht="15.75" thickBot="1" x14ac:dyDescent="0.3">
      <c r="A624" t="s">
        <v>91</v>
      </c>
      <c r="B624" t="s">
        <v>1343</v>
      </c>
      <c r="C624" t="s">
        <v>3144</v>
      </c>
      <c r="E624" t="s">
        <v>3145</v>
      </c>
      <c r="F624" t="s">
        <v>93</v>
      </c>
      <c r="G624" t="s">
        <v>1344</v>
      </c>
      <c r="H624">
        <v>164.9297</v>
      </c>
      <c r="I624">
        <v>522</v>
      </c>
      <c r="J624">
        <v>1.69791</v>
      </c>
      <c r="K624" t="s">
        <v>95</v>
      </c>
      <c r="L624">
        <v>-9.6676228000000002</v>
      </c>
      <c r="M624">
        <f t="shared" si="83"/>
        <v>-58.616627569200702</v>
      </c>
      <c r="N624" t="s">
        <v>95</v>
      </c>
      <c r="O624" t="s">
        <v>1345</v>
      </c>
      <c r="P624" t="s">
        <v>93</v>
      </c>
      <c r="Q624">
        <v>1.62785377</v>
      </c>
      <c r="R624" t="s">
        <v>95</v>
      </c>
      <c r="S624">
        <v>-10.229711229999999</v>
      </c>
      <c r="T624">
        <f t="shared" si="84"/>
        <v>-62.024676149899015</v>
      </c>
      <c r="U624" t="s">
        <v>95</v>
      </c>
      <c r="V624">
        <v>3666</v>
      </c>
      <c r="W624" t="s">
        <v>97</v>
      </c>
      <c r="X624">
        <v>298</v>
      </c>
      <c r="Y624" t="s">
        <v>98</v>
      </c>
      <c r="Z624">
        <v>-29.4</v>
      </c>
      <c r="AA624" t="s">
        <v>95</v>
      </c>
      <c r="AB624">
        <f t="shared" si="85"/>
        <v>-178.25776679397345</v>
      </c>
      <c r="AC624" t="s">
        <v>93</v>
      </c>
      <c r="AD624">
        <v>1.6</v>
      </c>
      <c r="AE624" t="s">
        <v>95</v>
      </c>
      <c r="AF624" t="s">
        <v>93</v>
      </c>
      <c r="AN624">
        <v>0.33</v>
      </c>
      <c r="BU624">
        <v>0.66</v>
      </c>
      <c r="CR624">
        <f t="shared" si="86"/>
        <v>-58.616627569200702</v>
      </c>
      <c r="CS624">
        <f t="shared" si="87"/>
        <v>-62.024676149899015</v>
      </c>
      <c r="CT624">
        <f t="shared" si="88"/>
        <v>-178.25776679397345</v>
      </c>
      <c r="CU624" s="7">
        <f t="shared" si="89"/>
        <v>-99.633023504357723</v>
      </c>
      <c r="CV624" s="9">
        <f t="shared" si="90"/>
        <v>164.9297</v>
      </c>
      <c r="CW624" t="str">
        <f t="shared" si="91"/>
        <v>PrC2</v>
      </c>
    </row>
    <row r="625" spans="1:101" ht="15.75" thickBot="1" x14ac:dyDescent="0.3">
      <c r="A625" t="s">
        <v>91</v>
      </c>
      <c r="B625" t="s">
        <v>2719</v>
      </c>
      <c r="C625" t="s">
        <v>3144</v>
      </c>
      <c r="E625" t="s">
        <v>3145</v>
      </c>
      <c r="F625" t="s">
        <v>93</v>
      </c>
      <c r="G625" t="s">
        <v>2720</v>
      </c>
      <c r="H625">
        <v>286.07249999999999</v>
      </c>
      <c r="I625">
        <v>1111</v>
      </c>
      <c r="M625">
        <f t="shared" si="83"/>
        <v>0</v>
      </c>
      <c r="O625" t="s">
        <v>93</v>
      </c>
      <c r="P625" t="s">
        <v>93</v>
      </c>
      <c r="T625">
        <f t="shared" si="84"/>
        <v>0</v>
      </c>
      <c r="V625" t="s">
        <v>93</v>
      </c>
      <c r="W625" t="s">
        <v>102</v>
      </c>
      <c r="X625">
        <v>298</v>
      </c>
      <c r="Y625" t="s">
        <v>103</v>
      </c>
      <c r="Z625">
        <v>-28.5</v>
      </c>
      <c r="AA625" t="s">
        <v>95</v>
      </c>
      <c r="AB625">
        <f t="shared" si="85"/>
        <v>-99.625095037097253</v>
      </c>
      <c r="AC625" t="s">
        <v>93</v>
      </c>
      <c r="AD625">
        <v>0.8</v>
      </c>
      <c r="AE625" t="s">
        <v>95</v>
      </c>
      <c r="AF625" t="s">
        <v>93</v>
      </c>
      <c r="AH625" t="s">
        <v>93</v>
      </c>
      <c r="AI625" t="s">
        <v>93</v>
      </c>
      <c r="AJ625" t="s">
        <v>93</v>
      </c>
      <c r="AK625" t="s">
        <v>93</v>
      </c>
      <c r="AT625">
        <v>0.25</v>
      </c>
      <c r="AV625">
        <v>0.5</v>
      </c>
      <c r="BX625">
        <v>0.25</v>
      </c>
      <c r="CR625">
        <f t="shared" si="86"/>
        <v>0</v>
      </c>
      <c r="CS625">
        <f t="shared" si="87"/>
        <v>0</v>
      </c>
      <c r="CT625">
        <f t="shared" si="88"/>
        <v>-99.625095037097253</v>
      </c>
      <c r="CU625" s="7">
        <f t="shared" si="89"/>
        <v>-99.625095037097253</v>
      </c>
      <c r="CV625" s="9">
        <f t="shared" si="90"/>
        <v>286.07249999999999</v>
      </c>
      <c r="CW625" t="str">
        <f t="shared" si="91"/>
        <v>Ru2FeSi</v>
      </c>
    </row>
    <row r="626" spans="1:101" ht="15.75" thickBot="1" x14ac:dyDescent="0.3">
      <c r="A626" t="s">
        <v>91</v>
      </c>
      <c r="B626" t="s">
        <v>93</v>
      </c>
      <c r="C626" t="s">
        <v>3144</v>
      </c>
      <c r="E626" t="s">
        <v>3145</v>
      </c>
      <c r="F626" t="s">
        <v>93</v>
      </c>
      <c r="G626" t="s">
        <v>888</v>
      </c>
      <c r="H626">
        <v>876.8</v>
      </c>
      <c r="I626">
        <v>352</v>
      </c>
      <c r="M626">
        <f t="shared" si="83"/>
        <v>0</v>
      </c>
      <c r="O626" t="s">
        <v>93</v>
      </c>
      <c r="P626" t="s">
        <v>93</v>
      </c>
      <c r="T626">
        <f t="shared" si="84"/>
        <v>0</v>
      </c>
      <c r="V626" t="s">
        <v>93</v>
      </c>
      <c r="W626" t="s">
        <v>583</v>
      </c>
      <c r="X626">
        <v>298</v>
      </c>
      <c r="Y626" t="s">
        <v>584</v>
      </c>
      <c r="Z626">
        <v>-87.2</v>
      </c>
      <c r="AA626" t="s">
        <v>95</v>
      </c>
      <c r="AB626">
        <f t="shared" si="85"/>
        <v>-99.452554744525557</v>
      </c>
      <c r="AC626" t="s">
        <v>93</v>
      </c>
      <c r="AD626">
        <v>2.5</v>
      </c>
      <c r="AE626" t="s">
        <v>95</v>
      </c>
      <c r="AF626" t="s">
        <v>93</v>
      </c>
      <c r="AH626" t="s">
        <v>93</v>
      </c>
      <c r="AI626" t="s">
        <v>93</v>
      </c>
      <c r="AJ626" t="s">
        <v>93</v>
      </c>
      <c r="AK626" t="s">
        <v>93</v>
      </c>
      <c r="AZ626">
        <v>0.56999999999999995</v>
      </c>
      <c r="BN626">
        <v>0.43</v>
      </c>
      <c r="CR626">
        <f t="shared" si="86"/>
        <v>0</v>
      </c>
      <c r="CS626">
        <f t="shared" si="87"/>
        <v>0</v>
      </c>
      <c r="CT626">
        <f t="shared" si="88"/>
        <v>-99.452554744525557</v>
      </c>
      <c r="CU626" s="7">
        <f t="shared" si="89"/>
        <v>-99.452554744525557</v>
      </c>
      <c r="CV626" s="9">
        <f t="shared" si="90"/>
        <v>876.8</v>
      </c>
      <c r="CW626" t="str">
        <f t="shared" si="91"/>
        <v>Pd4Sm3</v>
      </c>
    </row>
    <row r="627" spans="1:101" ht="15.75" thickBot="1" x14ac:dyDescent="0.3">
      <c r="A627" t="s">
        <v>91</v>
      </c>
      <c r="B627" t="s">
        <v>1711</v>
      </c>
      <c r="C627" t="s">
        <v>3144</v>
      </c>
      <c r="E627" t="s">
        <v>3145</v>
      </c>
      <c r="F627" t="s">
        <v>93</v>
      </c>
      <c r="G627" t="s">
        <v>1712</v>
      </c>
      <c r="H627">
        <v>304.641899999999</v>
      </c>
      <c r="I627">
        <v>656</v>
      </c>
      <c r="J627">
        <v>0</v>
      </c>
      <c r="K627" t="s">
        <v>95</v>
      </c>
      <c r="L627">
        <v>-31.764893069999999</v>
      </c>
      <c r="M627">
        <f t="shared" si="83"/>
        <v>-104.26961317533834</v>
      </c>
      <c r="N627" t="s">
        <v>95</v>
      </c>
      <c r="O627" t="s">
        <v>1713</v>
      </c>
      <c r="P627" t="s">
        <v>93</v>
      </c>
      <c r="Q627">
        <v>0</v>
      </c>
      <c r="R627" t="s">
        <v>95</v>
      </c>
      <c r="S627">
        <v>-32.279580969999998</v>
      </c>
      <c r="T627">
        <f t="shared" si="84"/>
        <v>-105.95909810830389</v>
      </c>
      <c r="U627" t="s">
        <v>95</v>
      </c>
      <c r="V627">
        <v>27649</v>
      </c>
      <c r="W627" t="s">
        <v>97</v>
      </c>
      <c r="X627">
        <v>298</v>
      </c>
      <c r="Y627" t="s">
        <v>98</v>
      </c>
      <c r="Z627">
        <v>-26.6</v>
      </c>
      <c r="AA627" t="s">
        <v>95</v>
      </c>
      <c r="AB627">
        <f t="shared" si="85"/>
        <v>-87.315631894365438</v>
      </c>
      <c r="AC627" t="s">
        <v>93</v>
      </c>
      <c r="AD627">
        <v>1.2</v>
      </c>
      <c r="AE627" t="s">
        <v>95</v>
      </c>
      <c r="AF627" t="s">
        <v>93</v>
      </c>
      <c r="AG627">
        <v>0.33</v>
      </c>
      <c r="CR627">
        <f t="shared" si="86"/>
        <v>-104.26961317533834</v>
      </c>
      <c r="CS627">
        <f t="shared" si="87"/>
        <v>-105.95909810830389</v>
      </c>
      <c r="CT627">
        <f t="shared" si="88"/>
        <v>-87.315631894365438</v>
      </c>
      <c r="CU627" s="7">
        <f t="shared" si="89"/>
        <v>-99.181447726002546</v>
      </c>
      <c r="CV627" s="9">
        <f t="shared" si="90"/>
        <v>304.641899999999</v>
      </c>
      <c r="CW627" t="str">
        <f t="shared" si="91"/>
        <v>YAg2</v>
      </c>
    </row>
    <row r="628" spans="1:101" ht="15.75" thickBot="1" x14ac:dyDescent="0.3">
      <c r="A628" t="s">
        <v>91</v>
      </c>
      <c r="B628" t="s">
        <v>408</v>
      </c>
      <c r="C628" t="s">
        <v>3144</v>
      </c>
      <c r="E628" t="s">
        <v>3145</v>
      </c>
      <c r="F628" t="s">
        <v>93</v>
      </c>
      <c r="G628" t="s">
        <v>409</v>
      </c>
      <c r="H628">
        <v>572.423</v>
      </c>
      <c r="I628">
        <v>168</v>
      </c>
      <c r="J628">
        <v>0</v>
      </c>
      <c r="K628" t="s">
        <v>95</v>
      </c>
      <c r="L628">
        <v>-53.961324849999997</v>
      </c>
      <c r="M628">
        <f t="shared" si="83"/>
        <v>-94.268268133880014</v>
      </c>
      <c r="N628" t="s">
        <v>95</v>
      </c>
      <c r="O628" t="s">
        <v>410</v>
      </c>
      <c r="P628" t="s">
        <v>93</v>
      </c>
      <c r="Q628">
        <v>0</v>
      </c>
      <c r="R628" t="s">
        <v>95</v>
      </c>
      <c r="S628">
        <v>-54.124434890000003</v>
      </c>
      <c r="T628">
        <f t="shared" si="84"/>
        <v>-94.553214825400104</v>
      </c>
      <c r="U628" t="s">
        <v>95</v>
      </c>
      <c r="V628">
        <v>28170</v>
      </c>
      <c r="W628" t="s">
        <v>97</v>
      </c>
      <c r="X628">
        <v>298</v>
      </c>
      <c r="Y628" t="s">
        <v>98</v>
      </c>
      <c r="Z628">
        <v>-61.98</v>
      </c>
      <c r="AA628" t="s">
        <v>95</v>
      </c>
      <c r="AB628">
        <f t="shared" si="85"/>
        <v>-108.27657169610585</v>
      </c>
      <c r="AC628" t="s">
        <v>93</v>
      </c>
      <c r="AD628">
        <v>2.11</v>
      </c>
      <c r="AE628" t="s">
        <v>95</v>
      </c>
      <c r="AF628" t="s">
        <v>93</v>
      </c>
      <c r="AQ628">
        <v>0.33</v>
      </c>
      <c r="BC628">
        <v>0.66</v>
      </c>
      <c r="CR628">
        <f t="shared" si="86"/>
        <v>-94.268268133880014</v>
      </c>
      <c r="CS628">
        <f t="shared" si="87"/>
        <v>-94.553214825400104</v>
      </c>
      <c r="CT628">
        <f t="shared" si="88"/>
        <v>-108.27657169610585</v>
      </c>
      <c r="CU628" s="7">
        <f t="shared" si="89"/>
        <v>-99.03268488512866</v>
      </c>
      <c r="CV628" s="9">
        <f t="shared" si="90"/>
        <v>572.423</v>
      </c>
      <c r="CW628" t="str">
        <f t="shared" si="91"/>
        <v>HfAu2</v>
      </c>
    </row>
    <row r="629" spans="1:101" ht="15.75" thickBot="1" x14ac:dyDescent="0.3">
      <c r="A629" t="s">
        <v>91</v>
      </c>
      <c r="B629" t="s">
        <v>1668</v>
      </c>
      <c r="C629" t="s">
        <v>3144</v>
      </c>
      <c r="E629" t="s">
        <v>3145</v>
      </c>
      <c r="F629" t="s">
        <v>93</v>
      </c>
      <c r="G629" t="s">
        <v>1669</v>
      </c>
      <c r="H629">
        <v>485.36770000000001</v>
      </c>
      <c r="I629">
        <v>640</v>
      </c>
      <c r="J629">
        <v>0</v>
      </c>
      <c r="K629" t="s">
        <v>95</v>
      </c>
      <c r="L629">
        <v>-46.175392340000002</v>
      </c>
      <c r="M629">
        <f t="shared" si="83"/>
        <v>-95.134868554293988</v>
      </c>
      <c r="N629" t="s">
        <v>95</v>
      </c>
      <c r="O629" t="s">
        <v>1670</v>
      </c>
      <c r="P629" t="s">
        <v>93</v>
      </c>
      <c r="Q629">
        <v>0</v>
      </c>
      <c r="R629" t="s">
        <v>95</v>
      </c>
      <c r="S629">
        <v>-46.508457370000002</v>
      </c>
      <c r="T629">
        <f t="shared" si="84"/>
        <v>-95.821080327347701</v>
      </c>
      <c r="U629" t="s">
        <v>95</v>
      </c>
      <c r="V629">
        <v>11139</v>
      </c>
      <c r="W629" t="s">
        <v>194</v>
      </c>
      <c r="X629">
        <v>298</v>
      </c>
      <c r="Y629" t="s">
        <v>103</v>
      </c>
      <c r="Z629">
        <v>-51.3</v>
      </c>
      <c r="AA629" t="s">
        <v>95</v>
      </c>
      <c r="AB629">
        <f t="shared" si="85"/>
        <v>-105.6930652781386</v>
      </c>
      <c r="AC629" t="s">
        <v>93</v>
      </c>
      <c r="AD629">
        <v>2.4</v>
      </c>
      <c r="AE629" t="s">
        <v>95</v>
      </c>
      <c r="AF629" t="s">
        <v>93</v>
      </c>
      <c r="AN629">
        <v>0.25</v>
      </c>
      <c r="BZ629">
        <v>0.75</v>
      </c>
      <c r="CR629">
        <f t="shared" si="86"/>
        <v>-95.134868554293988</v>
      </c>
      <c r="CS629">
        <f t="shared" si="87"/>
        <v>-95.821080327347701</v>
      </c>
      <c r="CT629">
        <f t="shared" si="88"/>
        <v>-105.6930652781386</v>
      </c>
      <c r="CU629" s="7">
        <f t="shared" si="89"/>
        <v>-98.88300471992676</v>
      </c>
      <c r="CV629" s="9">
        <f t="shared" si="90"/>
        <v>485.36770000000001</v>
      </c>
      <c r="CW629" t="str">
        <f t="shared" si="91"/>
        <v>PrIn3</v>
      </c>
    </row>
    <row r="630" spans="1:101" ht="15.75" thickBot="1" x14ac:dyDescent="0.3">
      <c r="A630" t="s">
        <v>91</v>
      </c>
      <c r="B630" t="s">
        <v>93</v>
      </c>
      <c r="C630" t="s">
        <v>3144</v>
      </c>
      <c r="E630" t="s">
        <v>3145</v>
      </c>
      <c r="F630" t="s">
        <v>93</v>
      </c>
      <c r="G630" t="s">
        <v>619</v>
      </c>
      <c r="H630">
        <v>897.35</v>
      </c>
      <c r="I630">
        <v>250</v>
      </c>
      <c r="M630">
        <f t="shared" si="83"/>
        <v>0</v>
      </c>
      <c r="O630" t="s">
        <v>93</v>
      </c>
      <c r="P630" t="s">
        <v>93</v>
      </c>
      <c r="T630">
        <f t="shared" si="84"/>
        <v>0</v>
      </c>
      <c r="V630" t="s">
        <v>93</v>
      </c>
      <c r="W630" t="s">
        <v>93</v>
      </c>
      <c r="X630">
        <v>298</v>
      </c>
      <c r="Y630" t="s">
        <v>93</v>
      </c>
      <c r="Z630">
        <v>-88.5</v>
      </c>
      <c r="AA630" t="s">
        <v>95</v>
      </c>
      <c r="AB630">
        <f t="shared" si="85"/>
        <v>-98.623725413718176</v>
      </c>
      <c r="AC630" t="s">
        <v>93</v>
      </c>
      <c r="AD630">
        <v>2.9</v>
      </c>
      <c r="AE630" t="s">
        <v>95</v>
      </c>
      <c r="AF630" t="s">
        <v>93</v>
      </c>
      <c r="AH630" t="s">
        <v>93</v>
      </c>
      <c r="AI630" t="s">
        <v>93</v>
      </c>
      <c r="AJ630" t="s">
        <v>93</v>
      </c>
      <c r="AK630" t="s">
        <v>93</v>
      </c>
      <c r="AZ630">
        <v>0.56999999999999995</v>
      </c>
      <c r="BI630">
        <v>0.43</v>
      </c>
      <c r="CR630">
        <f t="shared" si="86"/>
        <v>0</v>
      </c>
      <c r="CS630">
        <f t="shared" si="87"/>
        <v>0</v>
      </c>
      <c r="CT630">
        <f t="shared" si="88"/>
        <v>-98.623725413718176</v>
      </c>
      <c r="CU630" s="7">
        <f t="shared" si="89"/>
        <v>-98.623725413718176</v>
      </c>
      <c r="CV630" s="9">
        <f t="shared" si="90"/>
        <v>897.35</v>
      </c>
      <c r="CW630" t="str">
        <f t="shared" si="91"/>
        <v>Gd3Pd4</v>
      </c>
    </row>
    <row r="631" spans="1:101" ht="15.75" thickBot="1" x14ac:dyDescent="0.3">
      <c r="A631" t="s">
        <v>91</v>
      </c>
      <c r="B631" t="s">
        <v>1318</v>
      </c>
      <c r="C631" t="s">
        <v>3144</v>
      </c>
      <c r="E631" t="s">
        <v>3145</v>
      </c>
      <c r="F631" t="s">
        <v>93</v>
      </c>
      <c r="G631" t="s">
        <v>1320</v>
      </c>
      <c r="H631">
        <v>164.142</v>
      </c>
      <c r="I631">
        <v>514</v>
      </c>
      <c r="J631">
        <v>5.4104928900000004</v>
      </c>
      <c r="K631" t="s">
        <v>95</v>
      </c>
      <c r="L631">
        <v>-14.99600603</v>
      </c>
      <c r="M631">
        <f t="shared" si="83"/>
        <v>-91.359956805692633</v>
      </c>
      <c r="N631" t="s">
        <v>95</v>
      </c>
      <c r="O631" t="s">
        <v>1321</v>
      </c>
      <c r="P631" t="s">
        <v>93</v>
      </c>
      <c r="Q631">
        <v>1.22544272</v>
      </c>
      <c r="R631" t="s">
        <v>95</v>
      </c>
      <c r="S631">
        <v>-8.0102080600000001</v>
      </c>
      <c r="T631">
        <f t="shared" si="84"/>
        <v>-48.800478000755447</v>
      </c>
      <c r="U631" t="s">
        <v>95</v>
      </c>
      <c r="V631">
        <v>13373</v>
      </c>
      <c r="W631" t="s">
        <v>97</v>
      </c>
      <c r="X631">
        <v>298</v>
      </c>
      <c r="Y631" t="s">
        <v>98</v>
      </c>
      <c r="Z631">
        <v>-25.4</v>
      </c>
      <c r="AA631" t="s">
        <v>95</v>
      </c>
      <c r="AB631">
        <f t="shared" si="85"/>
        <v>-154.74406306734411</v>
      </c>
      <c r="AC631" t="s">
        <v>93</v>
      </c>
      <c r="AD631">
        <v>1.4</v>
      </c>
      <c r="AE631" t="s">
        <v>95</v>
      </c>
      <c r="AF631" t="s">
        <v>93</v>
      </c>
      <c r="AM631">
        <v>0.33</v>
      </c>
      <c r="BU631">
        <v>0.66</v>
      </c>
      <c r="CR631">
        <f t="shared" si="86"/>
        <v>-91.359956805692633</v>
      </c>
      <c r="CS631">
        <f t="shared" si="87"/>
        <v>-48.800478000755447</v>
      </c>
      <c r="CT631">
        <f t="shared" si="88"/>
        <v>-154.74406306734411</v>
      </c>
      <c r="CU631" s="7">
        <f t="shared" si="89"/>
        <v>-98.301499291264065</v>
      </c>
      <c r="CV631" s="9">
        <f t="shared" si="90"/>
        <v>164.142</v>
      </c>
      <c r="CW631" t="str">
        <f t="shared" si="91"/>
        <v>CeC2</v>
      </c>
    </row>
    <row r="632" spans="1:101" ht="15.75" thickBot="1" x14ac:dyDescent="0.3">
      <c r="A632" t="s">
        <v>91</v>
      </c>
      <c r="B632" t="s">
        <v>124</v>
      </c>
      <c r="C632" t="s">
        <v>3144</v>
      </c>
      <c r="E632" t="s">
        <v>3145</v>
      </c>
      <c r="F632" t="s">
        <v>93</v>
      </c>
      <c r="G632" t="s">
        <v>125</v>
      </c>
      <c r="H632">
        <v>248.7757</v>
      </c>
      <c r="I632">
        <v>10</v>
      </c>
      <c r="J632">
        <v>0</v>
      </c>
      <c r="K632" t="s">
        <v>95</v>
      </c>
      <c r="L632">
        <v>-23.84233631</v>
      </c>
      <c r="M632">
        <f t="shared" si="83"/>
        <v>-95.838686455308945</v>
      </c>
      <c r="N632" t="s">
        <v>95</v>
      </c>
      <c r="O632" t="s">
        <v>126</v>
      </c>
      <c r="P632" t="s">
        <v>93</v>
      </c>
      <c r="Q632">
        <v>0</v>
      </c>
      <c r="R632" t="s">
        <v>95</v>
      </c>
      <c r="S632">
        <v>-24.86496885</v>
      </c>
      <c r="T632">
        <f t="shared" si="84"/>
        <v>-99.949347343812121</v>
      </c>
      <c r="U632" t="s">
        <v>95</v>
      </c>
      <c r="V632">
        <v>10662</v>
      </c>
      <c r="W632" t="s">
        <v>102</v>
      </c>
      <c r="X632">
        <v>298</v>
      </c>
      <c r="Y632" t="s">
        <v>103</v>
      </c>
      <c r="Z632">
        <v>-24.4</v>
      </c>
      <c r="AA632" t="s">
        <v>95</v>
      </c>
      <c r="AB632">
        <f t="shared" si="85"/>
        <v>-98.080318937902689</v>
      </c>
      <c r="AC632" t="s">
        <v>93</v>
      </c>
      <c r="AD632">
        <v>2.8</v>
      </c>
      <c r="AE632" t="s">
        <v>95</v>
      </c>
      <c r="AF632" t="s">
        <v>93</v>
      </c>
      <c r="AN632">
        <v>0.5</v>
      </c>
      <c r="CR632">
        <f t="shared" si="86"/>
        <v>-95.838686455308945</v>
      </c>
      <c r="CS632">
        <f t="shared" si="87"/>
        <v>-99.949347343812121</v>
      </c>
      <c r="CT632">
        <f t="shared" si="88"/>
        <v>-98.080318937902689</v>
      </c>
      <c r="CU632" s="7">
        <f t="shared" si="89"/>
        <v>-97.956117579007923</v>
      </c>
      <c r="CV632" s="9">
        <f t="shared" si="90"/>
        <v>248.7757</v>
      </c>
      <c r="CW632" t="str">
        <f t="shared" si="91"/>
        <v>PrAg</v>
      </c>
    </row>
    <row r="633" spans="1:101" ht="15.75" thickBot="1" x14ac:dyDescent="0.3">
      <c r="A633" t="s">
        <v>91</v>
      </c>
      <c r="B633" t="s">
        <v>1671</v>
      </c>
      <c r="C633" t="s">
        <v>3144</v>
      </c>
      <c r="E633" t="s">
        <v>3145</v>
      </c>
      <c r="F633" t="s">
        <v>93</v>
      </c>
      <c r="G633" t="s">
        <v>1672</v>
      </c>
      <c r="H633">
        <v>488.7</v>
      </c>
      <c r="I633">
        <v>641</v>
      </c>
      <c r="J633">
        <v>0</v>
      </c>
      <c r="K633" t="s">
        <v>95</v>
      </c>
      <c r="L633">
        <v>-45.884334199999998</v>
      </c>
      <c r="M633">
        <f t="shared" si="83"/>
        <v>-93.890595866584817</v>
      </c>
      <c r="N633" t="s">
        <v>95</v>
      </c>
      <c r="O633" t="s">
        <v>1673</v>
      </c>
      <c r="P633" t="s">
        <v>93</v>
      </c>
      <c r="Q633">
        <v>0</v>
      </c>
      <c r="R633" t="s">
        <v>95</v>
      </c>
      <c r="S633">
        <v>-46.135041119999997</v>
      </c>
      <c r="T633">
        <f t="shared" si="84"/>
        <v>-94.403603683241258</v>
      </c>
      <c r="U633" t="s">
        <v>95</v>
      </c>
      <c r="V633">
        <v>11111</v>
      </c>
      <c r="W633" t="s">
        <v>194</v>
      </c>
      <c r="X633">
        <v>298</v>
      </c>
      <c r="Y633" t="s">
        <v>103</v>
      </c>
      <c r="Z633">
        <v>-51.5</v>
      </c>
      <c r="AA633" t="s">
        <v>95</v>
      </c>
      <c r="AB633">
        <f t="shared" si="85"/>
        <v>-105.38162471864131</v>
      </c>
      <c r="AC633" t="s">
        <v>93</v>
      </c>
      <c r="AD633">
        <v>1.8</v>
      </c>
      <c r="AE633" t="s">
        <v>95</v>
      </c>
      <c r="AF633" t="s">
        <v>93</v>
      </c>
      <c r="AO633">
        <v>0.25</v>
      </c>
      <c r="BZ633">
        <v>0.75</v>
      </c>
      <c r="CR633">
        <f t="shared" si="86"/>
        <v>-93.890595866584817</v>
      </c>
      <c r="CS633">
        <f t="shared" si="87"/>
        <v>-94.403603683241258</v>
      </c>
      <c r="CT633">
        <f t="shared" si="88"/>
        <v>-105.38162471864131</v>
      </c>
      <c r="CU633" s="7">
        <f t="shared" si="89"/>
        <v>-97.89194142282247</v>
      </c>
      <c r="CV633" s="9">
        <f t="shared" si="90"/>
        <v>488.7</v>
      </c>
      <c r="CW633" t="str">
        <f t="shared" si="91"/>
        <v>NdIn3</v>
      </c>
    </row>
    <row r="634" spans="1:101" ht="15.75" thickBot="1" x14ac:dyDescent="0.3">
      <c r="A634" t="s">
        <v>91</v>
      </c>
      <c r="B634" t="s">
        <v>382</v>
      </c>
      <c r="C634" t="s">
        <v>3144</v>
      </c>
      <c r="E634" t="s">
        <v>3145</v>
      </c>
      <c r="F634" t="s">
        <v>93</v>
      </c>
      <c r="G634" t="s">
        <v>383</v>
      </c>
      <c r="H634">
        <v>441.832999999999</v>
      </c>
      <c r="I634">
        <v>160</v>
      </c>
      <c r="J634">
        <v>0</v>
      </c>
      <c r="K634" t="s">
        <v>95</v>
      </c>
      <c r="L634">
        <v>-40.879776290000002</v>
      </c>
      <c r="M634">
        <f t="shared" si="83"/>
        <v>-92.52313948935479</v>
      </c>
      <c r="N634" t="s">
        <v>95</v>
      </c>
      <c r="O634" t="s">
        <v>384</v>
      </c>
      <c r="P634" t="s">
        <v>93</v>
      </c>
      <c r="Q634">
        <v>0</v>
      </c>
      <c r="R634" t="s">
        <v>95</v>
      </c>
      <c r="S634">
        <v>-41.765551770000002</v>
      </c>
      <c r="T634">
        <f t="shared" si="84"/>
        <v>-94.527913872436187</v>
      </c>
      <c r="U634" t="s">
        <v>95</v>
      </c>
      <c r="V634">
        <v>10816</v>
      </c>
      <c r="W634" t="s">
        <v>97</v>
      </c>
      <c r="X634">
        <v>298</v>
      </c>
      <c r="Y634" t="s">
        <v>98</v>
      </c>
      <c r="Z634">
        <v>-45.93</v>
      </c>
      <c r="AA634" t="s">
        <v>95</v>
      </c>
      <c r="AB634">
        <f t="shared" si="85"/>
        <v>-103.95330362376758</v>
      </c>
      <c r="AC634" t="s">
        <v>93</v>
      </c>
      <c r="AD634">
        <v>2.0299999999999998</v>
      </c>
      <c r="AE634" t="s">
        <v>95</v>
      </c>
      <c r="AF634" t="s">
        <v>93</v>
      </c>
      <c r="BA634">
        <v>0.33</v>
      </c>
      <c r="BC634">
        <v>0.66</v>
      </c>
      <c r="CR634">
        <f t="shared" si="86"/>
        <v>-92.52313948935479</v>
      </c>
      <c r="CS634">
        <f t="shared" si="87"/>
        <v>-94.527913872436187</v>
      </c>
      <c r="CT634">
        <f t="shared" si="88"/>
        <v>-103.95330362376758</v>
      </c>
      <c r="CU634" s="7">
        <f t="shared" si="89"/>
        <v>-97.00145232851952</v>
      </c>
      <c r="CV634" s="9">
        <f t="shared" si="90"/>
        <v>441.832999999999</v>
      </c>
      <c r="CW634" t="str">
        <f t="shared" si="91"/>
        <v>TiAu2</v>
      </c>
    </row>
    <row r="635" spans="1:101" ht="15.75" thickBot="1" x14ac:dyDescent="0.3">
      <c r="A635" t="s">
        <v>91</v>
      </c>
      <c r="B635" t="s">
        <v>2402</v>
      </c>
      <c r="C635" t="s">
        <v>3144</v>
      </c>
      <c r="E635" t="s">
        <v>3145</v>
      </c>
      <c r="F635" t="s">
        <v>93</v>
      </c>
      <c r="G635" t="s">
        <v>2403</v>
      </c>
      <c r="H635">
        <v>243.43340000000001</v>
      </c>
      <c r="I635">
        <v>977</v>
      </c>
      <c r="J635">
        <v>0</v>
      </c>
      <c r="K635" t="s">
        <v>95</v>
      </c>
      <c r="L635">
        <v>-21.743811999999998</v>
      </c>
      <c r="M635">
        <f t="shared" si="83"/>
        <v>-89.321399610735412</v>
      </c>
      <c r="N635" t="s">
        <v>95</v>
      </c>
      <c r="O635" t="s">
        <v>2404</v>
      </c>
      <c r="P635" t="s">
        <v>93</v>
      </c>
      <c r="Q635">
        <v>0</v>
      </c>
      <c r="R635" t="s">
        <v>95</v>
      </c>
      <c r="S635">
        <v>-23.105396930000001</v>
      </c>
      <c r="T635">
        <f t="shared" si="84"/>
        <v>-94.914653987497204</v>
      </c>
      <c r="U635" t="s">
        <v>95</v>
      </c>
      <c r="V635">
        <v>17097</v>
      </c>
      <c r="W635" t="s">
        <v>184</v>
      </c>
      <c r="X635">
        <v>298</v>
      </c>
      <c r="Y635" t="s">
        <v>185</v>
      </c>
      <c r="Z635">
        <v>-25.8</v>
      </c>
      <c r="AA635" t="s">
        <v>95</v>
      </c>
      <c r="AB635">
        <f t="shared" si="85"/>
        <v>-105.98381323187368</v>
      </c>
      <c r="AC635" t="s">
        <v>93</v>
      </c>
      <c r="AD635">
        <v>2.6</v>
      </c>
      <c r="AE635" t="s">
        <v>95</v>
      </c>
      <c r="AF635" t="s">
        <v>93</v>
      </c>
      <c r="AT635">
        <v>0.25</v>
      </c>
      <c r="AW635">
        <v>0.5</v>
      </c>
      <c r="BY635">
        <v>0.25</v>
      </c>
      <c r="CR635">
        <f t="shared" si="86"/>
        <v>-89.321399610735412</v>
      </c>
      <c r="CS635">
        <f t="shared" si="87"/>
        <v>-94.914653987497204</v>
      </c>
      <c r="CT635">
        <f t="shared" si="88"/>
        <v>-105.98381323187368</v>
      </c>
      <c r="CU635" s="7">
        <f t="shared" si="89"/>
        <v>-96.739955610035437</v>
      </c>
      <c r="CV635" s="9">
        <f t="shared" si="90"/>
        <v>243.43340000000001</v>
      </c>
      <c r="CW635" t="str">
        <f t="shared" si="91"/>
        <v>GaFeCo2</v>
      </c>
    </row>
    <row r="636" spans="1:101" ht="15.75" thickBot="1" x14ac:dyDescent="0.3">
      <c r="A636" t="s">
        <v>91</v>
      </c>
      <c r="B636" t="s">
        <v>93</v>
      </c>
      <c r="C636" t="s">
        <v>3144</v>
      </c>
      <c r="E636" t="s">
        <v>3145</v>
      </c>
      <c r="F636" t="s">
        <v>93</v>
      </c>
      <c r="G636" t="s">
        <v>204</v>
      </c>
      <c r="H636">
        <v>427.43862000000001</v>
      </c>
      <c r="I636">
        <v>37</v>
      </c>
      <c r="M636">
        <f t="shared" si="83"/>
        <v>0</v>
      </c>
      <c r="O636" t="s">
        <v>93</v>
      </c>
      <c r="P636" t="s">
        <v>93</v>
      </c>
      <c r="T636">
        <f t="shared" si="84"/>
        <v>0</v>
      </c>
      <c r="V636" t="s">
        <v>93</v>
      </c>
      <c r="W636" t="s">
        <v>102</v>
      </c>
      <c r="X636">
        <v>298</v>
      </c>
      <c r="Y636" t="s">
        <v>103</v>
      </c>
      <c r="Z636">
        <v>-41.2</v>
      </c>
      <c r="AA636" t="s">
        <v>95</v>
      </c>
      <c r="AB636">
        <f t="shared" si="85"/>
        <v>-96.388108308977792</v>
      </c>
      <c r="AC636" t="s">
        <v>93</v>
      </c>
      <c r="AD636">
        <v>1.2</v>
      </c>
      <c r="AE636" t="s">
        <v>95</v>
      </c>
      <c r="AF636" t="s">
        <v>93</v>
      </c>
      <c r="AH636" t="s">
        <v>93</v>
      </c>
      <c r="AI636" t="s">
        <v>93</v>
      </c>
      <c r="AJ636" t="s">
        <v>93</v>
      </c>
      <c r="AK636" t="s">
        <v>93</v>
      </c>
      <c r="AR636">
        <v>0.33</v>
      </c>
      <c r="AS636">
        <v>0.45</v>
      </c>
      <c r="AT636">
        <v>0.22</v>
      </c>
      <c r="CR636">
        <f t="shared" si="86"/>
        <v>0</v>
      </c>
      <c r="CS636">
        <f t="shared" si="87"/>
        <v>0</v>
      </c>
      <c r="CT636">
        <f t="shared" si="88"/>
        <v>-96.388108308977792</v>
      </c>
      <c r="CU636" s="7">
        <f t="shared" si="89"/>
        <v>-96.388108308977792</v>
      </c>
      <c r="CV636" s="9">
        <f t="shared" si="90"/>
        <v>427.43862000000001</v>
      </c>
      <c r="CW636" t="str">
        <f t="shared" si="91"/>
        <v>Al3Fe2Ni4</v>
      </c>
    </row>
    <row r="637" spans="1:101" ht="15.75" thickBot="1" x14ac:dyDescent="0.3">
      <c r="A637" t="s">
        <v>484</v>
      </c>
      <c r="B637" t="s">
        <v>93</v>
      </c>
      <c r="C637" t="s">
        <v>3138</v>
      </c>
      <c r="D637" t="s">
        <v>3139</v>
      </c>
      <c r="F637" t="s">
        <v>3140</v>
      </c>
      <c r="G637" t="s">
        <v>1267</v>
      </c>
      <c r="H637">
        <v>266.85000000000002</v>
      </c>
      <c r="I637">
        <v>496</v>
      </c>
      <c r="M637">
        <f t="shared" si="83"/>
        <v>0</v>
      </c>
      <c r="O637" t="s">
        <v>93</v>
      </c>
      <c r="P637" t="s">
        <v>93</v>
      </c>
      <c r="T637">
        <f t="shared" si="84"/>
        <v>0</v>
      </c>
      <c r="V637" t="s">
        <v>93</v>
      </c>
      <c r="W637" t="s">
        <v>793</v>
      </c>
      <c r="X637">
        <v>298</v>
      </c>
      <c r="Y637" t="s">
        <v>794</v>
      </c>
      <c r="Z637">
        <v>-25.6</v>
      </c>
      <c r="AA637" t="s">
        <v>95</v>
      </c>
      <c r="AB637">
        <f t="shared" si="85"/>
        <v>-95.934045343826114</v>
      </c>
      <c r="AC637" t="s">
        <v>93</v>
      </c>
      <c r="AD637">
        <v>0.9</v>
      </c>
      <c r="AE637" t="s">
        <v>95</v>
      </c>
      <c r="AF637" t="s">
        <v>93</v>
      </c>
      <c r="AH637" t="s">
        <v>93</v>
      </c>
      <c r="AI637" t="s">
        <v>93</v>
      </c>
      <c r="AJ637" t="s">
        <v>93</v>
      </c>
      <c r="AK637" t="s">
        <v>93</v>
      </c>
      <c r="AZ637">
        <v>0.28999999999999998</v>
      </c>
      <c r="BQ637">
        <v>0.71</v>
      </c>
      <c r="CR637">
        <f t="shared" si="86"/>
        <v>0</v>
      </c>
      <c r="CS637">
        <f t="shared" si="87"/>
        <v>0</v>
      </c>
      <c r="CT637">
        <f t="shared" si="88"/>
        <v>-95.934045343826114</v>
      </c>
      <c r="CU637" s="7">
        <f t="shared" si="89"/>
        <v>-95.934045343826114</v>
      </c>
      <c r="CV637" s="9">
        <f t="shared" si="90"/>
        <v>266.85000000000002</v>
      </c>
      <c r="CW637" t="str">
        <f t="shared" si="91"/>
        <v>B5Pd2</v>
      </c>
    </row>
    <row r="638" spans="1:101" ht="15.75" thickBot="1" x14ac:dyDescent="0.3">
      <c r="A638" t="s">
        <v>91</v>
      </c>
      <c r="B638" t="s">
        <v>1674</v>
      </c>
      <c r="C638" t="s">
        <v>3144</v>
      </c>
      <c r="E638" t="s">
        <v>3145</v>
      </c>
      <c r="F638" t="s">
        <v>93</v>
      </c>
      <c r="G638" t="s">
        <v>1675</v>
      </c>
      <c r="H638">
        <v>494.86</v>
      </c>
      <c r="I638">
        <v>642</v>
      </c>
      <c r="J638">
        <v>0</v>
      </c>
      <c r="K638" t="s">
        <v>95</v>
      </c>
      <c r="L638">
        <v>-44.642665260000001</v>
      </c>
      <c r="M638">
        <f t="shared" si="83"/>
        <v>-90.212717253364588</v>
      </c>
      <c r="N638" t="s">
        <v>95</v>
      </c>
      <c r="O638" t="s">
        <v>1676</v>
      </c>
      <c r="P638" t="s">
        <v>93</v>
      </c>
      <c r="Q638">
        <v>0</v>
      </c>
      <c r="R638" t="s">
        <v>95</v>
      </c>
      <c r="S638">
        <v>-44.954312010000002</v>
      </c>
      <c r="T638">
        <f t="shared" si="84"/>
        <v>-90.842484763367409</v>
      </c>
      <c r="U638" t="s">
        <v>95</v>
      </c>
      <c r="V638">
        <v>11162</v>
      </c>
      <c r="W638" t="s">
        <v>194</v>
      </c>
      <c r="X638">
        <v>298</v>
      </c>
      <c r="Y638" t="s">
        <v>103</v>
      </c>
      <c r="Z638">
        <v>-52</v>
      </c>
      <c r="AA638" t="s">
        <v>95</v>
      </c>
      <c r="AB638">
        <f t="shared" si="85"/>
        <v>-105.08022471001898</v>
      </c>
      <c r="AC638" t="s">
        <v>93</v>
      </c>
      <c r="AD638">
        <v>3.1</v>
      </c>
      <c r="AE638" t="s">
        <v>95</v>
      </c>
      <c r="AF638" t="s">
        <v>93</v>
      </c>
      <c r="BN638">
        <v>0.25</v>
      </c>
      <c r="BZ638">
        <v>0.75</v>
      </c>
      <c r="CR638">
        <f t="shared" si="86"/>
        <v>-90.212717253364588</v>
      </c>
      <c r="CS638">
        <f t="shared" si="87"/>
        <v>-90.842484763367409</v>
      </c>
      <c r="CT638">
        <f t="shared" si="88"/>
        <v>-105.08022471001898</v>
      </c>
      <c r="CU638" s="7">
        <f t="shared" si="89"/>
        <v>-95.37847557558365</v>
      </c>
      <c r="CV638" s="9">
        <f t="shared" si="90"/>
        <v>494.86</v>
      </c>
      <c r="CW638" t="str">
        <f t="shared" si="91"/>
        <v>SmIn3</v>
      </c>
    </row>
    <row r="639" spans="1:101" ht="15.75" thickBot="1" x14ac:dyDescent="0.3">
      <c r="A639" t="s">
        <v>91</v>
      </c>
      <c r="B639" t="s">
        <v>93</v>
      </c>
      <c r="C639" t="s">
        <v>3144</v>
      </c>
      <c r="E639" t="s">
        <v>3145</v>
      </c>
      <c r="F639" t="s">
        <v>93</v>
      </c>
      <c r="G639" t="s">
        <v>894</v>
      </c>
      <c r="H639">
        <v>902.37620000000004</v>
      </c>
      <c r="I639">
        <v>355</v>
      </c>
      <c r="M639">
        <f t="shared" si="83"/>
        <v>0</v>
      </c>
      <c r="O639" t="s">
        <v>93</v>
      </c>
      <c r="P639" t="s">
        <v>93</v>
      </c>
      <c r="T639">
        <f t="shared" si="84"/>
        <v>0</v>
      </c>
      <c r="V639" t="s">
        <v>93</v>
      </c>
      <c r="W639" t="s">
        <v>93</v>
      </c>
      <c r="X639">
        <v>298</v>
      </c>
      <c r="Y639" t="s">
        <v>93</v>
      </c>
      <c r="Z639">
        <v>-85.5</v>
      </c>
      <c r="AA639" t="s">
        <v>95</v>
      </c>
      <c r="AB639">
        <f t="shared" si="85"/>
        <v>-94.749839368547171</v>
      </c>
      <c r="AC639" t="s">
        <v>93</v>
      </c>
      <c r="AD639">
        <v>1.4</v>
      </c>
      <c r="AE639" t="s">
        <v>95</v>
      </c>
      <c r="AF639" t="s">
        <v>93</v>
      </c>
      <c r="AH639" t="s">
        <v>93</v>
      </c>
      <c r="AI639" t="s">
        <v>93</v>
      </c>
      <c r="AJ639" t="s">
        <v>93</v>
      </c>
      <c r="AK639" t="s">
        <v>93</v>
      </c>
      <c r="AZ639">
        <v>0.56999999999999995</v>
      </c>
      <c r="BK639">
        <v>0.43</v>
      </c>
      <c r="CR639">
        <f t="shared" si="86"/>
        <v>0</v>
      </c>
      <c r="CS639">
        <f t="shared" si="87"/>
        <v>0</v>
      </c>
      <c r="CT639">
        <f t="shared" si="88"/>
        <v>-94.749839368547171</v>
      </c>
      <c r="CU639" s="7">
        <f t="shared" si="89"/>
        <v>-94.749839368547171</v>
      </c>
      <c r="CV639" s="9">
        <f t="shared" si="90"/>
        <v>902.37620000000004</v>
      </c>
      <c r="CW639" t="str">
        <f t="shared" si="91"/>
        <v>Pd4Tb3</v>
      </c>
    </row>
    <row r="640" spans="1:101" ht="15.75" thickBot="1" x14ac:dyDescent="0.3">
      <c r="A640" t="s">
        <v>91</v>
      </c>
      <c r="B640" t="s">
        <v>93</v>
      </c>
      <c r="C640" t="s">
        <v>3144</v>
      </c>
      <c r="E640" t="s">
        <v>3145</v>
      </c>
      <c r="F640" t="s">
        <v>93</v>
      </c>
      <c r="G640" t="s">
        <v>341</v>
      </c>
      <c r="H640">
        <v>695.44770000000005</v>
      </c>
      <c r="I640">
        <v>140</v>
      </c>
      <c r="M640">
        <f t="shared" si="83"/>
        <v>0</v>
      </c>
      <c r="O640" t="s">
        <v>93</v>
      </c>
      <c r="P640" t="s">
        <v>93</v>
      </c>
      <c r="T640">
        <f t="shared" si="84"/>
        <v>0</v>
      </c>
      <c r="V640" t="s">
        <v>93</v>
      </c>
      <c r="W640" t="s">
        <v>102</v>
      </c>
      <c r="X640">
        <v>298</v>
      </c>
      <c r="Y640" t="s">
        <v>103</v>
      </c>
      <c r="Z640">
        <v>-65.849999999999994</v>
      </c>
      <c r="AA640" t="s">
        <v>95</v>
      </c>
      <c r="AB640">
        <f t="shared" si="85"/>
        <v>-94.687206528974059</v>
      </c>
      <c r="AC640" t="s">
        <v>93</v>
      </c>
      <c r="AD640">
        <v>2.65</v>
      </c>
      <c r="AE640" t="s">
        <v>95</v>
      </c>
      <c r="AF640" t="s">
        <v>93</v>
      </c>
      <c r="AH640" t="s">
        <v>93</v>
      </c>
      <c r="AI640" t="s">
        <v>93</v>
      </c>
      <c r="AJ640" t="s">
        <v>93</v>
      </c>
      <c r="AK640" t="s">
        <v>93</v>
      </c>
      <c r="AR640">
        <v>0.5</v>
      </c>
      <c r="AS640">
        <v>0.3</v>
      </c>
      <c r="BB640">
        <v>0.2</v>
      </c>
      <c r="CR640">
        <f t="shared" si="86"/>
        <v>0</v>
      </c>
      <c r="CS640">
        <f t="shared" si="87"/>
        <v>0</v>
      </c>
      <c r="CT640">
        <f t="shared" si="88"/>
        <v>-94.687206528974059</v>
      </c>
      <c r="CU640" s="7">
        <f t="shared" si="89"/>
        <v>-94.687206528974059</v>
      </c>
      <c r="CV640" s="9">
        <f t="shared" si="90"/>
        <v>695.44770000000005</v>
      </c>
      <c r="CW640" t="str">
        <f t="shared" si="91"/>
        <v>Al5Ir2Ni3</v>
      </c>
    </row>
    <row r="641" spans="1:101" ht="15.75" thickBot="1" x14ac:dyDescent="0.3">
      <c r="A641" t="s">
        <v>91</v>
      </c>
      <c r="B641" t="s">
        <v>1510</v>
      </c>
      <c r="C641" t="s">
        <v>3144</v>
      </c>
      <c r="E641" t="s">
        <v>3145</v>
      </c>
      <c r="F641" t="s">
        <v>93</v>
      </c>
      <c r="G641" t="s">
        <v>1511</v>
      </c>
      <c r="H641">
        <v>358.94650000000001</v>
      </c>
      <c r="I641">
        <v>580</v>
      </c>
      <c r="J641">
        <v>4.39250235</v>
      </c>
      <c r="K641" t="s">
        <v>95</v>
      </c>
      <c r="L641">
        <v>-33.625044170000002</v>
      </c>
      <c r="M641">
        <f t="shared" si="83"/>
        <v>-93.677035909251103</v>
      </c>
      <c r="N641" t="s">
        <v>95</v>
      </c>
      <c r="O641" t="s">
        <v>1512</v>
      </c>
      <c r="P641" t="s">
        <v>93</v>
      </c>
      <c r="T641">
        <f t="shared" si="84"/>
        <v>0</v>
      </c>
      <c r="V641" t="s">
        <v>93</v>
      </c>
      <c r="W641" t="s">
        <v>339</v>
      </c>
      <c r="X641">
        <v>298</v>
      </c>
      <c r="Y641" t="s">
        <v>1403</v>
      </c>
      <c r="Z641">
        <v>-34</v>
      </c>
      <c r="AA641" t="s">
        <v>95</v>
      </c>
      <c r="AB641">
        <f t="shared" si="85"/>
        <v>-94.721636789883732</v>
      </c>
      <c r="AC641" t="s">
        <v>93</v>
      </c>
      <c r="AD641">
        <v>1.2</v>
      </c>
      <c r="AE641" t="s">
        <v>95</v>
      </c>
      <c r="AF641" t="s">
        <v>93</v>
      </c>
      <c r="AJ641" t="s">
        <v>93</v>
      </c>
      <c r="AK641" t="s">
        <v>93</v>
      </c>
      <c r="BR641">
        <v>0.625</v>
      </c>
      <c r="BX641">
        <v>0.375</v>
      </c>
      <c r="CR641">
        <f t="shared" si="86"/>
        <v>-93.677035909251103</v>
      </c>
      <c r="CS641">
        <f t="shared" si="87"/>
        <v>0</v>
      </c>
      <c r="CT641">
        <f t="shared" si="88"/>
        <v>-94.721636789883732</v>
      </c>
      <c r="CU641" s="7">
        <f t="shared" si="89"/>
        <v>-94.199336349567417</v>
      </c>
      <c r="CV641" s="9">
        <f t="shared" si="90"/>
        <v>358.94650000000001</v>
      </c>
      <c r="CW641" t="str">
        <f t="shared" si="91"/>
        <v>Mn5Si3</v>
      </c>
    </row>
    <row r="642" spans="1:101" ht="15.75" thickBot="1" x14ac:dyDescent="0.3">
      <c r="A642" t="s">
        <v>91</v>
      </c>
      <c r="B642" t="s">
        <v>1118</v>
      </c>
      <c r="C642" t="s">
        <v>3144</v>
      </c>
      <c r="E642" t="s">
        <v>3145</v>
      </c>
      <c r="F642" t="s">
        <v>93</v>
      </c>
      <c r="G642" t="s">
        <v>1119</v>
      </c>
      <c r="H642">
        <v>143.95916</v>
      </c>
      <c r="I642">
        <v>443</v>
      </c>
      <c r="J642">
        <v>0</v>
      </c>
      <c r="K642" t="s">
        <v>95</v>
      </c>
      <c r="L642">
        <v>-8.8204122999999992</v>
      </c>
      <c r="M642">
        <f t="shared" ref="M642:M705" si="92">(1000/H642)*L642</f>
        <v>-61.270240115321585</v>
      </c>
      <c r="N642" t="s">
        <v>95</v>
      </c>
      <c r="O642" t="s">
        <v>1120</v>
      </c>
      <c r="P642" t="s">
        <v>93</v>
      </c>
      <c r="T642">
        <f t="shared" ref="T642:T705" si="93">(1000/H642)*S642</f>
        <v>0</v>
      </c>
      <c r="V642" t="s">
        <v>93</v>
      </c>
      <c r="W642" t="s">
        <v>1121</v>
      </c>
      <c r="X642">
        <v>298</v>
      </c>
      <c r="Y642" t="s">
        <v>700</v>
      </c>
      <c r="Z642">
        <v>-18.3</v>
      </c>
      <c r="AA642" t="s">
        <v>95</v>
      </c>
      <c r="AB642">
        <f t="shared" ref="AB642:AB705" si="94">(1000/H642)*Z642</f>
        <v>-127.11938580358485</v>
      </c>
      <c r="AC642" t="s">
        <v>93</v>
      </c>
      <c r="AD642">
        <v>1</v>
      </c>
      <c r="AE642" t="s">
        <v>95</v>
      </c>
      <c r="AF642" t="s">
        <v>93</v>
      </c>
      <c r="AJ642" t="s">
        <v>93</v>
      </c>
      <c r="AK642" t="s">
        <v>93</v>
      </c>
      <c r="AR642">
        <v>0.56999999999999995</v>
      </c>
      <c r="BU642">
        <v>0.43</v>
      </c>
      <c r="CR642">
        <f t="shared" ref="CR642:CR705" si="95">VALUE(M642)</f>
        <v>-61.270240115321585</v>
      </c>
      <c r="CS642">
        <f t="shared" ref="CS642:CS705" si="96">VALUE(T642)</f>
        <v>0</v>
      </c>
      <c r="CT642">
        <f t="shared" ref="CT642:CT705" si="97">VALUE(AB642)</f>
        <v>-127.11938580358485</v>
      </c>
      <c r="CU642" s="7">
        <f t="shared" ref="CU642:CU705" si="98">SUM(CR642:CT642)/(COUNTIF(CR642:CT642,"&lt;&gt;0")-COUNTBLANK(CR642:CT642)-(COUNTA(CR642:CT642)-COUNT(CR642:CT642)))</f>
        <v>-94.194812959453216</v>
      </c>
      <c r="CV642" s="9">
        <f t="shared" si="90"/>
        <v>143.95916</v>
      </c>
      <c r="CW642" t="str">
        <f t="shared" si="91"/>
        <v>Al4C3</v>
      </c>
    </row>
    <row r="643" spans="1:101" ht="15.75" thickBot="1" x14ac:dyDescent="0.3">
      <c r="A643" t="s">
        <v>91</v>
      </c>
      <c r="B643" t="s">
        <v>2796</v>
      </c>
      <c r="C643" t="s">
        <v>3144</v>
      </c>
      <c r="E643" t="s">
        <v>3145</v>
      </c>
      <c r="F643" t="s">
        <v>93</v>
      </c>
      <c r="G643" t="s">
        <v>2797</v>
      </c>
      <c r="H643">
        <v>375.56900000000002</v>
      </c>
      <c r="I643">
        <v>1143</v>
      </c>
      <c r="M643">
        <f t="shared" si="92"/>
        <v>0</v>
      </c>
      <c r="O643" t="s">
        <v>93</v>
      </c>
      <c r="P643" t="s">
        <v>93</v>
      </c>
      <c r="T643">
        <f t="shared" si="93"/>
        <v>0</v>
      </c>
      <c r="V643" t="s">
        <v>93</v>
      </c>
      <c r="W643" t="s">
        <v>102</v>
      </c>
      <c r="X643">
        <v>298</v>
      </c>
      <c r="Y643" t="s">
        <v>103</v>
      </c>
      <c r="Z643">
        <v>-35.299999999999997</v>
      </c>
      <c r="AA643" t="s">
        <v>95</v>
      </c>
      <c r="AB643">
        <f t="shared" si="94"/>
        <v>-93.990718083760896</v>
      </c>
      <c r="AC643" t="s">
        <v>93</v>
      </c>
      <c r="AD643">
        <v>1.9</v>
      </c>
      <c r="AE643" t="s">
        <v>95</v>
      </c>
      <c r="AF643" t="s">
        <v>93</v>
      </c>
      <c r="AH643" t="s">
        <v>93</v>
      </c>
      <c r="AI643" t="s">
        <v>93</v>
      </c>
      <c r="AJ643" t="s">
        <v>93</v>
      </c>
      <c r="AK643" t="s">
        <v>93</v>
      </c>
      <c r="BF643">
        <v>0.5</v>
      </c>
      <c r="BR643">
        <v>0.25</v>
      </c>
      <c r="BZ643">
        <v>0.25</v>
      </c>
      <c r="CR643">
        <f t="shared" si="95"/>
        <v>0</v>
      </c>
      <c r="CS643">
        <f t="shared" si="96"/>
        <v>0</v>
      </c>
      <c r="CT643">
        <f t="shared" si="97"/>
        <v>-93.990718083760896</v>
      </c>
      <c r="CU643" s="7">
        <f t="shared" si="98"/>
        <v>-93.990718083760896</v>
      </c>
      <c r="CV643" s="9">
        <f t="shared" ref="CV643:CV706" si="99">H643</f>
        <v>375.56900000000002</v>
      </c>
      <c r="CW643" t="str">
        <f t="shared" si="91"/>
        <v>Rh2MnIn</v>
      </c>
    </row>
    <row r="644" spans="1:101" ht="15.75" thickBot="1" x14ac:dyDescent="0.3">
      <c r="A644" t="s">
        <v>91</v>
      </c>
      <c r="B644" t="s">
        <v>2787</v>
      </c>
      <c r="C644" t="s">
        <v>3144</v>
      </c>
      <c r="E644" t="s">
        <v>3145</v>
      </c>
      <c r="F644" t="s">
        <v>93</v>
      </c>
      <c r="G644" t="s">
        <v>2788</v>
      </c>
      <c r="H644">
        <v>331.37799999999999</v>
      </c>
      <c r="I644">
        <v>1139</v>
      </c>
      <c r="M644">
        <f t="shared" si="92"/>
        <v>0</v>
      </c>
      <c r="O644" t="s">
        <v>93</v>
      </c>
      <c r="P644" t="s">
        <v>93</v>
      </c>
      <c r="T644">
        <f t="shared" si="93"/>
        <v>0</v>
      </c>
      <c r="V644" t="s">
        <v>93</v>
      </c>
      <c r="W644" t="s">
        <v>102</v>
      </c>
      <c r="X644">
        <v>298</v>
      </c>
      <c r="Y644" t="s">
        <v>103</v>
      </c>
      <c r="Z644">
        <v>-31.1</v>
      </c>
      <c r="AA644" t="s">
        <v>95</v>
      </c>
      <c r="AB644">
        <f t="shared" si="94"/>
        <v>-93.850527192511279</v>
      </c>
      <c r="AC644" t="s">
        <v>93</v>
      </c>
      <c r="AD644">
        <v>2.2999999999999998</v>
      </c>
      <c r="AE644" t="s">
        <v>95</v>
      </c>
      <c r="AF644" t="s">
        <v>93</v>
      </c>
      <c r="AH644" t="s">
        <v>93</v>
      </c>
      <c r="AI644" t="s">
        <v>93</v>
      </c>
      <c r="AJ644" t="s">
        <v>93</v>
      </c>
      <c r="AK644" t="s">
        <v>93</v>
      </c>
      <c r="AT644">
        <v>0.25</v>
      </c>
      <c r="BF644">
        <v>0.5</v>
      </c>
      <c r="BY644">
        <v>0.25</v>
      </c>
      <c r="CR644">
        <f t="shared" si="95"/>
        <v>0</v>
      </c>
      <c r="CS644">
        <f t="shared" si="96"/>
        <v>0</v>
      </c>
      <c r="CT644">
        <f t="shared" si="97"/>
        <v>-93.850527192511279</v>
      </c>
      <c r="CU644" s="7">
        <f t="shared" si="98"/>
        <v>-93.850527192511279</v>
      </c>
      <c r="CV644" s="9">
        <f t="shared" si="99"/>
        <v>331.37799999999999</v>
      </c>
      <c r="CW644" t="str">
        <f t="shared" si="91"/>
        <v>Rh2FeGa</v>
      </c>
    </row>
    <row r="645" spans="1:101" ht="15.75" thickBot="1" x14ac:dyDescent="0.3">
      <c r="A645" t="s">
        <v>91</v>
      </c>
      <c r="B645" t="s">
        <v>93</v>
      </c>
      <c r="C645" t="s">
        <v>3144</v>
      </c>
      <c r="E645" t="s">
        <v>3145</v>
      </c>
      <c r="F645" t="s">
        <v>93</v>
      </c>
      <c r="G645" t="s">
        <v>2718</v>
      </c>
      <c r="H645">
        <v>284.968539999999</v>
      </c>
      <c r="I645">
        <v>1110</v>
      </c>
      <c r="M645">
        <f t="shared" si="92"/>
        <v>0</v>
      </c>
      <c r="O645" t="s">
        <v>93</v>
      </c>
      <c r="P645" t="s">
        <v>93</v>
      </c>
      <c r="T645">
        <f t="shared" si="93"/>
        <v>0</v>
      </c>
      <c r="V645" t="s">
        <v>93</v>
      </c>
      <c r="W645" t="s">
        <v>102</v>
      </c>
      <c r="X645">
        <v>298</v>
      </c>
      <c r="Y645" t="s">
        <v>103</v>
      </c>
      <c r="Z645">
        <v>-26.7</v>
      </c>
      <c r="AA645" t="s">
        <v>95</v>
      </c>
      <c r="AB645">
        <f t="shared" si="94"/>
        <v>-93.694553089965979</v>
      </c>
      <c r="AC645" t="s">
        <v>93</v>
      </c>
      <c r="AD645">
        <v>2.7</v>
      </c>
      <c r="AE645" t="s">
        <v>95</v>
      </c>
      <c r="AF645" t="s">
        <v>93</v>
      </c>
      <c r="AH645" t="s">
        <v>93</v>
      </c>
      <c r="AI645" t="s">
        <v>93</v>
      </c>
      <c r="AJ645" t="s">
        <v>93</v>
      </c>
      <c r="AK645" t="s">
        <v>93</v>
      </c>
      <c r="AR645">
        <v>0.25</v>
      </c>
      <c r="AT645">
        <v>0.25</v>
      </c>
      <c r="AV645">
        <v>0.5</v>
      </c>
      <c r="CR645">
        <f t="shared" si="95"/>
        <v>0</v>
      </c>
      <c r="CS645">
        <f t="shared" si="96"/>
        <v>0</v>
      </c>
      <c r="CT645">
        <f t="shared" si="97"/>
        <v>-93.694553089965979</v>
      </c>
      <c r="CU645" s="7">
        <f t="shared" si="98"/>
        <v>-93.694553089965979</v>
      </c>
      <c r="CV645" s="9">
        <f t="shared" si="99"/>
        <v>284.968539999999</v>
      </c>
      <c r="CW645" t="str">
        <f t="shared" si="91"/>
        <v>Ru2FeAl</v>
      </c>
    </row>
    <row r="646" spans="1:101" ht="15.75" thickBot="1" x14ac:dyDescent="0.3">
      <c r="A646" t="s">
        <v>91</v>
      </c>
      <c r="B646" t="s">
        <v>129</v>
      </c>
      <c r="C646" t="s">
        <v>3144</v>
      </c>
      <c r="E646" t="s">
        <v>3145</v>
      </c>
      <c r="F646" t="s">
        <v>93</v>
      </c>
      <c r="G646" t="s">
        <v>130</v>
      </c>
      <c r="H646">
        <v>252.108</v>
      </c>
      <c r="I646">
        <v>12</v>
      </c>
      <c r="J646">
        <v>0</v>
      </c>
      <c r="K646" t="s">
        <v>95</v>
      </c>
      <c r="L646">
        <v>-25.02336047</v>
      </c>
      <c r="M646">
        <f t="shared" si="92"/>
        <v>-99.25651097942152</v>
      </c>
      <c r="N646" t="s">
        <v>95</v>
      </c>
      <c r="O646" t="s">
        <v>131</v>
      </c>
      <c r="P646" t="s">
        <v>93</v>
      </c>
      <c r="Q646">
        <v>0</v>
      </c>
      <c r="R646" t="s">
        <v>95</v>
      </c>
      <c r="S646">
        <v>-26.014482950000001</v>
      </c>
      <c r="T646">
        <f t="shared" si="93"/>
        <v>-103.18785183334127</v>
      </c>
      <c r="U646" t="s">
        <v>95</v>
      </c>
      <c r="V646">
        <v>10660</v>
      </c>
      <c r="W646" t="s">
        <v>102</v>
      </c>
      <c r="X646">
        <v>298</v>
      </c>
      <c r="Y646" t="s">
        <v>103</v>
      </c>
      <c r="Z646">
        <v>-19.8</v>
      </c>
      <c r="AA646" t="s">
        <v>95</v>
      </c>
      <c r="AB646">
        <f t="shared" si="94"/>
        <v>-78.537769527345418</v>
      </c>
      <c r="AC646" t="s">
        <v>93</v>
      </c>
      <c r="AD646">
        <v>3.7</v>
      </c>
      <c r="AE646" t="s">
        <v>95</v>
      </c>
      <c r="AF646" t="s">
        <v>93</v>
      </c>
      <c r="AO646">
        <v>0.5</v>
      </c>
      <c r="CR646">
        <f t="shared" si="95"/>
        <v>-99.25651097942152</v>
      </c>
      <c r="CS646">
        <f t="shared" si="96"/>
        <v>-103.18785183334127</v>
      </c>
      <c r="CT646">
        <f t="shared" si="97"/>
        <v>-78.537769527345418</v>
      </c>
      <c r="CU646" s="7">
        <f t="shared" si="98"/>
        <v>-93.660710780036069</v>
      </c>
      <c r="CV646" s="9">
        <f t="shared" si="99"/>
        <v>252.108</v>
      </c>
      <c r="CW646" t="str">
        <f t="shared" si="91"/>
        <v>NdAg</v>
      </c>
    </row>
    <row r="647" spans="1:101" ht="15.75" thickBot="1" x14ac:dyDescent="0.3">
      <c r="A647" t="s">
        <v>484</v>
      </c>
      <c r="B647" t="s">
        <v>1933</v>
      </c>
      <c r="C647" t="s">
        <v>3138</v>
      </c>
      <c r="D647" t="s">
        <v>3139</v>
      </c>
      <c r="F647" t="s">
        <v>3140</v>
      </c>
      <c r="G647" t="s">
        <v>1934</v>
      </c>
      <c r="H647">
        <v>472.477499999999</v>
      </c>
      <c r="I647">
        <v>743</v>
      </c>
      <c r="M647">
        <f t="shared" si="92"/>
        <v>0</v>
      </c>
      <c r="O647" t="s">
        <v>93</v>
      </c>
      <c r="P647" t="s">
        <v>93</v>
      </c>
      <c r="T647">
        <f t="shared" si="93"/>
        <v>0</v>
      </c>
      <c r="V647" t="s">
        <v>93</v>
      </c>
      <c r="W647" t="s">
        <v>1362</v>
      </c>
      <c r="X647">
        <v>298</v>
      </c>
      <c r="Y647" t="s">
        <v>480</v>
      </c>
      <c r="Z647">
        <v>-44.25</v>
      </c>
      <c r="AA647" t="s">
        <v>95</v>
      </c>
      <c r="AB647">
        <f t="shared" si="94"/>
        <v>-93.655253424766471</v>
      </c>
      <c r="AC647" t="s">
        <v>93</v>
      </c>
      <c r="AD647">
        <v>4.7</v>
      </c>
      <c r="AE647" t="s">
        <v>95</v>
      </c>
      <c r="AF647" t="s">
        <v>93</v>
      </c>
      <c r="AH647" t="s">
        <v>93</v>
      </c>
      <c r="AI647" t="s">
        <v>93</v>
      </c>
      <c r="AJ647" t="s">
        <v>93</v>
      </c>
      <c r="AK647" t="s">
        <v>93</v>
      </c>
      <c r="BD647">
        <v>0.625</v>
      </c>
      <c r="CA647">
        <v>0.375</v>
      </c>
      <c r="CR647">
        <f t="shared" si="95"/>
        <v>0</v>
      </c>
      <c r="CS647">
        <f t="shared" si="96"/>
        <v>0</v>
      </c>
      <c r="CT647">
        <f t="shared" si="97"/>
        <v>-93.655253424766471</v>
      </c>
      <c r="CU647" s="7">
        <f t="shared" si="98"/>
        <v>-93.655253424766471</v>
      </c>
      <c r="CV647" s="9">
        <f t="shared" si="99"/>
        <v>472.477499999999</v>
      </c>
      <c r="CW647" t="str">
        <f t="shared" si="91"/>
        <v>V5Ge3</v>
      </c>
    </row>
    <row r="648" spans="1:101" ht="15.75" thickBot="1" x14ac:dyDescent="0.3">
      <c r="A648" t="s">
        <v>91</v>
      </c>
      <c r="B648" t="s">
        <v>2487</v>
      </c>
      <c r="C648" t="s">
        <v>3144</v>
      </c>
      <c r="E648" t="s">
        <v>3145</v>
      </c>
      <c r="F648" t="s">
        <v>93</v>
      </c>
      <c r="G648" t="s">
        <v>2488</v>
      </c>
      <c r="H648">
        <v>230.53749999999999</v>
      </c>
      <c r="I648">
        <v>1013</v>
      </c>
      <c r="J648">
        <v>0</v>
      </c>
      <c r="K648" t="s">
        <v>95</v>
      </c>
      <c r="L648">
        <v>-21.66213247</v>
      </c>
      <c r="M648">
        <f t="shared" si="92"/>
        <v>-93.963595814130031</v>
      </c>
      <c r="N648" t="s">
        <v>95</v>
      </c>
      <c r="O648" t="s">
        <v>2489</v>
      </c>
      <c r="P648" t="s">
        <v>93</v>
      </c>
      <c r="Q648">
        <v>1.533402E-2</v>
      </c>
      <c r="R648" t="s">
        <v>95</v>
      </c>
      <c r="S648">
        <v>-21.644361230000001</v>
      </c>
      <c r="T648">
        <f t="shared" si="93"/>
        <v>-93.886509700157262</v>
      </c>
      <c r="U648" t="s">
        <v>95</v>
      </c>
      <c r="V648">
        <v>17257</v>
      </c>
      <c r="W648" t="s">
        <v>184</v>
      </c>
      <c r="X648">
        <v>298</v>
      </c>
      <c r="Y648" t="s">
        <v>185</v>
      </c>
      <c r="Z648">
        <v>-21.4</v>
      </c>
      <c r="AA648" t="s">
        <v>95</v>
      </c>
      <c r="AB648">
        <f t="shared" si="94"/>
        <v>-92.826546657268338</v>
      </c>
      <c r="AC648" t="s">
        <v>93</v>
      </c>
      <c r="AD648">
        <v>1.6</v>
      </c>
      <c r="AE648" t="s">
        <v>95</v>
      </c>
      <c r="AF648" t="s">
        <v>93</v>
      </c>
      <c r="BD648">
        <v>0.25</v>
      </c>
      <c r="BR648">
        <v>0.5</v>
      </c>
      <c r="BY648">
        <v>0.25</v>
      </c>
      <c r="CR648">
        <f t="shared" si="95"/>
        <v>-93.963595814130031</v>
      </c>
      <c r="CS648">
        <f t="shared" si="96"/>
        <v>-93.886509700157262</v>
      </c>
      <c r="CT648">
        <f t="shared" si="97"/>
        <v>-92.826546657268338</v>
      </c>
      <c r="CU648" s="7">
        <f t="shared" si="98"/>
        <v>-93.55888405718521</v>
      </c>
      <c r="CV648" s="9">
        <f t="shared" si="99"/>
        <v>230.53749999999999</v>
      </c>
      <c r="CW648" t="str">
        <f t="shared" si="91"/>
        <v>Mn2VGa</v>
      </c>
    </row>
    <row r="649" spans="1:101" ht="15.75" thickBot="1" x14ac:dyDescent="0.3">
      <c r="A649" t="s">
        <v>91</v>
      </c>
      <c r="B649" t="s">
        <v>93</v>
      </c>
      <c r="C649" t="s">
        <v>3144</v>
      </c>
      <c r="E649" t="s">
        <v>3145</v>
      </c>
      <c r="F649" t="s">
        <v>93</v>
      </c>
      <c r="G649" t="s">
        <v>2119</v>
      </c>
      <c r="H649">
        <v>800.59950000000003</v>
      </c>
      <c r="I649">
        <v>843</v>
      </c>
      <c r="J649">
        <v>0</v>
      </c>
      <c r="K649" t="s">
        <v>95</v>
      </c>
      <c r="L649">
        <v>-74.123323659999997</v>
      </c>
      <c r="M649">
        <f t="shared" si="92"/>
        <v>-92.584773860088589</v>
      </c>
      <c r="N649" t="s">
        <v>95</v>
      </c>
      <c r="O649" t="s">
        <v>2120</v>
      </c>
      <c r="P649" t="s">
        <v>93</v>
      </c>
      <c r="Q649">
        <v>0</v>
      </c>
      <c r="R649" t="s">
        <v>95</v>
      </c>
      <c r="S649">
        <v>-77.681205109999993</v>
      </c>
      <c r="T649">
        <f t="shared" si="93"/>
        <v>-97.028795433921687</v>
      </c>
      <c r="U649" t="s">
        <v>95</v>
      </c>
      <c r="V649">
        <v>31089</v>
      </c>
      <c r="W649" t="s">
        <v>339</v>
      </c>
      <c r="X649">
        <v>298</v>
      </c>
      <c r="Y649" t="s">
        <v>1403</v>
      </c>
      <c r="Z649">
        <v>-72.8</v>
      </c>
      <c r="AA649" t="s">
        <v>95</v>
      </c>
      <c r="AB649">
        <f t="shared" si="94"/>
        <v>-90.931857938956981</v>
      </c>
      <c r="AC649" t="s">
        <v>93</v>
      </c>
      <c r="AD649">
        <v>2.9</v>
      </c>
      <c r="AE649" t="s">
        <v>95</v>
      </c>
      <c r="AF649" t="s">
        <v>93</v>
      </c>
      <c r="AG649">
        <v>0.625</v>
      </c>
      <c r="CF649">
        <v>0.375</v>
      </c>
      <c r="CR649">
        <f t="shared" si="95"/>
        <v>-92.584773860088589</v>
      </c>
      <c r="CS649">
        <f t="shared" si="96"/>
        <v>-97.028795433921687</v>
      </c>
      <c r="CT649">
        <f t="shared" si="97"/>
        <v>-90.931857938956981</v>
      </c>
      <c r="CU649" s="7">
        <f t="shared" si="98"/>
        <v>-93.515142410989085</v>
      </c>
      <c r="CV649" s="9">
        <f t="shared" si="99"/>
        <v>800.59950000000003</v>
      </c>
      <c r="CW649" t="str">
        <f t="shared" si="91"/>
        <v>Y5Sn3</v>
      </c>
    </row>
    <row r="650" spans="1:101" ht="15.75" thickBot="1" x14ac:dyDescent="0.3">
      <c r="A650" t="s">
        <v>91</v>
      </c>
      <c r="B650" t="s">
        <v>1855</v>
      </c>
      <c r="C650" t="s">
        <v>3144</v>
      </c>
      <c r="E650" t="s">
        <v>3145</v>
      </c>
      <c r="F650" t="s">
        <v>93</v>
      </c>
      <c r="G650" t="s">
        <v>1856</v>
      </c>
      <c r="H650">
        <v>759.83370000000002</v>
      </c>
      <c r="I650">
        <v>708</v>
      </c>
      <c r="J650">
        <v>0</v>
      </c>
      <c r="K650" t="s">
        <v>95</v>
      </c>
      <c r="L650">
        <v>-70.274265790000001</v>
      </c>
      <c r="M650">
        <f t="shared" si="92"/>
        <v>-92.486376676896541</v>
      </c>
      <c r="N650" t="s">
        <v>95</v>
      </c>
      <c r="O650" t="s">
        <v>1857</v>
      </c>
      <c r="P650" t="s">
        <v>93</v>
      </c>
      <c r="Q650">
        <v>0</v>
      </c>
      <c r="R650" t="s">
        <v>95</v>
      </c>
      <c r="S650">
        <v>-70.135569329999996</v>
      </c>
      <c r="T650">
        <f t="shared" si="93"/>
        <v>-92.30384139318906</v>
      </c>
      <c r="U650" t="s">
        <v>95</v>
      </c>
      <c r="V650">
        <v>28227</v>
      </c>
      <c r="W650" t="s">
        <v>358</v>
      </c>
      <c r="X650">
        <v>298</v>
      </c>
      <c r="Y650" t="s">
        <v>395</v>
      </c>
      <c r="Z650">
        <v>-72.7</v>
      </c>
      <c r="AA650" t="s">
        <v>95</v>
      </c>
      <c r="AB650">
        <f t="shared" si="94"/>
        <v>-95.678830775734227</v>
      </c>
      <c r="AC650" t="s">
        <v>93</v>
      </c>
      <c r="AD650">
        <v>2.1</v>
      </c>
      <c r="AE650" t="s">
        <v>95</v>
      </c>
      <c r="AF650" t="s">
        <v>93</v>
      </c>
      <c r="BC650">
        <v>0.75</v>
      </c>
      <c r="BO650">
        <v>0.25</v>
      </c>
      <c r="CR650">
        <f t="shared" si="95"/>
        <v>-92.486376676896541</v>
      </c>
      <c r="CS650">
        <f t="shared" si="96"/>
        <v>-92.30384139318906</v>
      </c>
      <c r="CT650">
        <f t="shared" si="97"/>
        <v>-95.678830775734227</v>
      </c>
      <c r="CU650" s="7">
        <f t="shared" si="98"/>
        <v>-93.489682948606614</v>
      </c>
      <c r="CV650" s="9">
        <f t="shared" si="99"/>
        <v>759.83370000000002</v>
      </c>
      <c r="CW650" t="str">
        <f t="shared" si="91"/>
        <v>TmAu3</v>
      </c>
    </row>
    <row r="651" spans="1:101" ht="15.75" thickBot="1" x14ac:dyDescent="0.3">
      <c r="A651" t="s">
        <v>91</v>
      </c>
      <c r="B651" t="s">
        <v>1665</v>
      </c>
      <c r="C651" t="s">
        <v>3144</v>
      </c>
      <c r="E651" t="s">
        <v>3145</v>
      </c>
      <c r="F651" t="s">
        <v>93</v>
      </c>
      <c r="G651" t="s">
        <v>1666</v>
      </c>
      <c r="H651">
        <v>484.58</v>
      </c>
      <c r="I651">
        <v>639</v>
      </c>
      <c r="J651">
        <v>0</v>
      </c>
      <c r="K651" t="s">
        <v>95</v>
      </c>
      <c r="L651">
        <v>-40.223215430000003</v>
      </c>
      <c r="M651">
        <f t="shared" si="92"/>
        <v>-83.00634658879855</v>
      </c>
      <c r="N651" t="s">
        <v>95</v>
      </c>
      <c r="O651" t="s">
        <v>1667</v>
      </c>
      <c r="P651" t="s">
        <v>93</v>
      </c>
      <c r="Q651">
        <v>0</v>
      </c>
      <c r="R651" t="s">
        <v>95</v>
      </c>
      <c r="S651">
        <v>-46.523222519999997</v>
      </c>
      <c r="T651">
        <f t="shared" si="93"/>
        <v>-96.00731049568698</v>
      </c>
      <c r="U651" t="s">
        <v>95</v>
      </c>
      <c r="V651">
        <v>29103</v>
      </c>
      <c r="W651" t="s">
        <v>194</v>
      </c>
      <c r="X651">
        <v>298</v>
      </c>
      <c r="Y651" t="s">
        <v>103</v>
      </c>
      <c r="Z651">
        <v>-49.1</v>
      </c>
      <c r="AA651" t="s">
        <v>95</v>
      </c>
      <c r="AB651">
        <f t="shared" si="94"/>
        <v>-101.32485864047216</v>
      </c>
      <c r="AC651" t="s">
        <v>93</v>
      </c>
      <c r="AD651">
        <v>2</v>
      </c>
      <c r="AE651" t="s">
        <v>95</v>
      </c>
      <c r="AF651" t="s">
        <v>93</v>
      </c>
      <c r="AM651">
        <v>0.25</v>
      </c>
      <c r="BZ651">
        <v>0.75</v>
      </c>
      <c r="CR651">
        <f t="shared" si="95"/>
        <v>-83.00634658879855</v>
      </c>
      <c r="CS651">
        <f t="shared" si="96"/>
        <v>-96.00731049568698</v>
      </c>
      <c r="CT651">
        <f t="shared" si="97"/>
        <v>-101.32485864047216</v>
      </c>
      <c r="CU651" s="7">
        <f t="shared" si="98"/>
        <v>-93.446171908319229</v>
      </c>
      <c r="CV651" s="9">
        <f t="shared" si="99"/>
        <v>484.58</v>
      </c>
      <c r="CW651" t="str">
        <f t="shared" si="91"/>
        <v>CeIn3</v>
      </c>
    </row>
    <row r="652" spans="1:101" ht="15.75" thickBot="1" x14ac:dyDescent="0.3">
      <c r="A652" t="s">
        <v>91</v>
      </c>
      <c r="B652" t="s">
        <v>2361</v>
      </c>
      <c r="C652" t="s">
        <v>3144</v>
      </c>
      <c r="E652" t="s">
        <v>3145</v>
      </c>
      <c r="F652" t="s">
        <v>93</v>
      </c>
      <c r="G652" t="s">
        <v>2362</v>
      </c>
      <c r="H652">
        <v>410.71</v>
      </c>
      <c r="I652">
        <v>959</v>
      </c>
      <c r="J652">
        <v>2.7302197399999999</v>
      </c>
      <c r="K652" t="s">
        <v>95</v>
      </c>
      <c r="L652">
        <v>-38.571979419999998</v>
      </c>
      <c r="M652">
        <f t="shared" si="92"/>
        <v>-93.915364661196463</v>
      </c>
      <c r="N652" t="s">
        <v>95</v>
      </c>
      <c r="O652" t="s">
        <v>2363</v>
      </c>
      <c r="P652" t="s">
        <v>121</v>
      </c>
      <c r="Q652">
        <v>0.3194361</v>
      </c>
      <c r="R652" t="s">
        <v>95</v>
      </c>
      <c r="S652">
        <v>-41.58039127</v>
      </c>
      <c r="T652">
        <f t="shared" si="93"/>
        <v>-101.24026994716466</v>
      </c>
      <c r="U652" t="s">
        <v>95</v>
      </c>
      <c r="V652">
        <v>647474</v>
      </c>
      <c r="W652" t="s">
        <v>184</v>
      </c>
      <c r="X652">
        <v>298</v>
      </c>
      <c r="Y652" t="s">
        <v>185</v>
      </c>
      <c r="Z652">
        <v>-34.700000000000003</v>
      </c>
      <c r="AA652" t="s">
        <v>95</v>
      </c>
      <c r="AB652">
        <f t="shared" si="94"/>
        <v>-84.487838133963152</v>
      </c>
      <c r="AC652" t="s">
        <v>93</v>
      </c>
      <c r="AD652">
        <v>2.8</v>
      </c>
      <c r="AE652" t="s">
        <v>95</v>
      </c>
      <c r="AF652" t="s">
        <v>93</v>
      </c>
      <c r="AQ652">
        <v>0.25</v>
      </c>
      <c r="AS652">
        <v>0.5</v>
      </c>
      <c r="BZ652">
        <v>0.25</v>
      </c>
      <c r="CR652">
        <f t="shared" si="95"/>
        <v>-93.915364661196463</v>
      </c>
      <c r="CS652">
        <f t="shared" si="96"/>
        <v>-101.24026994716466</v>
      </c>
      <c r="CT652">
        <f t="shared" si="97"/>
        <v>-84.487838133963152</v>
      </c>
      <c r="CU652" s="7">
        <f t="shared" si="98"/>
        <v>-93.214490914108111</v>
      </c>
      <c r="CV652" s="9">
        <f t="shared" si="99"/>
        <v>410.71</v>
      </c>
      <c r="CW652" t="str">
        <f t="shared" si="91"/>
        <v>HfInNi2</v>
      </c>
    </row>
    <row r="653" spans="1:101" ht="15.75" thickBot="1" x14ac:dyDescent="0.3">
      <c r="A653" t="s">
        <v>91</v>
      </c>
      <c r="B653" t="s">
        <v>2510</v>
      </c>
      <c r="C653" t="s">
        <v>3144</v>
      </c>
      <c r="E653" t="s">
        <v>3145</v>
      </c>
      <c r="G653" t="s">
        <v>2511</v>
      </c>
      <c r="H653">
        <v>250.93700000000001</v>
      </c>
      <c r="I653">
        <v>1021</v>
      </c>
      <c r="J653">
        <v>0</v>
      </c>
      <c r="K653" t="s">
        <v>95</v>
      </c>
      <c r="L653">
        <v>-23.110354919999999</v>
      </c>
      <c r="M653">
        <f t="shared" si="92"/>
        <v>-92.096242961380739</v>
      </c>
      <c r="N653" t="s">
        <v>95</v>
      </c>
      <c r="O653" t="s">
        <v>2512</v>
      </c>
      <c r="P653" t="s">
        <v>93</v>
      </c>
      <c r="Q653">
        <v>0</v>
      </c>
      <c r="R653" t="s">
        <v>95</v>
      </c>
      <c r="S653">
        <v>-23.211860349999998</v>
      </c>
      <c r="T653">
        <f t="shared" si="93"/>
        <v>-92.500748594268671</v>
      </c>
      <c r="U653" t="s">
        <v>95</v>
      </c>
      <c r="V653">
        <v>110129</v>
      </c>
      <c r="W653" t="s">
        <v>2097</v>
      </c>
      <c r="X653">
        <v>998</v>
      </c>
      <c r="Y653" t="s">
        <v>1988</v>
      </c>
      <c r="AB653">
        <f t="shared" si="94"/>
        <v>0</v>
      </c>
      <c r="AC653" t="s">
        <v>93</v>
      </c>
      <c r="AD653">
        <v>1</v>
      </c>
      <c r="AE653" t="s">
        <v>95</v>
      </c>
      <c r="AF653" t="s">
        <v>93</v>
      </c>
      <c r="AT653">
        <v>0.5</v>
      </c>
      <c r="AY653">
        <v>0.5</v>
      </c>
      <c r="CG653">
        <v>-26.9</v>
      </c>
      <c r="CH653" t="s">
        <v>95</v>
      </c>
      <c r="CI653" t="s">
        <v>93</v>
      </c>
      <c r="CR653">
        <f t="shared" si="95"/>
        <v>-92.096242961380739</v>
      </c>
      <c r="CS653">
        <f t="shared" si="96"/>
        <v>-92.500748594268671</v>
      </c>
      <c r="CT653">
        <f t="shared" si="97"/>
        <v>0</v>
      </c>
      <c r="CU653" s="7">
        <f t="shared" si="98"/>
        <v>-92.298495777824712</v>
      </c>
      <c r="CV653" s="9">
        <f t="shared" si="99"/>
        <v>250.93700000000001</v>
      </c>
      <c r="CW653" t="str">
        <f t="shared" si="91"/>
        <v>FePt</v>
      </c>
    </row>
    <row r="654" spans="1:101" ht="15.75" thickBot="1" x14ac:dyDescent="0.3">
      <c r="A654" t="s">
        <v>91</v>
      </c>
      <c r="B654" t="s">
        <v>2623</v>
      </c>
      <c r="C654" t="s">
        <v>3144</v>
      </c>
      <c r="E654" t="s">
        <v>3145</v>
      </c>
      <c r="F654" t="s">
        <v>93</v>
      </c>
      <c r="G654" t="s">
        <v>2511</v>
      </c>
      <c r="H654">
        <v>250.93700000000001</v>
      </c>
      <c r="I654">
        <v>1068</v>
      </c>
      <c r="J654">
        <v>0</v>
      </c>
      <c r="K654" t="s">
        <v>95</v>
      </c>
      <c r="L654">
        <v>-23.110354919999999</v>
      </c>
      <c r="M654">
        <f t="shared" si="92"/>
        <v>-92.096242961380739</v>
      </c>
      <c r="N654" t="s">
        <v>95</v>
      </c>
      <c r="O654" t="s">
        <v>2512</v>
      </c>
      <c r="P654" t="s">
        <v>93</v>
      </c>
      <c r="Q654">
        <v>0</v>
      </c>
      <c r="R654" t="s">
        <v>95</v>
      </c>
      <c r="S654">
        <v>-23.211860349999998</v>
      </c>
      <c r="T654">
        <f t="shared" si="93"/>
        <v>-92.500748594268671</v>
      </c>
      <c r="U654" t="s">
        <v>95</v>
      </c>
      <c r="V654">
        <v>110129</v>
      </c>
      <c r="W654" t="s">
        <v>2097</v>
      </c>
      <c r="X654">
        <v>298</v>
      </c>
      <c r="Y654" t="s">
        <v>1988</v>
      </c>
      <c r="Z654">
        <v>-23</v>
      </c>
      <c r="AA654" t="s">
        <v>95</v>
      </c>
      <c r="AB654">
        <f t="shared" si="94"/>
        <v>-91.656471544650643</v>
      </c>
      <c r="AC654" t="s">
        <v>93</v>
      </c>
      <c r="AD654">
        <v>1.9</v>
      </c>
      <c r="AE654" t="s">
        <v>95</v>
      </c>
      <c r="AF654" t="s">
        <v>93</v>
      </c>
      <c r="AT654">
        <v>0.5</v>
      </c>
      <c r="AY654">
        <v>0.5</v>
      </c>
      <c r="CR654">
        <f t="shared" si="95"/>
        <v>-92.096242961380739</v>
      </c>
      <c r="CS654">
        <f t="shared" si="96"/>
        <v>-92.500748594268671</v>
      </c>
      <c r="CT654">
        <f t="shared" si="97"/>
        <v>-91.656471544650643</v>
      </c>
      <c r="CU654" s="7">
        <f t="shared" si="98"/>
        <v>-92.084487700100013</v>
      </c>
      <c r="CV654" s="9">
        <f t="shared" si="99"/>
        <v>250.93700000000001</v>
      </c>
      <c r="CW654" t="str">
        <f t="shared" si="91"/>
        <v>FePt</v>
      </c>
    </row>
    <row r="655" spans="1:101" ht="15.75" thickBot="1" x14ac:dyDescent="0.3">
      <c r="A655" t="s">
        <v>91</v>
      </c>
      <c r="B655" t="s">
        <v>251</v>
      </c>
      <c r="C655" t="s">
        <v>3144</v>
      </c>
      <c r="E655" t="s">
        <v>3145</v>
      </c>
      <c r="F655" t="s">
        <v>93</v>
      </c>
      <c r="G655" t="s">
        <v>252</v>
      </c>
      <c r="H655">
        <v>460.82576</v>
      </c>
      <c r="I655">
        <v>72</v>
      </c>
      <c r="M655">
        <f t="shared" si="92"/>
        <v>0</v>
      </c>
      <c r="O655" t="s">
        <v>93</v>
      </c>
      <c r="P655" t="s">
        <v>93</v>
      </c>
      <c r="T655">
        <f t="shared" si="93"/>
        <v>0</v>
      </c>
      <c r="V655" t="s">
        <v>93</v>
      </c>
      <c r="W655" t="s">
        <v>102</v>
      </c>
      <c r="X655">
        <v>298</v>
      </c>
      <c r="Y655" t="s">
        <v>103</v>
      </c>
      <c r="Z655">
        <v>-42.28</v>
      </c>
      <c r="AA655" t="s">
        <v>95</v>
      </c>
      <c r="AB655">
        <f t="shared" si="94"/>
        <v>-91.74834323497889</v>
      </c>
      <c r="AC655" t="s">
        <v>93</v>
      </c>
      <c r="AD655">
        <v>0.81</v>
      </c>
      <c r="AE655" t="s">
        <v>95</v>
      </c>
      <c r="AF655" t="s">
        <v>93</v>
      </c>
      <c r="AH655" t="s">
        <v>93</v>
      </c>
      <c r="AI655" t="s">
        <v>93</v>
      </c>
      <c r="AJ655" t="s">
        <v>93</v>
      </c>
      <c r="AK655" t="s">
        <v>93</v>
      </c>
      <c r="AR655">
        <v>0.4</v>
      </c>
      <c r="AS655">
        <v>0.3</v>
      </c>
      <c r="AW655">
        <v>0.3</v>
      </c>
      <c r="CR655">
        <f t="shared" si="95"/>
        <v>0</v>
      </c>
      <c r="CS655">
        <f t="shared" si="96"/>
        <v>0</v>
      </c>
      <c r="CT655">
        <f t="shared" si="97"/>
        <v>-91.74834323497889</v>
      </c>
      <c r="CU655" s="7">
        <f t="shared" si="98"/>
        <v>-91.74834323497889</v>
      </c>
      <c r="CV655" s="9">
        <f t="shared" si="99"/>
        <v>460.82576</v>
      </c>
      <c r="CW655" t="str">
        <f t="shared" si="91"/>
        <v>Al4Co3Ni3</v>
      </c>
    </row>
    <row r="656" spans="1:101" ht="15.75" thickBot="1" x14ac:dyDescent="0.3">
      <c r="A656" t="s">
        <v>91</v>
      </c>
      <c r="B656" t="s">
        <v>1799</v>
      </c>
      <c r="C656" t="s">
        <v>3144</v>
      </c>
      <c r="E656" t="s">
        <v>3145</v>
      </c>
      <c r="F656" t="s">
        <v>93</v>
      </c>
      <c r="G656" t="s">
        <v>1800</v>
      </c>
      <c r="H656">
        <v>294.35199999999998</v>
      </c>
      <c r="I656">
        <v>686</v>
      </c>
      <c r="M656">
        <f t="shared" si="92"/>
        <v>0</v>
      </c>
      <c r="O656" t="s">
        <v>93</v>
      </c>
      <c r="P656" t="s">
        <v>93</v>
      </c>
      <c r="T656">
        <f t="shared" si="93"/>
        <v>0</v>
      </c>
      <c r="V656" t="s">
        <v>93</v>
      </c>
      <c r="W656" t="s">
        <v>364</v>
      </c>
      <c r="X656">
        <v>298</v>
      </c>
      <c r="Y656" t="s">
        <v>365</v>
      </c>
      <c r="Z656">
        <v>-27</v>
      </c>
      <c r="AA656" t="s">
        <v>95</v>
      </c>
      <c r="AB656">
        <f t="shared" si="94"/>
        <v>-91.726911996521181</v>
      </c>
      <c r="AC656" t="s">
        <v>93</v>
      </c>
      <c r="AD656">
        <v>1.6</v>
      </c>
      <c r="AE656" t="s">
        <v>95</v>
      </c>
      <c r="AF656" t="s">
        <v>93</v>
      </c>
      <c r="AH656" t="s">
        <v>93</v>
      </c>
      <c r="AI656" t="s">
        <v>93</v>
      </c>
      <c r="AJ656" t="s">
        <v>93</v>
      </c>
      <c r="AK656" t="s">
        <v>93</v>
      </c>
      <c r="AX656">
        <v>0.66</v>
      </c>
      <c r="BH656">
        <v>0.33</v>
      </c>
      <c r="CR656">
        <f t="shared" si="95"/>
        <v>0</v>
      </c>
      <c r="CS656">
        <f t="shared" si="96"/>
        <v>0</v>
      </c>
      <c r="CT656">
        <f t="shared" si="97"/>
        <v>-91.726911996521181</v>
      </c>
      <c r="CU656" s="7">
        <f t="shared" si="98"/>
        <v>-91.726911996521181</v>
      </c>
      <c r="CV656" s="9">
        <f t="shared" si="99"/>
        <v>294.35199999999998</v>
      </c>
      <c r="CW656" t="str">
        <f t="shared" si="91"/>
        <v>Cu2Er</v>
      </c>
    </row>
    <row r="657" spans="1:101" ht="15.75" thickBot="1" x14ac:dyDescent="0.3">
      <c r="A657" t="s">
        <v>91</v>
      </c>
      <c r="B657" t="s">
        <v>113</v>
      </c>
      <c r="C657" t="s">
        <v>3144</v>
      </c>
      <c r="E657" t="s">
        <v>3145</v>
      </c>
      <c r="F657" t="s">
        <v>93</v>
      </c>
      <c r="G657" t="s">
        <v>114</v>
      </c>
      <c r="H657">
        <v>246.77349999999899</v>
      </c>
      <c r="I657">
        <v>6</v>
      </c>
      <c r="J657">
        <v>0</v>
      </c>
      <c r="K657" t="s">
        <v>95</v>
      </c>
      <c r="L657">
        <v>-25.253848130000002</v>
      </c>
      <c r="M657">
        <f t="shared" si="92"/>
        <v>-102.33614277870234</v>
      </c>
      <c r="N657" t="s">
        <v>95</v>
      </c>
      <c r="O657" t="s">
        <v>115</v>
      </c>
      <c r="P657" t="s">
        <v>93</v>
      </c>
      <c r="Q657">
        <v>0</v>
      </c>
      <c r="R657" t="s">
        <v>95</v>
      </c>
      <c r="S657">
        <v>-25.558443539999999</v>
      </c>
      <c r="T657">
        <f t="shared" si="93"/>
        <v>-103.57045444506846</v>
      </c>
      <c r="U657" t="s">
        <v>95</v>
      </c>
      <c r="V657">
        <v>10639</v>
      </c>
      <c r="W657" t="s">
        <v>102</v>
      </c>
      <c r="X657">
        <v>298</v>
      </c>
      <c r="Y657" t="s">
        <v>103</v>
      </c>
      <c r="Z657">
        <v>-16.899999999999999</v>
      </c>
      <c r="AA657" t="s">
        <v>95</v>
      </c>
      <c r="AB657">
        <f t="shared" si="94"/>
        <v>-68.483852601677512</v>
      </c>
      <c r="AC657" t="s">
        <v>93</v>
      </c>
      <c r="AD657">
        <v>2.2999999999999998</v>
      </c>
      <c r="AE657" t="s">
        <v>95</v>
      </c>
      <c r="AF657" t="s">
        <v>93</v>
      </c>
      <c r="AL657">
        <v>0.5</v>
      </c>
      <c r="CR657">
        <f t="shared" si="95"/>
        <v>-102.33614277870234</v>
      </c>
      <c r="CS657">
        <f t="shared" si="96"/>
        <v>-103.57045444506846</v>
      </c>
      <c r="CT657">
        <f t="shared" si="97"/>
        <v>-68.483852601677512</v>
      </c>
      <c r="CU657" s="7">
        <f t="shared" si="98"/>
        <v>-91.463483275149429</v>
      </c>
      <c r="CV657" s="9">
        <f t="shared" si="99"/>
        <v>246.77349999999899</v>
      </c>
      <c r="CW657" t="str">
        <f t="shared" si="91"/>
        <v>LaAg</v>
      </c>
    </row>
    <row r="658" spans="1:101" ht="15.75" thickBot="1" x14ac:dyDescent="0.3">
      <c r="A658" t="s">
        <v>91</v>
      </c>
      <c r="B658" t="s">
        <v>1850</v>
      </c>
      <c r="C658" t="s">
        <v>3144</v>
      </c>
      <c r="E658" t="s">
        <v>3145</v>
      </c>
      <c r="F658" t="s">
        <v>93</v>
      </c>
      <c r="G658" t="s">
        <v>1851</v>
      </c>
      <c r="H658">
        <v>755.82989999999995</v>
      </c>
      <c r="I658">
        <v>706</v>
      </c>
      <c r="J658">
        <v>0</v>
      </c>
      <c r="K658" t="s">
        <v>95</v>
      </c>
      <c r="L658">
        <v>-69.775898949999998</v>
      </c>
      <c r="M658">
        <f t="shared" si="92"/>
        <v>-92.316933942412177</v>
      </c>
      <c r="N658" t="s">
        <v>95</v>
      </c>
      <c r="O658" t="s">
        <v>1852</v>
      </c>
      <c r="P658" t="s">
        <v>93</v>
      </c>
      <c r="Q658">
        <v>0</v>
      </c>
      <c r="R658" t="s">
        <v>95</v>
      </c>
      <c r="S658">
        <v>-69.899173779999998</v>
      </c>
      <c r="T658">
        <f t="shared" si="93"/>
        <v>-92.480032584050988</v>
      </c>
      <c r="U658" t="s">
        <v>95</v>
      </c>
      <c r="V658">
        <v>10739</v>
      </c>
      <c r="W658" t="s">
        <v>358</v>
      </c>
      <c r="X658">
        <v>298</v>
      </c>
      <c r="Y658" t="s">
        <v>395</v>
      </c>
      <c r="Z658">
        <v>-67.099999999999994</v>
      </c>
      <c r="AA658" t="s">
        <v>95</v>
      </c>
      <c r="AB658">
        <f t="shared" si="94"/>
        <v>-88.776588489023794</v>
      </c>
      <c r="AC658" t="s">
        <v>93</v>
      </c>
      <c r="AD658">
        <v>2.1</v>
      </c>
      <c r="AE658" t="s">
        <v>95</v>
      </c>
      <c r="AF658" t="s">
        <v>93</v>
      </c>
      <c r="BC658">
        <v>0.75</v>
      </c>
      <c r="BJ658">
        <v>0.25</v>
      </c>
      <c r="CR658">
        <f t="shared" si="95"/>
        <v>-92.316933942412177</v>
      </c>
      <c r="CS658">
        <f t="shared" si="96"/>
        <v>-92.480032584050988</v>
      </c>
      <c r="CT658">
        <f t="shared" si="97"/>
        <v>-88.776588489023794</v>
      </c>
      <c r="CU658" s="7">
        <f t="shared" si="98"/>
        <v>-91.191185005162311</v>
      </c>
      <c r="CV658" s="9">
        <f t="shared" si="99"/>
        <v>755.82989999999995</v>
      </c>
      <c r="CW658" t="str">
        <f t="shared" si="91"/>
        <v>HoAu3</v>
      </c>
    </row>
    <row r="659" spans="1:101" ht="15.75" thickBot="1" x14ac:dyDescent="0.3">
      <c r="A659" t="s">
        <v>91</v>
      </c>
      <c r="B659" t="s">
        <v>1384</v>
      </c>
      <c r="C659" t="s">
        <v>3144</v>
      </c>
      <c r="E659" t="s">
        <v>3145</v>
      </c>
      <c r="F659" t="s">
        <v>93</v>
      </c>
      <c r="G659" t="s">
        <v>1385</v>
      </c>
      <c r="H659">
        <v>344.23649999999998</v>
      </c>
      <c r="I659">
        <v>535</v>
      </c>
      <c r="J659">
        <v>3.97300202</v>
      </c>
      <c r="K659" t="s">
        <v>95</v>
      </c>
      <c r="L659">
        <v>-30.39549332</v>
      </c>
      <c r="M659">
        <f t="shared" si="92"/>
        <v>-88.298287136895709</v>
      </c>
      <c r="N659" t="s">
        <v>95</v>
      </c>
      <c r="O659" t="s">
        <v>1386</v>
      </c>
      <c r="P659" t="s">
        <v>93</v>
      </c>
      <c r="Q659">
        <v>5.2055579200000004</v>
      </c>
      <c r="R659" t="s">
        <v>95</v>
      </c>
      <c r="S659">
        <v>-29.969069009999998</v>
      </c>
      <c r="T659">
        <f t="shared" si="93"/>
        <v>-87.059533227882568</v>
      </c>
      <c r="U659" t="s">
        <v>95</v>
      </c>
      <c r="V659">
        <v>3178</v>
      </c>
      <c r="W659" t="s">
        <v>1362</v>
      </c>
      <c r="X659">
        <v>298</v>
      </c>
      <c r="Y659" t="s">
        <v>480</v>
      </c>
      <c r="Z659">
        <v>-33.6</v>
      </c>
      <c r="AA659" t="s">
        <v>95</v>
      </c>
      <c r="AB659">
        <f t="shared" si="94"/>
        <v>-97.607313576567279</v>
      </c>
      <c r="AC659" t="s">
        <v>93</v>
      </c>
      <c r="AD659">
        <v>1</v>
      </c>
      <c r="AE659" t="s">
        <v>95</v>
      </c>
      <c r="AF659" t="s">
        <v>93</v>
      </c>
      <c r="BV659">
        <v>0.625</v>
      </c>
      <c r="BX659">
        <v>0.375</v>
      </c>
      <c r="CR659">
        <f t="shared" si="95"/>
        <v>-88.298287136895709</v>
      </c>
      <c r="CS659">
        <f t="shared" si="96"/>
        <v>-87.059533227882568</v>
      </c>
      <c r="CT659">
        <f t="shared" si="97"/>
        <v>-97.607313576567279</v>
      </c>
      <c r="CU659" s="7">
        <f t="shared" si="98"/>
        <v>-90.988377980448504</v>
      </c>
      <c r="CV659" s="9">
        <f t="shared" si="99"/>
        <v>344.23649999999998</v>
      </c>
      <c r="CW659" t="str">
        <f t="shared" si="91"/>
        <v>Cr5Si3</v>
      </c>
    </row>
    <row r="660" spans="1:101" ht="15.75" thickBot="1" x14ac:dyDescent="0.3">
      <c r="A660" t="s">
        <v>91</v>
      </c>
      <c r="B660" t="s">
        <v>1788</v>
      </c>
      <c r="C660" t="s">
        <v>3144</v>
      </c>
      <c r="E660" t="s">
        <v>3145</v>
      </c>
      <c r="F660" t="s">
        <v>93</v>
      </c>
      <c r="G660" t="s">
        <v>1789</v>
      </c>
      <c r="H660">
        <v>269.00639999999999</v>
      </c>
      <c r="I660">
        <v>682</v>
      </c>
      <c r="J660">
        <v>0</v>
      </c>
      <c r="K660" t="s">
        <v>95</v>
      </c>
      <c r="L660">
        <v>-27.810639299999998</v>
      </c>
      <c r="M660">
        <f t="shared" si="92"/>
        <v>-103.38281654265475</v>
      </c>
      <c r="N660" t="s">
        <v>95</v>
      </c>
      <c r="O660" t="s">
        <v>1790</v>
      </c>
      <c r="P660" t="s">
        <v>121</v>
      </c>
      <c r="Q660">
        <v>0</v>
      </c>
      <c r="R660" t="s">
        <v>95</v>
      </c>
      <c r="S660">
        <v>-28.755258659999999</v>
      </c>
      <c r="T660">
        <f t="shared" si="93"/>
        <v>-106.89432913120284</v>
      </c>
      <c r="U660" t="s">
        <v>95</v>
      </c>
      <c r="V660">
        <v>30781</v>
      </c>
      <c r="W660" t="s">
        <v>358</v>
      </c>
      <c r="X660">
        <v>298</v>
      </c>
      <c r="Y660" t="s">
        <v>395</v>
      </c>
      <c r="Z660">
        <v>-16.8</v>
      </c>
      <c r="AA660" t="s">
        <v>95</v>
      </c>
      <c r="AB660">
        <f t="shared" si="94"/>
        <v>-62.452045750584382</v>
      </c>
      <c r="AC660" t="s">
        <v>93</v>
      </c>
      <c r="AD660">
        <v>1.5</v>
      </c>
      <c r="AE660" t="s">
        <v>95</v>
      </c>
      <c r="AF660" t="s">
        <v>93</v>
      </c>
      <c r="AS660">
        <v>0.75</v>
      </c>
      <c r="AU660">
        <v>0.25</v>
      </c>
      <c r="CR660">
        <f t="shared" si="95"/>
        <v>-103.38281654265475</v>
      </c>
      <c r="CS660">
        <f t="shared" si="96"/>
        <v>-106.89432913120284</v>
      </c>
      <c r="CT660">
        <f t="shared" si="97"/>
        <v>-62.452045750584382</v>
      </c>
      <c r="CU660" s="7">
        <f t="shared" si="98"/>
        <v>-90.909730474813998</v>
      </c>
      <c r="CV660" s="9">
        <f t="shared" si="99"/>
        <v>269.00639999999999</v>
      </c>
      <c r="CW660" t="str">
        <f t="shared" si="91"/>
        <v>NbNi3</v>
      </c>
    </row>
    <row r="661" spans="1:101" ht="15.75" thickBot="1" x14ac:dyDescent="0.3">
      <c r="A661" t="s">
        <v>91</v>
      </c>
      <c r="B661" t="s">
        <v>93</v>
      </c>
      <c r="C661" t="s">
        <v>3144</v>
      </c>
      <c r="E661" t="s">
        <v>3145</v>
      </c>
      <c r="F661" t="s">
        <v>93</v>
      </c>
      <c r="G661" t="s">
        <v>346</v>
      </c>
      <c r="H661">
        <v>593.64616000000001</v>
      </c>
      <c r="I661">
        <v>144</v>
      </c>
      <c r="M661">
        <f t="shared" si="92"/>
        <v>0</v>
      </c>
      <c r="O661" t="s">
        <v>93</v>
      </c>
      <c r="P661" t="s">
        <v>93</v>
      </c>
      <c r="T661">
        <f t="shared" si="93"/>
        <v>0</v>
      </c>
      <c r="V661" t="s">
        <v>93</v>
      </c>
      <c r="W661" t="s">
        <v>102</v>
      </c>
      <c r="X661">
        <v>298</v>
      </c>
      <c r="Y661" t="s">
        <v>103</v>
      </c>
      <c r="Z661">
        <v>-53.64</v>
      </c>
      <c r="AA661" t="s">
        <v>95</v>
      </c>
      <c r="AB661">
        <f t="shared" si="94"/>
        <v>-90.356854999281055</v>
      </c>
      <c r="AC661" t="s">
        <v>93</v>
      </c>
      <c r="AD661">
        <v>2.99</v>
      </c>
      <c r="AE661" t="s">
        <v>95</v>
      </c>
      <c r="AF661" t="s">
        <v>93</v>
      </c>
      <c r="AH661" t="s">
        <v>93</v>
      </c>
      <c r="AI661" t="s">
        <v>93</v>
      </c>
      <c r="AJ661" t="s">
        <v>93</v>
      </c>
      <c r="AK661" t="s">
        <v>93</v>
      </c>
      <c r="AR661">
        <v>0.4</v>
      </c>
      <c r="AS661">
        <v>0.5</v>
      </c>
      <c r="BB661">
        <v>0.1</v>
      </c>
      <c r="CR661">
        <f t="shared" si="95"/>
        <v>0</v>
      </c>
      <c r="CS661">
        <f t="shared" si="96"/>
        <v>0</v>
      </c>
      <c r="CT661">
        <f t="shared" si="97"/>
        <v>-90.356854999281055</v>
      </c>
      <c r="CU661" s="7">
        <f t="shared" si="98"/>
        <v>-90.356854999281055</v>
      </c>
      <c r="CV661" s="9">
        <f t="shared" si="99"/>
        <v>593.64616000000001</v>
      </c>
      <c r="CW661" t="str">
        <f t="shared" si="91"/>
        <v>Al4IrNi5</v>
      </c>
    </row>
    <row r="662" spans="1:101" ht="15.75" thickBot="1" x14ac:dyDescent="0.3">
      <c r="A662" t="s">
        <v>91</v>
      </c>
      <c r="B662" t="s">
        <v>2568</v>
      </c>
      <c r="C662" t="s">
        <v>3144</v>
      </c>
      <c r="E662" t="s">
        <v>3145</v>
      </c>
      <c r="F662" t="s">
        <v>93</v>
      </c>
      <c r="G662" t="s">
        <v>2569</v>
      </c>
      <c r="H662">
        <v>489.6644</v>
      </c>
      <c r="I662">
        <v>1048</v>
      </c>
      <c r="J662">
        <v>0</v>
      </c>
      <c r="K662" t="s">
        <v>95</v>
      </c>
      <c r="L662">
        <v>-59.275613319999998</v>
      </c>
      <c r="M662">
        <f t="shared" si="92"/>
        <v>-121.05354875706709</v>
      </c>
      <c r="N662" t="s">
        <v>95</v>
      </c>
      <c r="O662" t="s">
        <v>2570</v>
      </c>
      <c r="P662" t="s">
        <v>93</v>
      </c>
      <c r="Q662">
        <v>0</v>
      </c>
      <c r="R662" t="s">
        <v>95</v>
      </c>
      <c r="S662">
        <v>-59.138276429999998</v>
      </c>
      <c r="T662">
        <f t="shared" si="93"/>
        <v>-120.77307729538843</v>
      </c>
      <c r="U662" t="s">
        <v>95</v>
      </c>
      <c r="V662">
        <v>18066</v>
      </c>
      <c r="W662" t="s">
        <v>194</v>
      </c>
      <c r="X662">
        <v>298</v>
      </c>
      <c r="Y662" t="s">
        <v>103</v>
      </c>
      <c r="Z662">
        <v>-14</v>
      </c>
      <c r="AA662" t="s">
        <v>95</v>
      </c>
      <c r="AB662">
        <f t="shared" si="94"/>
        <v>-28.591010496168398</v>
      </c>
      <c r="AC662" t="s">
        <v>93</v>
      </c>
      <c r="AD662">
        <v>4</v>
      </c>
      <c r="AE662" t="s">
        <v>95</v>
      </c>
      <c r="AF662" t="s">
        <v>93</v>
      </c>
      <c r="BE662">
        <v>0.25</v>
      </c>
      <c r="BF662">
        <v>0.75</v>
      </c>
      <c r="CR662">
        <f t="shared" si="95"/>
        <v>-121.05354875706709</v>
      </c>
      <c r="CS662">
        <f t="shared" si="96"/>
        <v>-120.77307729538843</v>
      </c>
      <c r="CT662">
        <f t="shared" si="97"/>
        <v>-28.591010496168398</v>
      </c>
      <c r="CU662" s="7">
        <f t="shared" si="98"/>
        <v>-90.139212182874644</v>
      </c>
      <c r="CV662" s="9">
        <f t="shared" si="99"/>
        <v>489.6644</v>
      </c>
      <c r="CW662" t="str">
        <f t="shared" si="91"/>
        <v>TaRh3</v>
      </c>
    </row>
    <row r="663" spans="1:101" ht="15.75" thickBot="1" x14ac:dyDescent="0.3">
      <c r="A663" t="s">
        <v>91</v>
      </c>
      <c r="B663" t="s">
        <v>1953</v>
      </c>
      <c r="C663" t="s">
        <v>3144</v>
      </c>
      <c r="E663" t="s">
        <v>3145</v>
      </c>
      <c r="F663" t="s">
        <v>93</v>
      </c>
      <c r="G663" t="s">
        <v>1954</v>
      </c>
      <c r="H663">
        <v>557.26</v>
      </c>
      <c r="I663">
        <v>755</v>
      </c>
      <c r="J663">
        <v>0</v>
      </c>
      <c r="K663" t="s">
        <v>95</v>
      </c>
      <c r="L663">
        <v>-46.831383250000002</v>
      </c>
      <c r="M663">
        <f t="shared" si="92"/>
        <v>-84.038659243441131</v>
      </c>
      <c r="N663" t="s">
        <v>95</v>
      </c>
      <c r="O663" t="s">
        <v>1955</v>
      </c>
      <c r="P663" t="s">
        <v>93</v>
      </c>
      <c r="Q663">
        <v>0</v>
      </c>
      <c r="R663" t="s">
        <v>95</v>
      </c>
      <c r="S663">
        <v>-46.375011059999999</v>
      </c>
      <c r="T663">
        <f t="shared" si="93"/>
        <v>-83.219701862685284</v>
      </c>
      <c r="U663" t="s">
        <v>95</v>
      </c>
      <c r="V663">
        <v>11131</v>
      </c>
      <c r="W663" t="s">
        <v>297</v>
      </c>
      <c r="X663">
        <v>300</v>
      </c>
      <c r="Y663" t="s">
        <v>298</v>
      </c>
      <c r="Z663">
        <v>-57</v>
      </c>
      <c r="AA663" t="s">
        <v>95</v>
      </c>
      <c r="AB663">
        <f t="shared" si="94"/>
        <v>-102.28618598140903</v>
      </c>
      <c r="AF663" t="s">
        <v>93</v>
      </c>
      <c r="AZ663">
        <v>0.4</v>
      </c>
      <c r="BZ663">
        <v>0.6</v>
      </c>
      <c r="CC663">
        <v>1</v>
      </c>
      <c r="CD663" t="s">
        <v>95</v>
      </c>
      <c r="CE663" t="s">
        <v>93</v>
      </c>
      <c r="CR663">
        <f t="shared" si="95"/>
        <v>-84.038659243441131</v>
      </c>
      <c r="CS663">
        <f t="shared" si="96"/>
        <v>-83.219701862685284</v>
      </c>
      <c r="CT663">
        <f t="shared" si="97"/>
        <v>-102.28618598140903</v>
      </c>
      <c r="CU663" s="7">
        <f t="shared" si="98"/>
        <v>-89.848182362511807</v>
      </c>
      <c r="CV663" s="9">
        <f t="shared" si="99"/>
        <v>557.26</v>
      </c>
      <c r="CW663" t="str">
        <f t="shared" si="91"/>
        <v>In3Pd2</v>
      </c>
    </row>
    <row r="664" spans="1:101" ht="15.75" thickBot="1" x14ac:dyDescent="0.3">
      <c r="A664" t="s">
        <v>91</v>
      </c>
      <c r="B664" t="s">
        <v>1796</v>
      </c>
      <c r="C664" t="s">
        <v>3144</v>
      </c>
      <c r="E664" t="s">
        <v>3145</v>
      </c>
      <c r="F664" t="s">
        <v>93</v>
      </c>
      <c r="G664" t="s">
        <v>1797</v>
      </c>
      <c r="H664">
        <v>292.0224</v>
      </c>
      <c r="I664">
        <v>685</v>
      </c>
      <c r="J664">
        <v>0</v>
      </c>
      <c r="K664" t="s">
        <v>95</v>
      </c>
      <c r="L664">
        <v>-26.59659314</v>
      </c>
      <c r="M664">
        <f t="shared" si="92"/>
        <v>-91.077236335294828</v>
      </c>
      <c r="N664" t="s">
        <v>95</v>
      </c>
      <c r="O664" t="s">
        <v>1798</v>
      </c>
      <c r="P664" t="s">
        <v>93</v>
      </c>
      <c r="Q664">
        <v>0</v>
      </c>
      <c r="R664" t="s">
        <v>95</v>
      </c>
      <c r="S664">
        <v>-26.685569569999998</v>
      </c>
      <c r="T664">
        <f t="shared" si="93"/>
        <v>-91.381926763152407</v>
      </c>
      <c r="U664" t="s">
        <v>95</v>
      </c>
      <c r="V664">
        <v>17147</v>
      </c>
      <c r="W664" t="s">
        <v>364</v>
      </c>
      <c r="X664">
        <v>298</v>
      </c>
      <c r="Y664" t="s">
        <v>365</v>
      </c>
      <c r="Z664">
        <v>-25</v>
      </c>
      <c r="AA664" t="s">
        <v>95</v>
      </c>
      <c r="AB664">
        <f t="shared" si="94"/>
        <v>-85.609871023592703</v>
      </c>
      <c r="AC664" t="s">
        <v>93</v>
      </c>
      <c r="AD664">
        <v>2.2999999999999998</v>
      </c>
      <c r="AE664" t="s">
        <v>95</v>
      </c>
      <c r="AF664" t="s">
        <v>93</v>
      </c>
      <c r="AX664">
        <v>0.66</v>
      </c>
      <c r="BJ664">
        <v>0.33</v>
      </c>
      <c r="CR664">
        <f t="shared" si="95"/>
        <v>-91.077236335294828</v>
      </c>
      <c r="CS664">
        <f t="shared" si="96"/>
        <v>-91.381926763152407</v>
      </c>
      <c r="CT664">
        <f t="shared" si="97"/>
        <v>-85.609871023592703</v>
      </c>
      <c r="CU664" s="7">
        <f t="shared" si="98"/>
        <v>-89.356344707346636</v>
      </c>
      <c r="CV664" s="9">
        <f t="shared" si="99"/>
        <v>292.0224</v>
      </c>
      <c r="CW664" t="str">
        <f t="shared" si="91"/>
        <v>HoCu2</v>
      </c>
    </row>
    <row r="665" spans="1:101" ht="15.75" thickBot="1" x14ac:dyDescent="0.3">
      <c r="A665" t="s">
        <v>91</v>
      </c>
      <c r="B665" t="s">
        <v>2398</v>
      </c>
      <c r="C665" t="s">
        <v>3144</v>
      </c>
      <c r="E665" t="s">
        <v>3145</v>
      </c>
      <c r="F665" t="s">
        <v>93</v>
      </c>
      <c r="G665" t="s">
        <v>2399</v>
      </c>
      <c r="H665">
        <v>163.2105</v>
      </c>
      <c r="I665">
        <v>975</v>
      </c>
      <c r="J665">
        <v>0</v>
      </c>
      <c r="K665" t="s">
        <v>95</v>
      </c>
      <c r="L665">
        <v>-12.164418550000001</v>
      </c>
      <c r="M665">
        <f t="shared" si="92"/>
        <v>-74.532083107398122</v>
      </c>
      <c r="N665" t="s">
        <v>95</v>
      </c>
      <c r="O665" t="s">
        <v>2400</v>
      </c>
      <c r="P665" t="s">
        <v>93</v>
      </c>
      <c r="Q665">
        <v>0</v>
      </c>
      <c r="R665" t="s">
        <v>95</v>
      </c>
      <c r="S665">
        <v>-11.133583979999999</v>
      </c>
      <c r="T665">
        <f t="shared" si="93"/>
        <v>-68.21610116996149</v>
      </c>
      <c r="U665" t="s">
        <v>95</v>
      </c>
      <c r="V665">
        <v>104100</v>
      </c>
      <c r="W665" t="s">
        <v>102</v>
      </c>
      <c r="X665">
        <v>298</v>
      </c>
      <c r="Y665" t="s">
        <v>103</v>
      </c>
      <c r="Z665">
        <v>-20.36</v>
      </c>
      <c r="AA665" t="s">
        <v>95</v>
      </c>
      <c r="AB665">
        <f t="shared" si="94"/>
        <v>-124.74687596692614</v>
      </c>
      <c r="AC665" t="s">
        <v>93</v>
      </c>
      <c r="AD665">
        <v>3.7</v>
      </c>
      <c r="AE665" t="s">
        <v>95</v>
      </c>
      <c r="AF665" t="s">
        <v>93</v>
      </c>
      <c r="AL665">
        <v>0.5</v>
      </c>
      <c r="CJ665">
        <v>0.5</v>
      </c>
      <c r="CR665">
        <f t="shared" si="95"/>
        <v>-74.532083107398122</v>
      </c>
      <c r="CS665">
        <f t="shared" si="96"/>
        <v>-68.21610116996149</v>
      </c>
      <c r="CT665">
        <f t="shared" si="97"/>
        <v>-124.74687596692614</v>
      </c>
      <c r="CU665" s="7">
        <f t="shared" si="98"/>
        <v>-89.16502008142858</v>
      </c>
      <c r="CV665" s="9">
        <f t="shared" si="99"/>
        <v>163.2105</v>
      </c>
      <c r="CW665" t="str">
        <f t="shared" si="91"/>
        <v>LaMg</v>
      </c>
    </row>
    <row r="666" spans="1:101" ht="15.75" thickBot="1" x14ac:dyDescent="0.3">
      <c r="A666" t="s">
        <v>91</v>
      </c>
      <c r="B666" t="s">
        <v>93</v>
      </c>
      <c r="C666" t="s">
        <v>3144</v>
      </c>
      <c r="E666" t="s">
        <v>3145</v>
      </c>
      <c r="F666" t="s">
        <v>93</v>
      </c>
      <c r="G666" t="s">
        <v>274</v>
      </c>
      <c r="H666">
        <v>438.09969999999998</v>
      </c>
      <c r="I666">
        <v>88</v>
      </c>
      <c r="M666">
        <f t="shared" si="92"/>
        <v>0</v>
      </c>
      <c r="O666" t="s">
        <v>93</v>
      </c>
      <c r="P666" t="s">
        <v>93</v>
      </c>
      <c r="T666">
        <f t="shared" si="93"/>
        <v>0</v>
      </c>
      <c r="V666" t="s">
        <v>93</v>
      </c>
      <c r="W666" t="s">
        <v>102</v>
      </c>
      <c r="X666">
        <v>298</v>
      </c>
      <c r="Y666" t="s">
        <v>103</v>
      </c>
      <c r="Z666">
        <v>-38.909999999999997</v>
      </c>
      <c r="AA666" t="s">
        <v>95</v>
      </c>
      <c r="AB666">
        <f t="shared" si="94"/>
        <v>-88.815399782287002</v>
      </c>
      <c r="AC666" t="s">
        <v>93</v>
      </c>
      <c r="AD666">
        <v>1.54</v>
      </c>
      <c r="AE666" t="s">
        <v>95</v>
      </c>
      <c r="AF666" t="s">
        <v>93</v>
      </c>
      <c r="AH666" t="s">
        <v>93</v>
      </c>
      <c r="AI666" t="s">
        <v>93</v>
      </c>
      <c r="AJ666" t="s">
        <v>93</v>
      </c>
      <c r="AK666" t="s">
        <v>93</v>
      </c>
      <c r="AR666">
        <v>0.5</v>
      </c>
      <c r="AS666">
        <v>0.3</v>
      </c>
      <c r="AX666">
        <v>0.2</v>
      </c>
      <c r="CR666">
        <f t="shared" si="95"/>
        <v>0</v>
      </c>
      <c r="CS666">
        <f t="shared" si="96"/>
        <v>0</v>
      </c>
      <c r="CT666">
        <f t="shared" si="97"/>
        <v>-88.815399782287002</v>
      </c>
      <c r="CU666" s="7">
        <f t="shared" si="98"/>
        <v>-88.815399782287002</v>
      </c>
      <c r="CV666" s="9">
        <f t="shared" si="99"/>
        <v>438.09969999999998</v>
      </c>
      <c r="CW666" t="str">
        <f t="shared" si="91"/>
        <v>Al5Cu2Ni3</v>
      </c>
    </row>
    <row r="667" spans="1:101" ht="15.75" thickBot="1" x14ac:dyDescent="0.3">
      <c r="A667" t="s">
        <v>91</v>
      </c>
      <c r="B667" t="s">
        <v>1984</v>
      </c>
      <c r="C667" t="s">
        <v>3144</v>
      </c>
      <c r="E667" t="s">
        <v>3145</v>
      </c>
      <c r="G667" t="s">
        <v>1985</v>
      </c>
      <c r="H667">
        <v>675.7</v>
      </c>
      <c r="I667">
        <v>774</v>
      </c>
      <c r="J667">
        <v>0</v>
      </c>
      <c r="K667" t="s">
        <v>95</v>
      </c>
      <c r="L667">
        <v>-59.551061869999998</v>
      </c>
      <c r="M667">
        <f t="shared" si="92"/>
        <v>-88.132398801243156</v>
      </c>
      <c r="N667" t="s">
        <v>95</v>
      </c>
      <c r="O667" t="s">
        <v>1986</v>
      </c>
      <c r="P667" t="s">
        <v>93</v>
      </c>
      <c r="Q667">
        <v>6.2908399999999998E-3</v>
      </c>
      <c r="R667" t="s">
        <v>95</v>
      </c>
      <c r="S667">
        <v>-60.361067439999999</v>
      </c>
      <c r="T667">
        <f t="shared" si="93"/>
        <v>-89.331163889299987</v>
      </c>
      <c r="U667" t="s">
        <v>95</v>
      </c>
      <c r="V667">
        <v>17974</v>
      </c>
      <c r="W667" t="s">
        <v>1987</v>
      </c>
      <c r="X667">
        <v>1523</v>
      </c>
      <c r="Y667" t="s">
        <v>1988</v>
      </c>
      <c r="AB667">
        <f t="shared" si="94"/>
        <v>0</v>
      </c>
      <c r="AC667" t="s">
        <v>93</v>
      </c>
      <c r="AD667">
        <v>1.2</v>
      </c>
      <c r="AE667" t="s">
        <v>95</v>
      </c>
      <c r="AF667" t="s">
        <v>93</v>
      </c>
      <c r="AZ667">
        <v>0.625</v>
      </c>
      <c r="BA667">
        <v>0.375</v>
      </c>
      <c r="CG667">
        <v>-58.7</v>
      </c>
      <c r="CH667" t="s">
        <v>95</v>
      </c>
      <c r="CI667" t="s">
        <v>93</v>
      </c>
      <c r="CR667">
        <f t="shared" si="95"/>
        <v>-88.132398801243156</v>
      </c>
      <c r="CS667">
        <f t="shared" si="96"/>
        <v>-89.331163889299987</v>
      </c>
      <c r="CT667">
        <f t="shared" si="97"/>
        <v>0</v>
      </c>
      <c r="CU667" s="7">
        <f t="shared" si="98"/>
        <v>-88.731781345271571</v>
      </c>
      <c r="CV667" s="9">
        <f t="shared" si="99"/>
        <v>675.7</v>
      </c>
      <c r="CW667" t="str">
        <f t="shared" si="91"/>
        <v>Ti3Pd5</v>
      </c>
    </row>
    <row r="668" spans="1:101" ht="15.75" thickBot="1" x14ac:dyDescent="0.3">
      <c r="A668" t="s">
        <v>91</v>
      </c>
      <c r="B668" t="s">
        <v>1677</v>
      </c>
      <c r="C668" t="s">
        <v>3144</v>
      </c>
      <c r="E668" t="s">
        <v>3145</v>
      </c>
      <c r="F668" t="s">
        <v>93</v>
      </c>
      <c r="G668" t="s">
        <v>1678</v>
      </c>
      <c r="H668">
        <v>501.71</v>
      </c>
      <c r="I668">
        <v>643</v>
      </c>
      <c r="J668">
        <v>0</v>
      </c>
      <c r="K668" t="s">
        <v>95</v>
      </c>
      <c r="L668">
        <v>-41.834718799999997</v>
      </c>
      <c r="M668">
        <f t="shared" si="92"/>
        <v>-83.384263419106659</v>
      </c>
      <c r="N668" t="s">
        <v>95</v>
      </c>
      <c r="O668" t="s">
        <v>1679</v>
      </c>
      <c r="P668" t="s">
        <v>93</v>
      </c>
      <c r="Q668">
        <v>0</v>
      </c>
      <c r="R668" t="s">
        <v>95</v>
      </c>
      <c r="S668">
        <v>-43.002806309999997</v>
      </c>
      <c r="T668">
        <f t="shared" si="93"/>
        <v>-85.712475952243324</v>
      </c>
      <c r="U668" t="s">
        <v>95</v>
      </c>
      <c r="V668">
        <v>30377</v>
      </c>
      <c r="W668" t="s">
        <v>194</v>
      </c>
      <c r="X668">
        <v>298</v>
      </c>
      <c r="Y668" t="s">
        <v>103</v>
      </c>
      <c r="Z668">
        <v>-48.5</v>
      </c>
      <c r="AA668" t="s">
        <v>95</v>
      </c>
      <c r="AB668">
        <f t="shared" si="94"/>
        <v>-96.669390683861195</v>
      </c>
      <c r="AC668" t="s">
        <v>93</v>
      </c>
      <c r="AD668">
        <v>2.2000000000000002</v>
      </c>
      <c r="AE668" t="s">
        <v>95</v>
      </c>
      <c r="AF668" t="s">
        <v>93</v>
      </c>
      <c r="BI668">
        <v>0.25</v>
      </c>
      <c r="BZ668">
        <v>0.75</v>
      </c>
      <c r="CR668">
        <f t="shared" si="95"/>
        <v>-83.384263419106659</v>
      </c>
      <c r="CS668">
        <f t="shared" si="96"/>
        <v>-85.712475952243324</v>
      </c>
      <c r="CT668">
        <f t="shared" si="97"/>
        <v>-96.669390683861195</v>
      </c>
      <c r="CU668" s="7">
        <f t="shared" si="98"/>
        <v>-88.588710018403731</v>
      </c>
      <c r="CV668" s="9">
        <f t="shared" si="99"/>
        <v>501.71</v>
      </c>
      <c r="CW668" t="str">
        <f t="shared" si="91"/>
        <v>GdIn3</v>
      </c>
    </row>
    <row r="669" spans="1:101" ht="15.75" thickBot="1" x14ac:dyDescent="0.3">
      <c r="A669" t="s">
        <v>91</v>
      </c>
      <c r="B669" t="s">
        <v>93</v>
      </c>
      <c r="C669" t="s">
        <v>3144</v>
      </c>
      <c r="E669" t="s">
        <v>3145</v>
      </c>
      <c r="F669" t="s">
        <v>93</v>
      </c>
      <c r="G669" t="s">
        <v>255</v>
      </c>
      <c r="H669">
        <v>461.292159999999</v>
      </c>
      <c r="I669">
        <v>75</v>
      </c>
      <c r="M669">
        <f t="shared" si="92"/>
        <v>0</v>
      </c>
      <c r="O669" t="s">
        <v>93</v>
      </c>
      <c r="P669" t="s">
        <v>93</v>
      </c>
      <c r="T669">
        <f t="shared" si="93"/>
        <v>0</v>
      </c>
      <c r="V669" t="s">
        <v>93</v>
      </c>
      <c r="W669" t="s">
        <v>102</v>
      </c>
      <c r="X669">
        <v>298</v>
      </c>
      <c r="Y669" t="s">
        <v>103</v>
      </c>
      <c r="Z669">
        <v>-40.65</v>
      </c>
      <c r="AA669" t="s">
        <v>95</v>
      </c>
      <c r="AB669">
        <f t="shared" si="94"/>
        <v>-88.12202661324244</v>
      </c>
      <c r="AC669" t="s">
        <v>93</v>
      </c>
      <c r="AD669">
        <v>1.2</v>
      </c>
      <c r="AE669" t="s">
        <v>95</v>
      </c>
      <c r="AF669" t="s">
        <v>93</v>
      </c>
      <c r="AH669" t="s">
        <v>93</v>
      </c>
      <c r="AI669" t="s">
        <v>93</v>
      </c>
      <c r="AJ669" t="s">
        <v>93</v>
      </c>
      <c r="AK669" t="s">
        <v>93</v>
      </c>
      <c r="AR669">
        <v>0.4</v>
      </c>
      <c r="AS669">
        <v>0.1</v>
      </c>
      <c r="AW669">
        <v>0.5</v>
      </c>
      <c r="CR669">
        <f t="shared" si="95"/>
        <v>0</v>
      </c>
      <c r="CS669">
        <f t="shared" si="96"/>
        <v>0</v>
      </c>
      <c r="CT669">
        <f t="shared" si="97"/>
        <v>-88.12202661324244</v>
      </c>
      <c r="CU669" s="7">
        <f t="shared" si="98"/>
        <v>-88.12202661324244</v>
      </c>
      <c r="CV669" s="9">
        <f t="shared" si="99"/>
        <v>461.292159999999</v>
      </c>
      <c r="CW669" t="str">
        <f t="shared" si="91"/>
        <v>Al4Co5Ni</v>
      </c>
    </row>
    <row r="670" spans="1:101" ht="15.75" thickBot="1" x14ac:dyDescent="0.3">
      <c r="A670" t="s">
        <v>91</v>
      </c>
      <c r="B670" t="s">
        <v>1413</v>
      </c>
      <c r="C670" t="s">
        <v>3144</v>
      </c>
      <c r="E670" t="s">
        <v>3145</v>
      </c>
      <c r="F670" t="s">
        <v>93</v>
      </c>
      <c r="G670" t="s">
        <v>1414</v>
      </c>
      <c r="H670">
        <v>265.00700000000001</v>
      </c>
      <c r="I670">
        <v>545</v>
      </c>
      <c r="J670">
        <v>0</v>
      </c>
      <c r="K670" t="s">
        <v>95</v>
      </c>
      <c r="L670">
        <v>-22.19845132</v>
      </c>
      <c r="M670">
        <f t="shared" si="92"/>
        <v>-83.765528155860039</v>
      </c>
      <c r="N670" t="s">
        <v>95</v>
      </c>
      <c r="O670" t="s">
        <v>1415</v>
      </c>
      <c r="P670" t="s">
        <v>93</v>
      </c>
      <c r="Q670">
        <v>0</v>
      </c>
      <c r="R670" t="s">
        <v>95</v>
      </c>
      <c r="S670">
        <v>-22.953765260000001</v>
      </c>
      <c r="T670">
        <f t="shared" si="93"/>
        <v>-86.615694151475253</v>
      </c>
      <c r="U670" t="s">
        <v>95</v>
      </c>
      <c r="V670">
        <v>30160</v>
      </c>
      <c r="W670" t="s">
        <v>1366</v>
      </c>
      <c r="X670">
        <v>298</v>
      </c>
      <c r="Y670" t="s">
        <v>1093</v>
      </c>
      <c r="Z670">
        <v>-24.8</v>
      </c>
      <c r="AA670" t="s">
        <v>95</v>
      </c>
      <c r="AB670">
        <f t="shared" si="94"/>
        <v>-93.582433671563393</v>
      </c>
      <c r="AC670" t="s">
        <v>93</v>
      </c>
      <c r="AD670">
        <v>2.1</v>
      </c>
      <c r="AE670" t="s">
        <v>95</v>
      </c>
      <c r="AF670" t="s">
        <v>93</v>
      </c>
      <c r="AT670">
        <v>0.25</v>
      </c>
      <c r="BY670">
        <v>0.75</v>
      </c>
      <c r="CR670">
        <f t="shared" si="95"/>
        <v>-83.765528155860039</v>
      </c>
      <c r="CS670">
        <f t="shared" si="96"/>
        <v>-86.615694151475253</v>
      </c>
      <c r="CT670">
        <f t="shared" si="97"/>
        <v>-93.582433671563393</v>
      </c>
      <c r="CU670" s="7">
        <f t="shared" si="98"/>
        <v>-87.987885326299576</v>
      </c>
      <c r="CV670" s="9">
        <f t="shared" si="99"/>
        <v>265.00700000000001</v>
      </c>
      <c r="CW670" t="str">
        <f t="shared" si="91"/>
        <v>Ga3Fe</v>
      </c>
    </row>
    <row r="671" spans="1:101" ht="15.75" thickBot="1" x14ac:dyDescent="0.3">
      <c r="A671" t="s">
        <v>91</v>
      </c>
      <c r="B671" t="s">
        <v>93</v>
      </c>
      <c r="C671" t="s">
        <v>3144</v>
      </c>
      <c r="E671" t="s">
        <v>3145</v>
      </c>
      <c r="F671" t="s">
        <v>93</v>
      </c>
      <c r="G671" t="s">
        <v>2277</v>
      </c>
      <c r="H671">
        <v>466.68178</v>
      </c>
      <c r="I671">
        <v>910</v>
      </c>
      <c r="M671">
        <f t="shared" si="92"/>
        <v>0</v>
      </c>
      <c r="O671" t="s">
        <v>93</v>
      </c>
      <c r="P671" t="s">
        <v>93</v>
      </c>
      <c r="T671">
        <f t="shared" si="93"/>
        <v>0</v>
      </c>
      <c r="V671" t="s">
        <v>93</v>
      </c>
      <c r="W671" t="s">
        <v>1179</v>
      </c>
      <c r="X671">
        <v>300</v>
      </c>
      <c r="Y671" t="s">
        <v>971</v>
      </c>
      <c r="Z671">
        <v>-41</v>
      </c>
      <c r="AA671" t="s">
        <v>95</v>
      </c>
      <c r="AB671">
        <f t="shared" si="94"/>
        <v>-87.85429763296095</v>
      </c>
      <c r="AF671" t="s">
        <v>93</v>
      </c>
      <c r="AH671" t="s">
        <v>93</v>
      </c>
      <c r="AI671" t="s">
        <v>93</v>
      </c>
      <c r="AJ671" t="s">
        <v>93</v>
      </c>
      <c r="AK671" t="s">
        <v>93</v>
      </c>
      <c r="AL671">
        <v>0.21</v>
      </c>
      <c r="AR671">
        <v>0.79</v>
      </c>
      <c r="CC671">
        <v>2</v>
      </c>
      <c r="CD671" t="s">
        <v>95</v>
      </c>
      <c r="CE671" t="s">
        <v>93</v>
      </c>
      <c r="CR671">
        <f t="shared" si="95"/>
        <v>0</v>
      </c>
      <c r="CS671">
        <f t="shared" si="96"/>
        <v>0</v>
      </c>
      <c r="CT671">
        <f t="shared" si="97"/>
        <v>-87.85429763296095</v>
      </c>
      <c r="CU671" s="7">
        <f t="shared" si="98"/>
        <v>-87.85429763296095</v>
      </c>
      <c r="CV671" s="9">
        <f t="shared" si="99"/>
        <v>466.68178</v>
      </c>
      <c r="CW671" t="str">
        <f t="shared" si="91"/>
        <v>Al7La2</v>
      </c>
    </row>
    <row r="672" spans="1:101" ht="15.75" thickBot="1" x14ac:dyDescent="0.3">
      <c r="A672" t="s">
        <v>91</v>
      </c>
      <c r="B672" t="s">
        <v>2624</v>
      </c>
      <c r="C672" t="s">
        <v>3144</v>
      </c>
      <c r="E672" t="s">
        <v>3145</v>
      </c>
      <c r="F672" t="s">
        <v>93</v>
      </c>
      <c r="G672" t="s">
        <v>2625</v>
      </c>
      <c r="H672">
        <v>113.63800000000001</v>
      </c>
      <c r="I672">
        <v>1070</v>
      </c>
      <c r="J672">
        <v>3.7323507</v>
      </c>
      <c r="K672" t="s">
        <v>95</v>
      </c>
      <c r="L672">
        <v>-3.7306541000000002</v>
      </c>
      <c r="M672">
        <f t="shared" si="92"/>
        <v>-32.829283338319925</v>
      </c>
      <c r="N672" t="s">
        <v>95</v>
      </c>
      <c r="O672" t="s">
        <v>2626</v>
      </c>
      <c r="P672" t="s">
        <v>93</v>
      </c>
      <c r="Q672">
        <v>5.9337688599999998</v>
      </c>
      <c r="R672" t="s">
        <v>95</v>
      </c>
      <c r="S672">
        <v>-1.22059279</v>
      </c>
      <c r="T672">
        <f t="shared" si="93"/>
        <v>-10.741061880708918</v>
      </c>
      <c r="U672" t="s">
        <v>95</v>
      </c>
      <c r="V672">
        <v>17670</v>
      </c>
      <c r="W672" t="s">
        <v>2097</v>
      </c>
      <c r="X672">
        <v>298</v>
      </c>
      <c r="Y672" t="s">
        <v>1988</v>
      </c>
      <c r="Z672">
        <v>-24.9</v>
      </c>
      <c r="AA672" t="s">
        <v>95</v>
      </c>
      <c r="AB672">
        <f t="shared" si="94"/>
        <v>-219.11684471743604</v>
      </c>
      <c r="AC672" t="s">
        <v>93</v>
      </c>
      <c r="AD672">
        <v>2.6</v>
      </c>
      <c r="AE672" t="s">
        <v>95</v>
      </c>
      <c r="AF672" t="s">
        <v>93</v>
      </c>
      <c r="AS672">
        <v>0.5</v>
      </c>
      <c r="BR672">
        <v>0.5</v>
      </c>
      <c r="CR672">
        <f t="shared" si="95"/>
        <v>-32.829283338319925</v>
      </c>
      <c r="CS672">
        <f t="shared" si="96"/>
        <v>-10.741061880708918</v>
      </c>
      <c r="CT672">
        <f t="shared" si="97"/>
        <v>-219.11684471743604</v>
      </c>
      <c r="CU672" s="7">
        <f t="shared" si="98"/>
        <v>-87.562396645488306</v>
      </c>
      <c r="CV672" s="9">
        <f t="shared" si="99"/>
        <v>113.63800000000001</v>
      </c>
      <c r="CW672" t="str">
        <f t="shared" si="91"/>
        <v>MnNi</v>
      </c>
    </row>
    <row r="673" spans="1:101" ht="15.75" thickBot="1" x14ac:dyDescent="0.3">
      <c r="A673" t="s">
        <v>91</v>
      </c>
      <c r="B673" t="s">
        <v>2666</v>
      </c>
      <c r="C673" t="s">
        <v>3144</v>
      </c>
      <c r="E673" t="s">
        <v>3145</v>
      </c>
      <c r="F673" t="s">
        <v>93</v>
      </c>
      <c r="G673" t="s">
        <v>2667</v>
      </c>
      <c r="H673">
        <v>599.40454</v>
      </c>
      <c r="I673">
        <v>1089</v>
      </c>
      <c r="J673">
        <v>0.77424291000000001</v>
      </c>
      <c r="K673" t="s">
        <v>95</v>
      </c>
      <c r="L673">
        <v>-48.347981169999997</v>
      </c>
      <c r="M673">
        <f t="shared" si="92"/>
        <v>-80.660018307502312</v>
      </c>
      <c r="N673" t="s">
        <v>95</v>
      </c>
      <c r="O673" t="s">
        <v>2668</v>
      </c>
      <c r="P673" t="s">
        <v>121</v>
      </c>
      <c r="Q673">
        <v>0.72144817999999999</v>
      </c>
      <c r="R673" t="s">
        <v>95</v>
      </c>
      <c r="S673">
        <v>-48.691194629999998</v>
      </c>
      <c r="T673">
        <f t="shared" si="93"/>
        <v>-81.232608998924164</v>
      </c>
      <c r="U673" t="s">
        <v>95</v>
      </c>
      <c r="V673">
        <v>10385</v>
      </c>
      <c r="W673" t="s">
        <v>184</v>
      </c>
      <c r="X673">
        <v>298</v>
      </c>
      <c r="Y673" t="s">
        <v>185</v>
      </c>
      <c r="Z673">
        <v>-60.4</v>
      </c>
      <c r="AA673" t="s">
        <v>95</v>
      </c>
      <c r="AB673">
        <f t="shared" si="94"/>
        <v>-100.76667086972681</v>
      </c>
      <c r="AC673" t="s">
        <v>93</v>
      </c>
      <c r="AD673">
        <v>2.6</v>
      </c>
      <c r="AE673" t="s">
        <v>95</v>
      </c>
      <c r="AF673" t="s">
        <v>93</v>
      </c>
      <c r="AQ673">
        <v>0.25</v>
      </c>
      <c r="AR673">
        <v>0.25</v>
      </c>
      <c r="BC673">
        <v>0.5</v>
      </c>
      <c r="CR673">
        <f t="shared" si="95"/>
        <v>-80.660018307502312</v>
      </c>
      <c r="CS673">
        <f t="shared" si="96"/>
        <v>-81.232608998924164</v>
      </c>
      <c r="CT673">
        <f t="shared" si="97"/>
        <v>-100.76667086972681</v>
      </c>
      <c r="CU673" s="7">
        <f t="shared" si="98"/>
        <v>-87.553099392051095</v>
      </c>
      <c r="CV673" s="9">
        <f t="shared" si="99"/>
        <v>599.40454</v>
      </c>
      <c r="CW673" t="str">
        <f t="shared" si="91"/>
        <v>HfAlAu2</v>
      </c>
    </row>
    <row r="674" spans="1:101" ht="15.75" thickBot="1" x14ac:dyDescent="0.3">
      <c r="A674" t="s">
        <v>91</v>
      </c>
      <c r="B674" t="s">
        <v>1853</v>
      </c>
      <c r="C674" t="s">
        <v>3144</v>
      </c>
      <c r="E674" t="s">
        <v>3145</v>
      </c>
      <c r="F674" t="s">
        <v>93</v>
      </c>
      <c r="G674" t="s">
        <v>1854</v>
      </c>
      <c r="H674">
        <v>758.15949999999998</v>
      </c>
      <c r="I674">
        <v>707</v>
      </c>
      <c r="M674">
        <f t="shared" si="92"/>
        <v>0</v>
      </c>
      <c r="O674" t="s">
        <v>93</v>
      </c>
      <c r="P674" t="s">
        <v>1849</v>
      </c>
      <c r="T674">
        <f t="shared" si="93"/>
        <v>0</v>
      </c>
      <c r="V674" t="s">
        <v>93</v>
      </c>
      <c r="W674" t="s">
        <v>93</v>
      </c>
      <c r="X674">
        <v>298</v>
      </c>
      <c r="Y674" t="s">
        <v>93</v>
      </c>
      <c r="Z674">
        <v>-66.099999999999994</v>
      </c>
      <c r="AA674" t="s">
        <v>95</v>
      </c>
      <c r="AB674">
        <f t="shared" si="94"/>
        <v>-87.184820608328451</v>
      </c>
      <c r="AC674" t="s">
        <v>93</v>
      </c>
      <c r="AD674">
        <v>1.9</v>
      </c>
      <c r="AE674" t="s">
        <v>95</v>
      </c>
      <c r="AF674" t="s">
        <v>93</v>
      </c>
      <c r="AH674" t="s">
        <v>93</v>
      </c>
      <c r="AI674" t="s">
        <v>93</v>
      </c>
      <c r="AJ674" t="s">
        <v>93</v>
      </c>
      <c r="AK674" t="s">
        <v>93</v>
      </c>
      <c r="BC674">
        <v>0.75</v>
      </c>
      <c r="BH674">
        <v>0.25</v>
      </c>
      <c r="CR674">
        <f t="shared" si="95"/>
        <v>0</v>
      </c>
      <c r="CS674">
        <f t="shared" si="96"/>
        <v>0</v>
      </c>
      <c r="CT674">
        <f t="shared" si="97"/>
        <v>-87.184820608328451</v>
      </c>
      <c r="CU674" s="7">
        <f t="shared" si="98"/>
        <v>-87.184820608328451</v>
      </c>
      <c r="CV674" s="9">
        <f t="shared" si="99"/>
        <v>758.15949999999998</v>
      </c>
      <c r="CW674" t="str">
        <f t="shared" si="91"/>
        <v>ErAu3</v>
      </c>
    </row>
    <row r="675" spans="1:101" ht="15.75" thickBot="1" x14ac:dyDescent="0.3">
      <c r="A675" t="s">
        <v>91</v>
      </c>
      <c r="B675" t="s">
        <v>911</v>
      </c>
      <c r="C675" t="s">
        <v>3144</v>
      </c>
      <c r="E675" t="s">
        <v>3145</v>
      </c>
      <c r="F675" t="s">
        <v>93</v>
      </c>
      <c r="G675" t="s">
        <v>912</v>
      </c>
      <c r="H675">
        <v>500.14789999999999</v>
      </c>
      <c r="I675">
        <v>363</v>
      </c>
      <c r="J675">
        <v>0</v>
      </c>
      <c r="K675" t="s">
        <v>95</v>
      </c>
      <c r="L675">
        <v>-47.2901642</v>
      </c>
      <c r="M675">
        <f t="shared" si="92"/>
        <v>-94.552359811967619</v>
      </c>
      <c r="N675" t="s">
        <v>95</v>
      </c>
      <c r="O675" t="s">
        <v>913</v>
      </c>
      <c r="P675" t="s">
        <v>93</v>
      </c>
      <c r="Q675">
        <v>0</v>
      </c>
      <c r="R675" t="s">
        <v>95</v>
      </c>
      <c r="S675">
        <v>-46.784441129999998</v>
      </c>
      <c r="T675">
        <f t="shared" si="93"/>
        <v>-93.541212769262856</v>
      </c>
      <c r="U675" t="s">
        <v>95</v>
      </c>
      <c r="V675">
        <v>17964</v>
      </c>
      <c r="W675" t="s">
        <v>914</v>
      </c>
      <c r="X675">
        <v>298</v>
      </c>
      <c r="Y675" t="s">
        <v>98</v>
      </c>
      <c r="Z675">
        <v>-36.1</v>
      </c>
      <c r="AA675" t="s">
        <v>95</v>
      </c>
      <c r="AB675">
        <f t="shared" si="94"/>
        <v>-72.178649555461504</v>
      </c>
      <c r="AC675" t="s">
        <v>93</v>
      </c>
      <c r="AD675">
        <v>2</v>
      </c>
      <c r="AE675" t="s">
        <v>95</v>
      </c>
      <c r="AF675" t="s">
        <v>93</v>
      </c>
      <c r="AZ675">
        <v>0.75</v>
      </c>
      <c r="BE675">
        <v>0.25</v>
      </c>
      <c r="CR675">
        <f t="shared" si="95"/>
        <v>-94.552359811967619</v>
      </c>
      <c r="CS675">
        <f t="shared" si="96"/>
        <v>-93.541212769262856</v>
      </c>
      <c r="CT675">
        <f t="shared" si="97"/>
        <v>-72.178649555461504</v>
      </c>
      <c r="CU675" s="7">
        <f t="shared" si="98"/>
        <v>-86.757407378897327</v>
      </c>
      <c r="CV675" s="9">
        <f t="shared" si="99"/>
        <v>500.14789999999999</v>
      </c>
      <c r="CW675" t="str">
        <f t="shared" si="91"/>
        <v>TaPd3</v>
      </c>
    </row>
    <row r="676" spans="1:101" ht="15.75" thickBot="1" x14ac:dyDescent="0.3">
      <c r="A676" t="s">
        <v>91</v>
      </c>
      <c r="B676" t="s">
        <v>2782</v>
      </c>
      <c r="C676" t="s">
        <v>3144</v>
      </c>
      <c r="E676" t="s">
        <v>3145</v>
      </c>
      <c r="F676" t="s">
        <v>93</v>
      </c>
      <c r="G676" t="s">
        <v>2783</v>
      </c>
      <c r="H676">
        <v>388.04700000000003</v>
      </c>
      <c r="I676">
        <v>1137</v>
      </c>
      <c r="J676">
        <v>0</v>
      </c>
      <c r="K676" t="s">
        <v>95</v>
      </c>
      <c r="L676">
        <v>-34.403276939999998</v>
      </c>
      <c r="M676">
        <f t="shared" si="92"/>
        <v>-88.657500096637762</v>
      </c>
      <c r="N676" t="s">
        <v>95</v>
      </c>
      <c r="O676" t="s">
        <v>2784</v>
      </c>
      <c r="P676" t="s">
        <v>93</v>
      </c>
      <c r="Q676">
        <v>1.747957E-2</v>
      </c>
      <c r="R676" t="s">
        <v>95</v>
      </c>
      <c r="S676">
        <v>-37.1278437</v>
      </c>
      <c r="T676">
        <f t="shared" si="93"/>
        <v>-95.678728865317851</v>
      </c>
      <c r="U676" t="s">
        <v>95</v>
      </c>
      <c r="V676">
        <v>17162</v>
      </c>
      <c r="W676" t="s">
        <v>184</v>
      </c>
      <c r="X676">
        <v>298</v>
      </c>
      <c r="Y676" t="s">
        <v>185</v>
      </c>
      <c r="Z676">
        <v>-29.1</v>
      </c>
      <c r="AA676" t="s">
        <v>95</v>
      </c>
      <c r="AB676">
        <f t="shared" si="94"/>
        <v>-74.990916048829135</v>
      </c>
      <c r="AC676" t="s">
        <v>93</v>
      </c>
      <c r="AD676">
        <v>1.9</v>
      </c>
      <c r="AE676" t="s">
        <v>95</v>
      </c>
      <c r="AF676" t="s">
        <v>93</v>
      </c>
      <c r="AX676">
        <v>0.25</v>
      </c>
      <c r="BF676">
        <v>0.5</v>
      </c>
      <c r="CF676">
        <v>0.25</v>
      </c>
      <c r="CR676">
        <f t="shared" si="95"/>
        <v>-88.657500096637762</v>
      </c>
      <c r="CS676">
        <f t="shared" si="96"/>
        <v>-95.678728865317851</v>
      </c>
      <c r="CT676">
        <f t="shared" si="97"/>
        <v>-74.990916048829135</v>
      </c>
      <c r="CU676" s="7">
        <f t="shared" si="98"/>
        <v>-86.442381670261582</v>
      </c>
      <c r="CV676" s="9">
        <f t="shared" si="99"/>
        <v>388.04700000000003</v>
      </c>
      <c r="CW676" t="str">
        <f t="shared" si="91"/>
        <v>CuSnRh2</v>
      </c>
    </row>
    <row r="677" spans="1:101" ht="15.75" thickBot="1" x14ac:dyDescent="0.3">
      <c r="A677" t="s">
        <v>91</v>
      </c>
      <c r="B677" t="s">
        <v>2280</v>
      </c>
      <c r="C677" t="s">
        <v>3144</v>
      </c>
      <c r="E677" t="s">
        <v>3145</v>
      </c>
      <c r="F677" t="s">
        <v>93</v>
      </c>
      <c r="G677" t="s">
        <v>2281</v>
      </c>
      <c r="H677">
        <v>253.98462000000001</v>
      </c>
      <c r="I677">
        <v>912</v>
      </c>
      <c r="J677">
        <v>8.4996041800000004</v>
      </c>
      <c r="K677" t="s">
        <v>95</v>
      </c>
      <c r="L677">
        <v>-16.565635929999999</v>
      </c>
      <c r="M677">
        <f t="shared" si="92"/>
        <v>-65.222988423472259</v>
      </c>
      <c r="N677" t="s">
        <v>95</v>
      </c>
      <c r="O677" t="s">
        <v>2282</v>
      </c>
      <c r="P677" t="s">
        <v>93</v>
      </c>
      <c r="Q677">
        <v>8.7386696700000002</v>
      </c>
      <c r="R677" t="s">
        <v>95</v>
      </c>
      <c r="S677">
        <v>-16.690103709999999</v>
      </c>
      <c r="T677">
        <f t="shared" si="93"/>
        <v>-65.713048727123706</v>
      </c>
      <c r="U677" t="s">
        <v>95</v>
      </c>
      <c r="V677">
        <v>10618</v>
      </c>
      <c r="W677" t="s">
        <v>194</v>
      </c>
      <c r="X677">
        <v>300</v>
      </c>
      <c r="Y677" t="s">
        <v>103</v>
      </c>
      <c r="Z677">
        <v>-32.5</v>
      </c>
      <c r="AA677" t="s">
        <v>95</v>
      </c>
      <c r="AB677">
        <f t="shared" si="94"/>
        <v>-127.96050406516741</v>
      </c>
      <c r="AF677" t="s">
        <v>93</v>
      </c>
      <c r="AR677">
        <v>0.75</v>
      </c>
      <c r="CC677">
        <v>2</v>
      </c>
      <c r="CD677" t="s">
        <v>95</v>
      </c>
      <c r="CE677" t="s">
        <v>93</v>
      </c>
      <c r="CL677">
        <v>0.25</v>
      </c>
      <c r="CR677">
        <f t="shared" si="95"/>
        <v>-65.222988423472259</v>
      </c>
      <c r="CS677">
        <f t="shared" si="96"/>
        <v>-65.713048727123706</v>
      </c>
      <c r="CT677">
        <f t="shared" si="97"/>
        <v>-127.96050406516741</v>
      </c>
      <c r="CU677" s="7">
        <f t="shared" si="98"/>
        <v>-86.298847071921116</v>
      </c>
      <c r="CV677" s="9">
        <f t="shared" si="99"/>
        <v>253.98462000000001</v>
      </c>
      <c r="CW677" t="str">
        <f t="shared" si="91"/>
        <v>YbAl3</v>
      </c>
    </row>
    <row r="678" spans="1:101" ht="15.75" thickBot="1" x14ac:dyDescent="0.3">
      <c r="A678" t="s">
        <v>91</v>
      </c>
      <c r="B678" t="s">
        <v>521</v>
      </c>
      <c r="C678" t="s">
        <v>3144</v>
      </c>
      <c r="E678" t="s">
        <v>3145</v>
      </c>
      <c r="F678" t="s">
        <v>93</v>
      </c>
      <c r="G678" t="s">
        <v>522</v>
      </c>
      <c r="H678">
        <v>111.446</v>
      </c>
      <c r="I678">
        <v>210</v>
      </c>
      <c r="M678">
        <f t="shared" si="92"/>
        <v>0</v>
      </c>
      <c r="O678" t="s">
        <v>93</v>
      </c>
      <c r="P678" t="s">
        <v>93</v>
      </c>
      <c r="T678">
        <f t="shared" si="93"/>
        <v>0</v>
      </c>
      <c r="V678" t="s">
        <v>93</v>
      </c>
      <c r="W678" t="s">
        <v>93</v>
      </c>
      <c r="X678">
        <v>298</v>
      </c>
      <c r="Y678" t="s">
        <v>93</v>
      </c>
      <c r="Z678">
        <v>-9.61</v>
      </c>
      <c r="AA678" t="s">
        <v>95</v>
      </c>
      <c r="AB678">
        <f t="shared" si="94"/>
        <v>-86.230102471151937</v>
      </c>
      <c r="AC678" t="s">
        <v>93</v>
      </c>
      <c r="AD678">
        <v>0.37</v>
      </c>
      <c r="AE678" t="s">
        <v>95</v>
      </c>
      <c r="AF678" t="s">
        <v>93</v>
      </c>
      <c r="AH678" t="s">
        <v>93</v>
      </c>
      <c r="AI678" t="s">
        <v>93</v>
      </c>
      <c r="AJ678" t="s">
        <v>93</v>
      </c>
      <c r="AK678" t="s">
        <v>93</v>
      </c>
      <c r="AX678">
        <v>0.5</v>
      </c>
      <c r="BA678">
        <v>0.5</v>
      </c>
      <c r="CR678">
        <f t="shared" si="95"/>
        <v>0</v>
      </c>
      <c r="CS678">
        <f t="shared" si="96"/>
        <v>0</v>
      </c>
      <c r="CT678">
        <f t="shared" si="97"/>
        <v>-86.230102471151937</v>
      </c>
      <c r="CU678" s="7">
        <f t="shared" si="98"/>
        <v>-86.230102471151937</v>
      </c>
      <c r="CV678" s="9">
        <f t="shared" si="99"/>
        <v>111.446</v>
      </c>
      <c r="CW678" t="str">
        <f t="shared" si="91"/>
        <v>CuTi</v>
      </c>
    </row>
    <row r="679" spans="1:101" ht="15.75" thickBot="1" x14ac:dyDescent="0.3">
      <c r="A679" t="s">
        <v>91</v>
      </c>
      <c r="B679" t="s">
        <v>570</v>
      </c>
      <c r="C679" t="s">
        <v>3144</v>
      </c>
      <c r="E679" t="s">
        <v>3145</v>
      </c>
      <c r="F679" t="s">
        <v>93</v>
      </c>
      <c r="G679" t="s">
        <v>571</v>
      </c>
      <c r="H679">
        <v>369.4</v>
      </c>
      <c r="I679">
        <v>233</v>
      </c>
      <c r="J679">
        <v>0</v>
      </c>
      <c r="K679" t="s">
        <v>95</v>
      </c>
      <c r="L679">
        <v>-35.196096650000001</v>
      </c>
      <c r="M679">
        <f t="shared" si="92"/>
        <v>-95.279092176502445</v>
      </c>
      <c r="N679" t="s">
        <v>95</v>
      </c>
      <c r="O679" t="s">
        <v>572</v>
      </c>
      <c r="P679" t="s">
        <v>93</v>
      </c>
      <c r="Q679">
        <v>0</v>
      </c>
      <c r="R679" t="s">
        <v>95</v>
      </c>
      <c r="S679">
        <v>-34.042512709999997</v>
      </c>
      <c r="T679">
        <f t="shared" si="93"/>
        <v>-92.156233649160797</v>
      </c>
      <c r="U679" t="s">
        <v>95</v>
      </c>
      <c r="V679">
        <v>19323</v>
      </c>
      <c r="W679" t="s">
        <v>225</v>
      </c>
      <c r="X679">
        <v>298</v>
      </c>
      <c r="Y679" t="s">
        <v>179</v>
      </c>
      <c r="Z679">
        <v>-26.2</v>
      </c>
      <c r="AA679" t="s">
        <v>95</v>
      </c>
      <c r="AB679">
        <f t="shared" si="94"/>
        <v>-70.925825663237688</v>
      </c>
      <c r="AC679" t="s">
        <v>93</v>
      </c>
      <c r="AD679">
        <v>1.3</v>
      </c>
      <c r="AE679" t="s">
        <v>95</v>
      </c>
      <c r="AF679" t="s">
        <v>93</v>
      </c>
      <c r="AV679">
        <v>0.66</v>
      </c>
      <c r="BH679">
        <v>0.33</v>
      </c>
      <c r="CR679">
        <f t="shared" si="95"/>
        <v>-95.279092176502445</v>
      </c>
      <c r="CS679">
        <f t="shared" si="96"/>
        <v>-92.156233649160797</v>
      </c>
      <c r="CT679">
        <f t="shared" si="97"/>
        <v>-70.925825663237688</v>
      </c>
      <c r="CU679" s="7">
        <f t="shared" si="98"/>
        <v>-86.120383829633639</v>
      </c>
      <c r="CV679" s="9">
        <f t="shared" si="99"/>
        <v>369.4</v>
      </c>
      <c r="CW679" t="str">
        <f t="shared" si="91"/>
        <v>ErRu2</v>
      </c>
    </row>
    <row r="680" spans="1:101" ht="15.75" thickBot="1" x14ac:dyDescent="0.3">
      <c r="A680" t="s">
        <v>91</v>
      </c>
      <c r="B680" t="s">
        <v>2940</v>
      </c>
      <c r="C680" t="s">
        <v>3144</v>
      </c>
      <c r="E680" t="s">
        <v>3145</v>
      </c>
      <c r="F680" t="s">
        <v>93</v>
      </c>
      <c r="G680" t="s">
        <v>2941</v>
      </c>
      <c r="H680">
        <v>295.87400000000002</v>
      </c>
      <c r="I680">
        <v>1222</v>
      </c>
      <c r="M680">
        <f t="shared" si="92"/>
        <v>0</v>
      </c>
      <c r="O680" t="s">
        <v>93</v>
      </c>
      <c r="P680" t="s">
        <v>93</v>
      </c>
      <c r="T680">
        <f t="shared" si="93"/>
        <v>0</v>
      </c>
      <c r="V680" t="s">
        <v>93</v>
      </c>
      <c r="W680" t="s">
        <v>184</v>
      </c>
      <c r="X680">
        <v>298</v>
      </c>
      <c r="Y680" t="s">
        <v>185</v>
      </c>
      <c r="Z680">
        <v>-25.4</v>
      </c>
      <c r="AA680" t="s">
        <v>95</v>
      </c>
      <c r="AB680">
        <f t="shared" si="94"/>
        <v>-85.847353941204688</v>
      </c>
      <c r="AC680" t="s">
        <v>93</v>
      </c>
      <c r="AD680">
        <v>2</v>
      </c>
      <c r="AE680" t="s">
        <v>95</v>
      </c>
      <c r="AF680" t="s">
        <v>93</v>
      </c>
      <c r="AH680" t="s">
        <v>93</v>
      </c>
      <c r="AI680" t="s">
        <v>93</v>
      </c>
      <c r="AJ680" t="s">
        <v>93</v>
      </c>
      <c r="AK680" t="s">
        <v>93</v>
      </c>
      <c r="AS680">
        <v>0.25</v>
      </c>
      <c r="AX680">
        <v>0.25</v>
      </c>
      <c r="BR680">
        <v>0.25</v>
      </c>
      <c r="CF680">
        <v>0.25</v>
      </c>
      <c r="CR680">
        <f t="shared" si="95"/>
        <v>0</v>
      </c>
      <c r="CS680">
        <f t="shared" si="96"/>
        <v>0</v>
      </c>
      <c r="CT680">
        <f t="shared" si="97"/>
        <v>-85.847353941204688</v>
      </c>
      <c r="CU680" s="7">
        <f t="shared" si="98"/>
        <v>-85.847353941204688</v>
      </c>
      <c r="CV680" s="9">
        <f t="shared" si="99"/>
        <v>295.87400000000002</v>
      </c>
      <c r="CW680" t="str">
        <f t="shared" si="91"/>
        <v>CuNiMnSn</v>
      </c>
    </row>
    <row r="681" spans="1:101" ht="15.75" thickBot="1" x14ac:dyDescent="0.3">
      <c r="A681" t="s">
        <v>91</v>
      </c>
      <c r="B681" t="s">
        <v>1561</v>
      </c>
      <c r="C681" t="s">
        <v>3144</v>
      </c>
      <c r="E681" t="s">
        <v>3145</v>
      </c>
      <c r="F681" t="s">
        <v>93</v>
      </c>
      <c r="G681" t="s">
        <v>1562</v>
      </c>
      <c r="H681">
        <v>788.79499999999996</v>
      </c>
      <c r="I681">
        <v>598</v>
      </c>
      <c r="M681">
        <f t="shared" si="92"/>
        <v>0</v>
      </c>
      <c r="O681" t="s">
        <v>93</v>
      </c>
      <c r="P681" t="s">
        <v>121</v>
      </c>
      <c r="T681">
        <f t="shared" si="93"/>
        <v>0</v>
      </c>
      <c r="V681" t="s">
        <v>93</v>
      </c>
      <c r="W681" t="s">
        <v>1362</v>
      </c>
      <c r="X681">
        <v>298</v>
      </c>
      <c r="Y681" t="s">
        <v>480</v>
      </c>
      <c r="Z681">
        <v>-67.599999999999994</v>
      </c>
      <c r="AA681" t="s">
        <v>95</v>
      </c>
      <c r="AB681">
        <f t="shared" si="94"/>
        <v>-85.700340392624184</v>
      </c>
      <c r="AC681" t="s">
        <v>93</v>
      </c>
      <c r="AD681">
        <v>2.1</v>
      </c>
      <c r="AE681" t="s">
        <v>95</v>
      </c>
      <c r="AF681" t="s">
        <v>93</v>
      </c>
      <c r="AH681" t="s">
        <v>93</v>
      </c>
      <c r="AI681" t="s">
        <v>93</v>
      </c>
      <c r="AJ681" t="s">
        <v>93</v>
      </c>
      <c r="AK681" t="s">
        <v>93</v>
      </c>
      <c r="AN681">
        <v>0.625</v>
      </c>
      <c r="BX681">
        <v>0.375</v>
      </c>
      <c r="CR681">
        <f t="shared" si="95"/>
        <v>0</v>
      </c>
      <c r="CS681">
        <f t="shared" si="96"/>
        <v>0</v>
      </c>
      <c r="CT681">
        <f t="shared" si="97"/>
        <v>-85.700340392624184</v>
      </c>
      <c r="CU681" s="7">
        <f t="shared" si="98"/>
        <v>-85.700340392624184</v>
      </c>
      <c r="CV681" s="9">
        <f t="shared" si="99"/>
        <v>788.79499999999996</v>
      </c>
      <c r="CW681" t="str">
        <f t="shared" si="91"/>
        <v>Pr5Si3</v>
      </c>
    </row>
    <row r="682" spans="1:101" ht="15.75" thickBot="1" x14ac:dyDescent="0.3">
      <c r="A682" t="s">
        <v>91</v>
      </c>
      <c r="B682" t="s">
        <v>1847</v>
      </c>
      <c r="C682" t="s">
        <v>3144</v>
      </c>
      <c r="E682" t="s">
        <v>3145</v>
      </c>
      <c r="F682" t="s">
        <v>93</v>
      </c>
      <c r="G682" t="s">
        <v>1848</v>
      </c>
      <c r="H682">
        <v>753.39949999999999</v>
      </c>
      <c r="I682">
        <v>705</v>
      </c>
      <c r="M682">
        <f t="shared" si="92"/>
        <v>0</v>
      </c>
      <c r="O682" t="s">
        <v>93</v>
      </c>
      <c r="P682" t="s">
        <v>1849</v>
      </c>
      <c r="T682">
        <f t="shared" si="93"/>
        <v>0</v>
      </c>
      <c r="V682" t="s">
        <v>93</v>
      </c>
      <c r="W682" t="s">
        <v>93</v>
      </c>
      <c r="X682">
        <v>298</v>
      </c>
      <c r="Y682" t="s">
        <v>93</v>
      </c>
      <c r="Z682">
        <v>-64.3</v>
      </c>
      <c r="AA682" t="s">
        <v>95</v>
      </c>
      <c r="AB682">
        <f t="shared" si="94"/>
        <v>-85.346486160396978</v>
      </c>
      <c r="AC682" t="s">
        <v>93</v>
      </c>
      <c r="AD682">
        <v>1.6</v>
      </c>
      <c r="AE682" t="s">
        <v>95</v>
      </c>
      <c r="AF682" t="s">
        <v>93</v>
      </c>
      <c r="AH682" t="s">
        <v>93</v>
      </c>
      <c r="AI682" t="s">
        <v>93</v>
      </c>
      <c r="AJ682" t="s">
        <v>93</v>
      </c>
      <c r="AK682" t="s">
        <v>93</v>
      </c>
      <c r="BC682">
        <v>0.75</v>
      </c>
      <c r="BG682">
        <v>0.25</v>
      </c>
      <c r="CR682">
        <f t="shared" si="95"/>
        <v>0</v>
      </c>
      <c r="CS682">
        <f t="shared" si="96"/>
        <v>0</v>
      </c>
      <c r="CT682">
        <f t="shared" si="97"/>
        <v>-85.346486160396978</v>
      </c>
      <c r="CU682" s="7">
        <f t="shared" si="98"/>
        <v>-85.346486160396978</v>
      </c>
      <c r="CV682" s="9">
        <f t="shared" si="99"/>
        <v>753.39949999999999</v>
      </c>
      <c r="CW682" t="str">
        <f t="shared" ref="CW682:CW745" si="100">G682</f>
        <v>DyAu3</v>
      </c>
    </row>
    <row r="683" spans="1:101" ht="15.75" thickBot="1" x14ac:dyDescent="0.3">
      <c r="A683" t="s">
        <v>91</v>
      </c>
      <c r="B683" t="s">
        <v>93</v>
      </c>
      <c r="C683" t="s">
        <v>3144</v>
      </c>
      <c r="E683" t="s">
        <v>3145</v>
      </c>
      <c r="F683" t="s">
        <v>93</v>
      </c>
      <c r="G683" t="s">
        <v>342</v>
      </c>
      <c r="H683">
        <v>962.48770000000002</v>
      </c>
      <c r="I683">
        <v>141</v>
      </c>
      <c r="M683">
        <f t="shared" si="92"/>
        <v>0</v>
      </c>
      <c r="O683" t="s">
        <v>93</v>
      </c>
      <c r="P683" t="s">
        <v>93</v>
      </c>
      <c r="T683">
        <f t="shared" si="93"/>
        <v>0</v>
      </c>
      <c r="V683" t="s">
        <v>93</v>
      </c>
      <c r="W683" t="s">
        <v>102</v>
      </c>
      <c r="X683">
        <v>298</v>
      </c>
      <c r="Y683" t="s">
        <v>103</v>
      </c>
      <c r="Z683">
        <v>-81.78</v>
      </c>
      <c r="AA683" t="s">
        <v>95</v>
      </c>
      <c r="AB683">
        <f t="shared" si="94"/>
        <v>-84.967319582369726</v>
      </c>
      <c r="AC683" t="s">
        <v>93</v>
      </c>
      <c r="AD683">
        <v>2.7</v>
      </c>
      <c r="AE683" t="s">
        <v>95</v>
      </c>
      <c r="AF683" t="s">
        <v>93</v>
      </c>
      <c r="AH683" t="s">
        <v>93</v>
      </c>
      <c r="AI683" t="s">
        <v>93</v>
      </c>
      <c r="AJ683" t="s">
        <v>93</v>
      </c>
      <c r="AK683" t="s">
        <v>93</v>
      </c>
      <c r="AR683">
        <v>0.5</v>
      </c>
      <c r="AS683">
        <v>0.1</v>
      </c>
      <c r="BB683">
        <v>0.4</v>
      </c>
      <c r="CR683">
        <f t="shared" si="95"/>
        <v>0</v>
      </c>
      <c r="CS683">
        <f t="shared" si="96"/>
        <v>0</v>
      </c>
      <c r="CT683">
        <f t="shared" si="97"/>
        <v>-84.967319582369726</v>
      </c>
      <c r="CU683" s="7">
        <f t="shared" si="98"/>
        <v>-84.967319582369726</v>
      </c>
      <c r="CV683" s="9">
        <f t="shared" si="99"/>
        <v>962.48770000000002</v>
      </c>
      <c r="CW683" t="str">
        <f t="shared" si="100"/>
        <v>Al5Ir4Ni</v>
      </c>
    </row>
    <row r="684" spans="1:101" ht="15.75" thickBot="1" x14ac:dyDescent="0.3">
      <c r="A684" t="s">
        <v>91</v>
      </c>
      <c r="B684" t="s">
        <v>778</v>
      </c>
      <c r="C684" t="s">
        <v>3144</v>
      </c>
      <c r="E684" t="s">
        <v>3145</v>
      </c>
      <c r="F684" t="s">
        <v>93</v>
      </c>
      <c r="G684" t="s">
        <v>779</v>
      </c>
      <c r="H684">
        <v>678.17639999999994</v>
      </c>
      <c r="I684">
        <v>314</v>
      </c>
      <c r="J684">
        <v>0</v>
      </c>
      <c r="K684" t="s">
        <v>95</v>
      </c>
      <c r="L684">
        <v>-62.991072529999997</v>
      </c>
      <c r="M684">
        <f t="shared" si="92"/>
        <v>-92.883020597590843</v>
      </c>
      <c r="N684" t="s">
        <v>95</v>
      </c>
      <c r="O684" t="s">
        <v>780</v>
      </c>
      <c r="P684" t="s">
        <v>93</v>
      </c>
      <c r="Q684">
        <v>0</v>
      </c>
      <c r="R684" t="s">
        <v>95</v>
      </c>
      <c r="S684">
        <v>-63.113124020000001</v>
      </c>
      <c r="T684">
        <f t="shared" si="93"/>
        <v>-93.06299072040845</v>
      </c>
      <c r="U684" t="s">
        <v>95</v>
      </c>
      <c r="V684">
        <v>647400</v>
      </c>
      <c r="W684" t="s">
        <v>781</v>
      </c>
      <c r="X684">
        <v>298</v>
      </c>
      <c r="Y684" t="s">
        <v>782</v>
      </c>
      <c r="Z684">
        <v>-46.6</v>
      </c>
      <c r="AA684" t="s">
        <v>95</v>
      </c>
      <c r="AB684">
        <f t="shared" si="94"/>
        <v>-68.713685701832162</v>
      </c>
      <c r="AC684" t="s">
        <v>93</v>
      </c>
      <c r="AD684">
        <v>3.7</v>
      </c>
      <c r="AE684" t="s">
        <v>95</v>
      </c>
      <c r="AF684" t="s">
        <v>93</v>
      </c>
      <c r="AU684">
        <v>0.25</v>
      </c>
      <c r="AY684">
        <v>0.75</v>
      </c>
      <c r="CR684">
        <f t="shared" si="95"/>
        <v>-92.883020597590843</v>
      </c>
      <c r="CS684">
        <f t="shared" si="96"/>
        <v>-93.06299072040845</v>
      </c>
      <c r="CT684">
        <f t="shared" si="97"/>
        <v>-68.713685701832162</v>
      </c>
      <c r="CU684" s="7">
        <f t="shared" si="98"/>
        <v>-84.886565673277161</v>
      </c>
      <c r="CV684" s="9">
        <f t="shared" si="99"/>
        <v>678.17639999999994</v>
      </c>
      <c r="CW684" t="str">
        <f t="shared" si="100"/>
        <v>NbPt3</v>
      </c>
    </row>
    <row r="685" spans="1:101" ht="15.75" thickBot="1" x14ac:dyDescent="0.3">
      <c r="A685" t="s">
        <v>91</v>
      </c>
      <c r="B685" t="s">
        <v>1543</v>
      </c>
      <c r="C685" t="s">
        <v>3144</v>
      </c>
      <c r="E685" t="s">
        <v>3145</v>
      </c>
      <c r="F685" t="s">
        <v>93</v>
      </c>
      <c r="G685" t="s">
        <v>1544</v>
      </c>
      <c r="H685">
        <v>464.65649999999999</v>
      </c>
      <c r="I685">
        <v>591</v>
      </c>
      <c r="J685">
        <v>0</v>
      </c>
      <c r="K685" t="s">
        <v>95</v>
      </c>
      <c r="L685">
        <v>-43.951817779999999</v>
      </c>
      <c r="M685">
        <f t="shared" si="92"/>
        <v>-94.589912720472014</v>
      </c>
      <c r="N685" t="s">
        <v>95</v>
      </c>
      <c r="O685" t="s">
        <v>1545</v>
      </c>
      <c r="P685" t="s">
        <v>93</v>
      </c>
      <c r="Q685">
        <v>0</v>
      </c>
      <c r="R685" t="s">
        <v>95</v>
      </c>
      <c r="S685">
        <v>-43.586995180000002</v>
      </c>
      <c r="T685">
        <f t="shared" si="93"/>
        <v>-93.804767995282546</v>
      </c>
      <c r="U685" t="s">
        <v>95</v>
      </c>
      <c r="V685">
        <v>83466</v>
      </c>
      <c r="W685" t="s">
        <v>1546</v>
      </c>
      <c r="X685">
        <v>298</v>
      </c>
      <c r="Y685" t="s">
        <v>1303</v>
      </c>
      <c r="Z685">
        <v>-30.5</v>
      </c>
      <c r="AA685" t="s">
        <v>95</v>
      </c>
      <c r="AB685">
        <f t="shared" si="94"/>
        <v>-65.639886668969453</v>
      </c>
      <c r="AC685" t="s">
        <v>93</v>
      </c>
      <c r="AD685">
        <v>2.1</v>
      </c>
      <c r="AE685" t="s">
        <v>95</v>
      </c>
      <c r="AF685" t="s">
        <v>93</v>
      </c>
      <c r="BM685">
        <v>0.4</v>
      </c>
      <c r="BX685">
        <v>0.6</v>
      </c>
      <c r="CR685">
        <f t="shared" si="95"/>
        <v>-94.589912720472014</v>
      </c>
      <c r="CS685">
        <f t="shared" si="96"/>
        <v>-93.804767995282546</v>
      </c>
      <c r="CT685">
        <f t="shared" si="97"/>
        <v>-65.639886668969453</v>
      </c>
      <c r="CU685" s="7">
        <f t="shared" si="98"/>
        <v>-84.678189128241343</v>
      </c>
      <c r="CV685" s="9">
        <f t="shared" si="99"/>
        <v>464.65649999999999</v>
      </c>
      <c r="CW685" t="str">
        <f t="shared" si="100"/>
        <v>Si3Os2</v>
      </c>
    </row>
    <row r="686" spans="1:101" ht="15.75" thickBot="1" x14ac:dyDescent="0.3">
      <c r="A686" t="s">
        <v>91</v>
      </c>
      <c r="B686" t="s">
        <v>1683</v>
      </c>
      <c r="C686" t="s">
        <v>3144</v>
      </c>
      <c r="E686" t="s">
        <v>3145</v>
      </c>
      <c r="F686" t="s">
        <v>93</v>
      </c>
      <c r="G686" t="s">
        <v>1684</v>
      </c>
      <c r="H686">
        <v>506.96</v>
      </c>
      <c r="I686">
        <v>645</v>
      </c>
      <c r="J686">
        <v>0</v>
      </c>
      <c r="K686" t="s">
        <v>95</v>
      </c>
      <c r="L686">
        <v>-40.327816599999998</v>
      </c>
      <c r="M686">
        <f t="shared" si="92"/>
        <v>-79.548320577560361</v>
      </c>
      <c r="N686" t="s">
        <v>95</v>
      </c>
      <c r="O686" t="s">
        <v>1685</v>
      </c>
      <c r="P686" t="s">
        <v>121</v>
      </c>
      <c r="Q686">
        <v>0</v>
      </c>
      <c r="R686" t="s">
        <v>95</v>
      </c>
      <c r="S686">
        <v>-40.260079480000002</v>
      </c>
      <c r="T686">
        <f t="shared" si="93"/>
        <v>-79.414706249013733</v>
      </c>
      <c r="U686" t="s">
        <v>95</v>
      </c>
      <c r="V686">
        <v>31227</v>
      </c>
      <c r="W686" t="s">
        <v>194</v>
      </c>
      <c r="X686">
        <v>298</v>
      </c>
      <c r="Y686" t="s">
        <v>103</v>
      </c>
      <c r="Z686">
        <v>-48.1</v>
      </c>
      <c r="AA686" t="s">
        <v>95</v>
      </c>
      <c r="AB686">
        <f t="shared" si="94"/>
        <v>-94.87928041660092</v>
      </c>
      <c r="AC686" t="s">
        <v>93</v>
      </c>
      <c r="AD686">
        <v>2</v>
      </c>
      <c r="AE686" t="s">
        <v>95</v>
      </c>
      <c r="AF686" t="s">
        <v>93</v>
      </c>
      <c r="BG686">
        <v>0.25</v>
      </c>
      <c r="BZ686">
        <v>0.75</v>
      </c>
      <c r="CR686">
        <f t="shared" si="95"/>
        <v>-79.548320577560361</v>
      </c>
      <c r="CS686">
        <f t="shared" si="96"/>
        <v>-79.414706249013733</v>
      </c>
      <c r="CT686">
        <f t="shared" si="97"/>
        <v>-94.87928041660092</v>
      </c>
      <c r="CU686" s="7">
        <f t="shared" si="98"/>
        <v>-84.614102414391667</v>
      </c>
      <c r="CV686" s="9">
        <f t="shared" si="99"/>
        <v>506.96</v>
      </c>
      <c r="CW686" t="str">
        <f t="shared" si="100"/>
        <v>DyIn3</v>
      </c>
    </row>
    <row r="687" spans="1:101" ht="15.75" thickBot="1" x14ac:dyDescent="0.3">
      <c r="A687" t="s">
        <v>91</v>
      </c>
      <c r="B687" t="s">
        <v>871</v>
      </c>
      <c r="C687" t="s">
        <v>3144</v>
      </c>
      <c r="E687" t="s">
        <v>3145</v>
      </c>
      <c r="F687" t="s">
        <v>93</v>
      </c>
      <c r="G687" t="s">
        <v>872</v>
      </c>
      <c r="H687">
        <v>357.04790000000003</v>
      </c>
      <c r="I687">
        <v>346</v>
      </c>
      <c r="J687">
        <v>7.6195310000000002E-2</v>
      </c>
      <c r="K687" t="s">
        <v>95</v>
      </c>
      <c r="L687">
        <v>-34.852602040000001</v>
      </c>
      <c r="M687">
        <f t="shared" si="92"/>
        <v>-97.613239120017212</v>
      </c>
      <c r="N687" t="s">
        <v>95</v>
      </c>
      <c r="O687" t="s">
        <v>873</v>
      </c>
      <c r="P687" t="s">
        <v>93</v>
      </c>
      <c r="Q687">
        <v>0.17042941</v>
      </c>
      <c r="R687" t="s">
        <v>95</v>
      </c>
      <c r="S687">
        <v>-35.139249929999998</v>
      </c>
      <c r="T687">
        <f t="shared" si="93"/>
        <v>-98.416066667805623</v>
      </c>
      <c r="U687" t="s">
        <v>95</v>
      </c>
      <c r="V687">
        <v>647410</v>
      </c>
      <c r="W687" t="s">
        <v>781</v>
      </c>
      <c r="X687">
        <v>298</v>
      </c>
      <c r="Y687" t="s">
        <v>782</v>
      </c>
      <c r="Z687">
        <v>-20.399999999999999</v>
      </c>
      <c r="AA687" t="s">
        <v>95</v>
      </c>
      <c r="AB687">
        <f t="shared" si="94"/>
        <v>-57.135191104610882</v>
      </c>
      <c r="AC687" t="s">
        <v>93</v>
      </c>
      <c r="AD687">
        <v>2.2999999999999998</v>
      </c>
      <c r="AE687" t="s">
        <v>95</v>
      </c>
      <c r="AF687" t="s">
        <v>93</v>
      </c>
      <c r="AS687">
        <v>0.75</v>
      </c>
      <c r="BE687">
        <v>0.25</v>
      </c>
      <c r="CR687">
        <f t="shared" si="95"/>
        <v>-97.613239120017212</v>
      </c>
      <c r="CS687">
        <f t="shared" si="96"/>
        <v>-98.416066667805623</v>
      </c>
      <c r="CT687">
        <f t="shared" si="97"/>
        <v>-57.135191104610882</v>
      </c>
      <c r="CU687" s="7">
        <f t="shared" si="98"/>
        <v>-84.38816563081123</v>
      </c>
      <c r="CV687" s="9">
        <f t="shared" si="99"/>
        <v>357.04790000000003</v>
      </c>
      <c r="CW687" t="str">
        <f t="shared" si="100"/>
        <v>TaNi3</v>
      </c>
    </row>
    <row r="688" spans="1:101" ht="15.75" thickBot="1" x14ac:dyDescent="0.3">
      <c r="A688" t="s">
        <v>91</v>
      </c>
      <c r="B688" t="s">
        <v>1881</v>
      </c>
      <c r="C688" t="s">
        <v>3144</v>
      </c>
      <c r="E688" t="s">
        <v>3145</v>
      </c>
      <c r="F688" t="s">
        <v>93</v>
      </c>
      <c r="G688" t="s">
        <v>1882</v>
      </c>
      <c r="H688">
        <v>266.79340000000002</v>
      </c>
      <c r="I688">
        <v>719</v>
      </c>
      <c r="J688">
        <v>0</v>
      </c>
      <c r="K688" t="s">
        <v>95</v>
      </c>
      <c r="L688">
        <v>-31.11707736</v>
      </c>
      <c r="M688">
        <f t="shared" si="92"/>
        <v>-116.63360997685849</v>
      </c>
      <c r="N688" t="s">
        <v>95</v>
      </c>
      <c r="O688" t="s">
        <v>1883</v>
      </c>
      <c r="P688" t="s">
        <v>93</v>
      </c>
      <c r="Q688">
        <v>7.5383000000000006E-2</v>
      </c>
      <c r="R688" t="s">
        <v>95</v>
      </c>
      <c r="S688">
        <v>9.9498439999999994E-2</v>
      </c>
      <c r="T688">
        <f t="shared" si="93"/>
        <v>0.37294190935757776</v>
      </c>
      <c r="U688" t="s">
        <v>95</v>
      </c>
      <c r="V688">
        <v>10672</v>
      </c>
      <c r="W688" t="s">
        <v>102</v>
      </c>
      <c r="X688">
        <v>298</v>
      </c>
      <c r="Y688" t="s">
        <v>103</v>
      </c>
      <c r="Z688">
        <v>-36.5</v>
      </c>
      <c r="AA688" t="s">
        <v>95</v>
      </c>
      <c r="AB688">
        <f t="shared" si="94"/>
        <v>-136.80998105650289</v>
      </c>
      <c r="AC688" t="s">
        <v>93</v>
      </c>
      <c r="AD688">
        <v>2.9</v>
      </c>
      <c r="AE688" t="s">
        <v>95</v>
      </c>
      <c r="AF688" t="s">
        <v>93</v>
      </c>
      <c r="BK688">
        <v>0.5</v>
      </c>
      <c r="CR688">
        <f t="shared" si="95"/>
        <v>-116.63360997685849</v>
      </c>
      <c r="CS688">
        <f t="shared" si="96"/>
        <v>0.37294190935757776</v>
      </c>
      <c r="CT688">
        <f t="shared" si="97"/>
        <v>-136.80998105650289</v>
      </c>
      <c r="CU688" s="7">
        <f t="shared" si="98"/>
        <v>-84.356883041334598</v>
      </c>
      <c r="CV688" s="9">
        <f t="shared" si="99"/>
        <v>266.79340000000002</v>
      </c>
      <c r="CW688" t="str">
        <f t="shared" si="100"/>
        <v>TbAg</v>
      </c>
    </row>
    <row r="689" spans="1:101" ht="15.75" thickBot="1" x14ac:dyDescent="0.3">
      <c r="A689" t="s">
        <v>91</v>
      </c>
      <c r="B689" t="s">
        <v>1794</v>
      </c>
      <c r="C689" t="s">
        <v>3144</v>
      </c>
      <c r="E689" t="s">
        <v>3145</v>
      </c>
      <c r="F689" t="s">
        <v>93</v>
      </c>
      <c r="G689" t="s">
        <v>1795</v>
      </c>
      <c r="H689">
        <v>289.59199999999998</v>
      </c>
      <c r="I689">
        <v>684</v>
      </c>
      <c r="M689">
        <f t="shared" si="92"/>
        <v>0</v>
      </c>
      <c r="O689" t="s">
        <v>93</v>
      </c>
      <c r="P689" t="s">
        <v>93</v>
      </c>
      <c r="T689">
        <f t="shared" si="93"/>
        <v>0</v>
      </c>
      <c r="V689" t="s">
        <v>93</v>
      </c>
      <c r="W689" t="s">
        <v>364</v>
      </c>
      <c r="X689">
        <v>298</v>
      </c>
      <c r="Y689" t="s">
        <v>365</v>
      </c>
      <c r="Z689">
        <v>-24.4</v>
      </c>
      <c r="AA689" t="s">
        <v>95</v>
      </c>
      <c r="AB689">
        <f t="shared" si="94"/>
        <v>-84.256471173236832</v>
      </c>
      <c r="AC689" t="s">
        <v>93</v>
      </c>
      <c r="AD689">
        <v>2.2999999999999998</v>
      </c>
      <c r="AE689" t="s">
        <v>95</v>
      </c>
      <c r="AF689" t="s">
        <v>93</v>
      </c>
      <c r="AH689" t="s">
        <v>93</v>
      </c>
      <c r="AI689" t="s">
        <v>93</v>
      </c>
      <c r="AJ689" t="s">
        <v>93</v>
      </c>
      <c r="AK689" t="s">
        <v>93</v>
      </c>
      <c r="AX689">
        <v>0.66</v>
      </c>
      <c r="BG689">
        <v>0.33</v>
      </c>
      <c r="CR689">
        <f t="shared" si="95"/>
        <v>0</v>
      </c>
      <c r="CS689">
        <f t="shared" si="96"/>
        <v>0</v>
      </c>
      <c r="CT689">
        <f t="shared" si="97"/>
        <v>-84.256471173236832</v>
      </c>
      <c r="CU689" s="7">
        <f t="shared" si="98"/>
        <v>-84.256471173236832</v>
      </c>
      <c r="CV689" s="9">
        <f t="shared" si="99"/>
        <v>289.59199999999998</v>
      </c>
      <c r="CW689" t="str">
        <f t="shared" si="100"/>
        <v>Cu2Dy</v>
      </c>
    </row>
    <row r="690" spans="1:101" ht="15.75" thickBot="1" x14ac:dyDescent="0.3">
      <c r="A690" t="s">
        <v>484</v>
      </c>
      <c r="B690" t="s">
        <v>93</v>
      </c>
      <c r="C690" t="s">
        <v>3138</v>
      </c>
      <c r="D690" t="s">
        <v>3139</v>
      </c>
      <c r="F690" t="s">
        <v>3140</v>
      </c>
      <c r="G690" t="s">
        <v>2297</v>
      </c>
      <c r="H690">
        <v>469.11077999999998</v>
      </c>
      <c r="I690">
        <v>918</v>
      </c>
      <c r="M690">
        <f t="shared" si="92"/>
        <v>0</v>
      </c>
      <c r="O690" t="s">
        <v>93</v>
      </c>
      <c r="P690" t="s">
        <v>93</v>
      </c>
      <c r="T690">
        <f t="shared" si="93"/>
        <v>0</v>
      </c>
      <c r="V690" t="s">
        <v>93</v>
      </c>
      <c r="W690" t="s">
        <v>1179</v>
      </c>
      <c r="X690">
        <v>298</v>
      </c>
      <c r="Y690" t="s">
        <v>971</v>
      </c>
      <c r="Z690">
        <v>-39.5</v>
      </c>
      <c r="AA690" t="s">
        <v>95</v>
      </c>
      <c r="AB690">
        <f t="shared" si="94"/>
        <v>-84.201859526655952</v>
      </c>
      <c r="AC690" t="s">
        <v>93</v>
      </c>
      <c r="AD690">
        <v>5</v>
      </c>
      <c r="AE690" t="s">
        <v>95</v>
      </c>
      <c r="AF690" t="s">
        <v>93</v>
      </c>
      <c r="AH690" t="s">
        <v>93</v>
      </c>
      <c r="AI690" t="s">
        <v>93</v>
      </c>
      <c r="AJ690" t="s">
        <v>93</v>
      </c>
      <c r="AK690" t="s">
        <v>93</v>
      </c>
      <c r="AM690">
        <v>0.2135</v>
      </c>
      <c r="AR690">
        <v>0.78649999999999998</v>
      </c>
      <c r="CR690">
        <f t="shared" si="95"/>
        <v>0</v>
      </c>
      <c r="CS690">
        <f t="shared" si="96"/>
        <v>0</v>
      </c>
      <c r="CT690">
        <f t="shared" si="97"/>
        <v>-84.201859526655952</v>
      </c>
      <c r="CU690" s="7">
        <f t="shared" si="98"/>
        <v>-84.201859526655952</v>
      </c>
      <c r="CV690" s="9">
        <f t="shared" si="99"/>
        <v>469.11077999999998</v>
      </c>
      <c r="CW690" t="str">
        <f t="shared" si="100"/>
        <v>Al7Ce2</v>
      </c>
    </row>
    <row r="691" spans="1:101" ht="15.75" thickBot="1" x14ac:dyDescent="0.3">
      <c r="A691" t="s">
        <v>91</v>
      </c>
      <c r="B691" t="s">
        <v>2236</v>
      </c>
      <c r="C691" t="s">
        <v>3144</v>
      </c>
      <c r="E691" t="s">
        <v>3145</v>
      </c>
      <c r="F691" t="s">
        <v>93</v>
      </c>
      <c r="G691" t="s">
        <v>2237</v>
      </c>
      <c r="H691">
        <v>969.77</v>
      </c>
      <c r="I691">
        <v>891</v>
      </c>
      <c r="M691">
        <f t="shared" si="92"/>
        <v>0</v>
      </c>
      <c r="O691" t="s">
        <v>93</v>
      </c>
      <c r="P691" t="s">
        <v>93</v>
      </c>
      <c r="Q691">
        <v>0</v>
      </c>
      <c r="R691" t="s">
        <v>95</v>
      </c>
      <c r="S691">
        <v>-71.652285730000003</v>
      </c>
      <c r="T691">
        <f t="shared" si="93"/>
        <v>-73.885855130597974</v>
      </c>
      <c r="U691" t="s">
        <v>95</v>
      </c>
      <c r="V691">
        <v>30497</v>
      </c>
      <c r="W691" t="s">
        <v>339</v>
      </c>
      <c r="X691">
        <v>298</v>
      </c>
      <c r="Y691" t="s">
        <v>1403</v>
      </c>
      <c r="Z691">
        <v>-90.8</v>
      </c>
      <c r="AA691" t="s">
        <v>95</v>
      </c>
      <c r="AB691">
        <f t="shared" si="94"/>
        <v>-93.630448456850587</v>
      </c>
      <c r="AC691" t="s">
        <v>93</v>
      </c>
      <c r="AD691">
        <v>2</v>
      </c>
      <c r="AE691" t="s">
        <v>95</v>
      </c>
      <c r="AF691" t="s">
        <v>93</v>
      </c>
      <c r="AH691" t="s">
        <v>93</v>
      </c>
      <c r="AI691" t="s">
        <v>93</v>
      </c>
      <c r="BN691">
        <v>0.625</v>
      </c>
      <c r="CA691">
        <v>0.375</v>
      </c>
      <c r="CR691">
        <f t="shared" si="95"/>
        <v>0</v>
      </c>
      <c r="CS691">
        <f t="shared" si="96"/>
        <v>-73.885855130597974</v>
      </c>
      <c r="CT691">
        <f t="shared" si="97"/>
        <v>-93.630448456850587</v>
      </c>
      <c r="CU691" s="7">
        <f t="shared" si="98"/>
        <v>-83.758151793724281</v>
      </c>
      <c r="CV691" s="9">
        <f t="shared" si="99"/>
        <v>969.77</v>
      </c>
      <c r="CW691" t="str">
        <f t="shared" si="100"/>
        <v>Sm5Ge3</v>
      </c>
    </row>
    <row r="692" spans="1:101" ht="15.75" thickBot="1" x14ac:dyDescent="0.3">
      <c r="A692" t="s">
        <v>91</v>
      </c>
      <c r="B692" t="s">
        <v>2593</v>
      </c>
      <c r="C692" t="s">
        <v>3144</v>
      </c>
      <c r="E692" t="s">
        <v>3145</v>
      </c>
      <c r="F692" t="s">
        <v>93</v>
      </c>
      <c r="G692" t="s">
        <v>2594</v>
      </c>
      <c r="H692">
        <v>291.02999999999997</v>
      </c>
      <c r="I692">
        <v>1057</v>
      </c>
      <c r="J692">
        <v>0</v>
      </c>
      <c r="K692" t="s">
        <v>95</v>
      </c>
      <c r="L692">
        <v>-30.72361291</v>
      </c>
      <c r="M692">
        <f t="shared" si="92"/>
        <v>-105.56854245266813</v>
      </c>
      <c r="N692" t="s">
        <v>95</v>
      </c>
      <c r="O692" t="s">
        <v>2595</v>
      </c>
      <c r="P692" t="s">
        <v>93</v>
      </c>
      <c r="T692">
        <f t="shared" si="93"/>
        <v>0</v>
      </c>
      <c r="V692" t="s">
        <v>93</v>
      </c>
      <c r="W692" t="s">
        <v>922</v>
      </c>
      <c r="X692">
        <v>298</v>
      </c>
      <c r="Y692" t="s">
        <v>656</v>
      </c>
      <c r="Z692">
        <v>-17.899999999999999</v>
      </c>
      <c r="AA692" t="s">
        <v>95</v>
      </c>
      <c r="AB692">
        <f t="shared" si="94"/>
        <v>-61.505686698965746</v>
      </c>
      <c r="AC692" t="s">
        <v>93</v>
      </c>
      <c r="AD692">
        <v>2.2000000000000002</v>
      </c>
      <c r="AE692" t="s">
        <v>95</v>
      </c>
      <c r="AF692" t="s">
        <v>93</v>
      </c>
      <c r="AJ692" t="s">
        <v>93</v>
      </c>
      <c r="AK692" t="s">
        <v>93</v>
      </c>
      <c r="AY692">
        <v>0.5</v>
      </c>
      <c r="BS692">
        <v>0.5</v>
      </c>
      <c r="CR692">
        <f t="shared" si="95"/>
        <v>-105.56854245266813</v>
      </c>
      <c r="CS692">
        <f t="shared" si="96"/>
        <v>0</v>
      </c>
      <c r="CT692">
        <f t="shared" si="97"/>
        <v>-61.505686698965746</v>
      </c>
      <c r="CU692" s="7">
        <f t="shared" si="98"/>
        <v>-83.537114575816929</v>
      </c>
      <c r="CV692" s="9">
        <f t="shared" si="99"/>
        <v>291.02999999999997</v>
      </c>
      <c r="CW692" t="str">
        <f t="shared" si="100"/>
        <v>MoPt</v>
      </c>
    </row>
    <row r="693" spans="1:101" ht="15.75" thickBot="1" x14ac:dyDescent="0.3">
      <c r="A693" t="s">
        <v>91</v>
      </c>
      <c r="B693" t="s">
        <v>93</v>
      </c>
      <c r="C693" t="s">
        <v>3144</v>
      </c>
      <c r="E693" t="s">
        <v>3145</v>
      </c>
      <c r="F693" t="s">
        <v>93</v>
      </c>
      <c r="G693" t="s">
        <v>2855</v>
      </c>
      <c r="H693">
        <v>559.93799999999999</v>
      </c>
      <c r="I693">
        <v>1169</v>
      </c>
      <c r="M693">
        <f t="shared" si="92"/>
        <v>0</v>
      </c>
      <c r="O693" t="s">
        <v>93</v>
      </c>
      <c r="P693" t="s">
        <v>93</v>
      </c>
      <c r="T693">
        <f t="shared" si="93"/>
        <v>0</v>
      </c>
      <c r="V693" t="s">
        <v>93</v>
      </c>
      <c r="W693" t="s">
        <v>93</v>
      </c>
      <c r="X693">
        <v>298</v>
      </c>
      <c r="Y693" t="s">
        <v>93</v>
      </c>
      <c r="Z693">
        <v>-46.7</v>
      </c>
      <c r="AA693" t="s">
        <v>95</v>
      </c>
      <c r="AB693">
        <f t="shared" si="94"/>
        <v>-83.402090945783286</v>
      </c>
      <c r="AC693" t="s">
        <v>93</v>
      </c>
      <c r="AD693">
        <v>3.8</v>
      </c>
      <c r="AE693" t="s">
        <v>95</v>
      </c>
      <c r="AF693" t="s">
        <v>93</v>
      </c>
      <c r="AH693" t="s">
        <v>93</v>
      </c>
      <c r="AI693" t="s">
        <v>93</v>
      </c>
      <c r="AJ693" t="s">
        <v>93</v>
      </c>
      <c r="AK693" t="s">
        <v>93</v>
      </c>
      <c r="AY693">
        <v>0.5</v>
      </c>
      <c r="BR693">
        <v>0.25</v>
      </c>
      <c r="BZ693">
        <v>0.25</v>
      </c>
      <c r="CR693">
        <f t="shared" si="95"/>
        <v>0</v>
      </c>
      <c r="CS693">
        <f t="shared" si="96"/>
        <v>0</v>
      </c>
      <c r="CT693">
        <f t="shared" si="97"/>
        <v>-83.402090945783286</v>
      </c>
      <c r="CU693" s="7">
        <f t="shared" si="98"/>
        <v>-83.402090945783286</v>
      </c>
      <c r="CV693" s="9">
        <f t="shared" si="99"/>
        <v>559.93799999999999</v>
      </c>
      <c r="CW693" t="str">
        <f t="shared" si="100"/>
        <v>InMnPt2</v>
      </c>
    </row>
    <row r="694" spans="1:101" ht="15.75" thickBot="1" x14ac:dyDescent="0.3">
      <c r="A694" t="s">
        <v>91</v>
      </c>
      <c r="B694" t="s">
        <v>93</v>
      </c>
      <c r="C694" t="s">
        <v>3144</v>
      </c>
      <c r="E694" t="s">
        <v>3145</v>
      </c>
      <c r="F694" t="s">
        <v>93</v>
      </c>
      <c r="G694" t="s">
        <v>2241</v>
      </c>
      <c r="H694">
        <v>1030.27</v>
      </c>
      <c r="I694">
        <v>893</v>
      </c>
      <c r="M694">
        <f t="shared" si="92"/>
        <v>0</v>
      </c>
      <c r="O694" t="s">
        <v>93</v>
      </c>
      <c r="P694" t="s">
        <v>93</v>
      </c>
      <c r="Q694">
        <v>0</v>
      </c>
      <c r="R694" t="s">
        <v>95</v>
      </c>
      <c r="S694">
        <v>-76.914903899999999</v>
      </c>
      <c r="T694">
        <f t="shared" si="93"/>
        <v>-74.65509419860814</v>
      </c>
      <c r="U694" t="s">
        <v>95</v>
      </c>
      <c r="V694">
        <v>29859</v>
      </c>
      <c r="W694" t="s">
        <v>339</v>
      </c>
      <c r="X694">
        <v>298</v>
      </c>
      <c r="Y694" t="s">
        <v>1403</v>
      </c>
      <c r="Z694">
        <v>-92.4</v>
      </c>
      <c r="AA694" t="s">
        <v>95</v>
      </c>
      <c r="AB694">
        <f t="shared" si="94"/>
        <v>-89.685228144078749</v>
      </c>
      <c r="AC694" t="s">
        <v>93</v>
      </c>
      <c r="AD694">
        <v>2.2999999999999998</v>
      </c>
      <c r="AE694" t="s">
        <v>95</v>
      </c>
      <c r="AF694" t="s">
        <v>93</v>
      </c>
      <c r="AH694" t="s">
        <v>93</v>
      </c>
      <c r="AI694" t="s">
        <v>93</v>
      </c>
      <c r="BG694">
        <v>0.625</v>
      </c>
      <c r="CA694">
        <v>0.375</v>
      </c>
      <c r="CR694">
        <f t="shared" si="95"/>
        <v>0</v>
      </c>
      <c r="CS694">
        <f t="shared" si="96"/>
        <v>-74.65509419860814</v>
      </c>
      <c r="CT694">
        <f t="shared" si="97"/>
        <v>-89.685228144078749</v>
      </c>
      <c r="CU694" s="7">
        <f t="shared" si="98"/>
        <v>-82.170161171343437</v>
      </c>
      <c r="CV694" s="9">
        <f t="shared" si="99"/>
        <v>1030.27</v>
      </c>
      <c r="CW694" t="str">
        <f t="shared" si="100"/>
        <v>Dy5Ge3</v>
      </c>
    </row>
    <row r="695" spans="1:101" ht="15.75" thickBot="1" x14ac:dyDescent="0.3">
      <c r="A695" t="s">
        <v>91</v>
      </c>
      <c r="B695" t="s">
        <v>2437</v>
      </c>
      <c r="C695" t="s">
        <v>3144</v>
      </c>
      <c r="E695" t="s">
        <v>3145</v>
      </c>
      <c r="F695" t="s">
        <v>93</v>
      </c>
      <c r="G695" t="s">
        <v>2438</v>
      </c>
      <c r="H695">
        <v>209.01154</v>
      </c>
      <c r="I695">
        <v>989</v>
      </c>
      <c r="J695">
        <v>4.10315751</v>
      </c>
      <c r="K695" t="s">
        <v>95</v>
      </c>
      <c r="L695">
        <v>-12.33072321</v>
      </c>
      <c r="M695">
        <f t="shared" si="92"/>
        <v>-58.995418195569492</v>
      </c>
      <c r="N695" t="s">
        <v>95</v>
      </c>
      <c r="O695" t="s">
        <v>2439</v>
      </c>
      <c r="P695" t="s">
        <v>93</v>
      </c>
      <c r="Q695">
        <v>3.9706372600000002</v>
      </c>
      <c r="R695" t="s">
        <v>95</v>
      </c>
      <c r="S695">
        <v>-12.484797500000001</v>
      </c>
      <c r="T695">
        <f t="shared" si="93"/>
        <v>-59.73257505303296</v>
      </c>
      <c r="U695" t="s">
        <v>95</v>
      </c>
      <c r="V695">
        <v>10435</v>
      </c>
      <c r="W695" t="s">
        <v>184</v>
      </c>
      <c r="X695">
        <v>298</v>
      </c>
      <c r="Y695" t="s">
        <v>185</v>
      </c>
      <c r="Z695">
        <v>-26.5</v>
      </c>
      <c r="AA695" t="s">
        <v>95</v>
      </c>
      <c r="AB695">
        <f t="shared" si="94"/>
        <v>-126.78725777533623</v>
      </c>
      <c r="AC695" t="s">
        <v>93</v>
      </c>
      <c r="AD695">
        <v>1.8</v>
      </c>
      <c r="AE695" t="s">
        <v>95</v>
      </c>
      <c r="AF695" t="s">
        <v>93</v>
      </c>
      <c r="AR695">
        <v>0.25</v>
      </c>
      <c r="AX695">
        <v>0.5</v>
      </c>
      <c r="BR695">
        <v>0.25</v>
      </c>
      <c r="CR695">
        <f t="shared" si="95"/>
        <v>-58.995418195569492</v>
      </c>
      <c r="CS695">
        <f t="shared" si="96"/>
        <v>-59.73257505303296</v>
      </c>
      <c r="CT695">
        <f t="shared" si="97"/>
        <v>-126.78725777533623</v>
      </c>
      <c r="CU695" s="7">
        <f t="shared" si="98"/>
        <v>-81.838417007979558</v>
      </c>
      <c r="CV695" s="9">
        <f t="shared" si="99"/>
        <v>209.01154</v>
      </c>
      <c r="CW695" t="str">
        <f t="shared" si="100"/>
        <v>MnAlCu2</v>
      </c>
    </row>
    <row r="696" spans="1:101" ht="15.75" thickBot="1" x14ac:dyDescent="0.3">
      <c r="A696" t="s">
        <v>91</v>
      </c>
      <c r="B696" t="s">
        <v>2734</v>
      </c>
      <c r="C696" t="s">
        <v>3144</v>
      </c>
      <c r="E696" t="s">
        <v>3145</v>
      </c>
      <c r="F696" t="s">
        <v>93</v>
      </c>
      <c r="G696" t="s">
        <v>2735</v>
      </c>
      <c r="H696">
        <v>329.66800000000001</v>
      </c>
      <c r="I696">
        <v>1118</v>
      </c>
      <c r="J696">
        <v>0</v>
      </c>
      <c r="K696" t="s">
        <v>95</v>
      </c>
      <c r="L696">
        <v>-25.719980960000001</v>
      </c>
      <c r="M696">
        <f t="shared" si="92"/>
        <v>-78.017826904643456</v>
      </c>
      <c r="N696" t="s">
        <v>95</v>
      </c>
      <c r="O696" t="s">
        <v>2736</v>
      </c>
      <c r="P696" t="s">
        <v>93</v>
      </c>
      <c r="Q696">
        <v>0</v>
      </c>
      <c r="R696" t="s">
        <v>95</v>
      </c>
      <c r="S696">
        <v>-25.505621309999999</v>
      </c>
      <c r="T696">
        <f t="shared" si="93"/>
        <v>-77.367598038026131</v>
      </c>
      <c r="U696" t="s">
        <v>95</v>
      </c>
      <c r="V696">
        <v>503606</v>
      </c>
      <c r="W696" t="s">
        <v>184</v>
      </c>
      <c r="X696">
        <v>298</v>
      </c>
      <c r="Y696" t="s">
        <v>185</v>
      </c>
      <c r="Z696">
        <v>-29.7</v>
      </c>
      <c r="AA696" t="s">
        <v>95</v>
      </c>
      <c r="AB696">
        <f t="shared" si="94"/>
        <v>-90.090636640498929</v>
      </c>
      <c r="AC696" t="s">
        <v>93</v>
      </c>
      <c r="AD696">
        <v>1</v>
      </c>
      <c r="AE696" t="s">
        <v>95</v>
      </c>
      <c r="AF696" t="s">
        <v>93</v>
      </c>
      <c r="AV696">
        <v>0.5</v>
      </c>
      <c r="BR696">
        <v>0.25</v>
      </c>
      <c r="CA696">
        <v>0.25</v>
      </c>
      <c r="CR696">
        <f t="shared" si="95"/>
        <v>-78.017826904643456</v>
      </c>
      <c r="CS696">
        <f t="shared" si="96"/>
        <v>-77.367598038026131</v>
      </c>
      <c r="CT696">
        <f t="shared" si="97"/>
        <v>-90.090636640498929</v>
      </c>
      <c r="CU696" s="7">
        <f t="shared" si="98"/>
        <v>-81.825353861056172</v>
      </c>
      <c r="CV696" s="9">
        <f t="shared" si="99"/>
        <v>329.66800000000001</v>
      </c>
      <c r="CW696" t="str">
        <f t="shared" si="100"/>
        <v>MnGeRu2</v>
      </c>
    </row>
    <row r="697" spans="1:101" ht="15.75" thickBot="1" x14ac:dyDescent="0.3">
      <c r="A697" t="s">
        <v>91</v>
      </c>
      <c r="B697" t="s">
        <v>2559</v>
      </c>
      <c r="C697" t="s">
        <v>3144</v>
      </c>
      <c r="E697" t="s">
        <v>3145</v>
      </c>
      <c r="F697" t="s">
        <v>93</v>
      </c>
      <c r="G697" t="s">
        <v>2560</v>
      </c>
      <c r="H697">
        <v>288.36599999999999</v>
      </c>
      <c r="I697">
        <v>1045</v>
      </c>
      <c r="J697">
        <v>0</v>
      </c>
      <c r="K697" t="s">
        <v>95</v>
      </c>
      <c r="L697">
        <v>-25.474949890000001</v>
      </c>
      <c r="M697">
        <f t="shared" si="92"/>
        <v>-88.342418627716171</v>
      </c>
      <c r="N697" t="s">
        <v>95</v>
      </c>
      <c r="O697" t="s">
        <v>2561</v>
      </c>
      <c r="P697" t="s">
        <v>93</v>
      </c>
      <c r="Q697">
        <v>0</v>
      </c>
      <c r="R697" t="s">
        <v>95</v>
      </c>
      <c r="S697">
        <v>-24.615782729999999</v>
      </c>
      <c r="T697">
        <f t="shared" si="93"/>
        <v>-85.362985684858828</v>
      </c>
      <c r="U697" t="s">
        <v>95</v>
      </c>
      <c r="V697">
        <v>17364</v>
      </c>
      <c r="W697" t="s">
        <v>225</v>
      </c>
      <c r="X697">
        <v>298</v>
      </c>
      <c r="Y697" t="s">
        <v>179</v>
      </c>
      <c r="Z697">
        <v>-20.3</v>
      </c>
      <c r="AA697" t="s">
        <v>95</v>
      </c>
      <c r="AB697">
        <f t="shared" si="94"/>
        <v>-70.396648703383889</v>
      </c>
      <c r="AC697" t="s">
        <v>93</v>
      </c>
      <c r="AD697">
        <v>2</v>
      </c>
      <c r="AE697" t="s">
        <v>95</v>
      </c>
      <c r="AF697" t="s">
        <v>93</v>
      </c>
      <c r="AQ697">
        <v>0.33329999999999999</v>
      </c>
      <c r="BR697">
        <v>0.66669999999999996</v>
      </c>
      <c r="CR697">
        <f t="shared" si="95"/>
        <v>-88.342418627716171</v>
      </c>
      <c r="CS697">
        <f t="shared" si="96"/>
        <v>-85.362985684858828</v>
      </c>
      <c r="CT697">
        <f t="shared" si="97"/>
        <v>-70.396648703383889</v>
      </c>
      <c r="CU697" s="7">
        <f t="shared" si="98"/>
        <v>-81.367351005319634</v>
      </c>
      <c r="CV697" s="9">
        <f t="shared" si="99"/>
        <v>288.36599999999999</v>
      </c>
      <c r="CW697" t="str">
        <f t="shared" si="100"/>
        <v>HfMn2</v>
      </c>
    </row>
    <row r="698" spans="1:101" ht="15.75" thickBot="1" x14ac:dyDescent="0.3">
      <c r="A698" t="s">
        <v>91</v>
      </c>
      <c r="B698" t="s">
        <v>2242</v>
      </c>
      <c r="C698" t="s">
        <v>3144</v>
      </c>
      <c r="E698" t="s">
        <v>3145</v>
      </c>
      <c r="F698" t="s">
        <v>93</v>
      </c>
      <c r="G698" t="s">
        <v>2243</v>
      </c>
      <c r="H698">
        <v>1042.422</v>
      </c>
      <c r="I698">
        <v>894</v>
      </c>
      <c r="M698">
        <f t="shared" si="92"/>
        <v>0</v>
      </c>
      <c r="O698" t="s">
        <v>93</v>
      </c>
      <c r="P698" t="s">
        <v>93</v>
      </c>
      <c r="Q698">
        <v>0</v>
      </c>
      <c r="R698" t="s">
        <v>95</v>
      </c>
      <c r="S698">
        <v>-77.395268029999997</v>
      </c>
      <c r="T698">
        <f t="shared" si="93"/>
        <v>-74.245620324590234</v>
      </c>
      <c r="U698" t="s">
        <v>95</v>
      </c>
      <c r="V698">
        <v>30444</v>
      </c>
      <c r="W698" t="s">
        <v>339</v>
      </c>
      <c r="X698">
        <v>298</v>
      </c>
      <c r="Y698" t="s">
        <v>1403</v>
      </c>
      <c r="Z698">
        <v>-91.8</v>
      </c>
      <c r="AA698" t="s">
        <v>95</v>
      </c>
      <c r="AB698">
        <f t="shared" si="94"/>
        <v>-88.064142928679559</v>
      </c>
      <c r="AC698" t="s">
        <v>93</v>
      </c>
      <c r="AD698">
        <v>1.7</v>
      </c>
      <c r="AE698" t="s">
        <v>95</v>
      </c>
      <c r="AF698" t="s">
        <v>93</v>
      </c>
      <c r="AH698" t="s">
        <v>93</v>
      </c>
      <c r="AI698" t="s">
        <v>93</v>
      </c>
      <c r="BJ698">
        <v>0.625</v>
      </c>
      <c r="CA698">
        <v>0.375</v>
      </c>
      <c r="CR698">
        <f t="shared" si="95"/>
        <v>0</v>
      </c>
      <c r="CS698">
        <f t="shared" si="96"/>
        <v>-74.245620324590234</v>
      </c>
      <c r="CT698">
        <f t="shared" si="97"/>
        <v>-88.064142928679559</v>
      </c>
      <c r="CU698" s="7">
        <f t="shared" si="98"/>
        <v>-81.154881626634904</v>
      </c>
      <c r="CV698" s="9">
        <f t="shared" si="99"/>
        <v>1042.422</v>
      </c>
      <c r="CW698" t="str">
        <f t="shared" si="100"/>
        <v>Ho5Ge3</v>
      </c>
    </row>
    <row r="699" spans="1:101" ht="15.75" thickBot="1" x14ac:dyDescent="0.3">
      <c r="A699" t="s">
        <v>91</v>
      </c>
      <c r="B699" t="s">
        <v>93</v>
      </c>
      <c r="C699" t="s">
        <v>3144</v>
      </c>
      <c r="E699" t="s">
        <v>3145</v>
      </c>
      <c r="G699" t="s">
        <v>1981</v>
      </c>
      <c r="H699">
        <v>384.72</v>
      </c>
      <c r="I699">
        <v>772</v>
      </c>
      <c r="J699">
        <v>6.9076529999999997E-2</v>
      </c>
      <c r="K699" t="s">
        <v>95</v>
      </c>
      <c r="L699">
        <v>-30.98811173</v>
      </c>
      <c r="M699">
        <f t="shared" si="92"/>
        <v>-80.547181664587228</v>
      </c>
      <c r="N699" t="s">
        <v>95</v>
      </c>
      <c r="O699" t="s">
        <v>1982</v>
      </c>
      <c r="P699" t="s">
        <v>93</v>
      </c>
      <c r="Q699">
        <v>0</v>
      </c>
      <c r="R699" t="s">
        <v>95</v>
      </c>
      <c r="S699">
        <v>-31.344221990000001</v>
      </c>
      <c r="T699">
        <f t="shared" si="93"/>
        <v>-81.472816567893531</v>
      </c>
      <c r="U699" t="s">
        <v>95</v>
      </c>
      <c r="V699">
        <v>669588</v>
      </c>
      <c r="W699" t="s">
        <v>159</v>
      </c>
      <c r="X699">
        <v>1479</v>
      </c>
      <c r="Y699" t="s">
        <v>1983</v>
      </c>
      <c r="AB699">
        <f t="shared" si="94"/>
        <v>0</v>
      </c>
      <c r="AC699" t="s">
        <v>93</v>
      </c>
      <c r="AD699">
        <v>3</v>
      </c>
      <c r="AE699" t="s">
        <v>95</v>
      </c>
      <c r="AF699" t="s">
        <v>93</v>
      </c>
      <c r="AP699">
        <v>0.17</v>
      </c>
      <c r="AS699">
        <v>0.83</v>
      </c>
      <c r="CG699">
        <v>-32.4</v>
      </c>
      <c r="CH699" t="s">
        <v>95</v>
      </c>
      <c r="CI699" t="s">
        <v>93</v>
      </c>
      <c r="CR699">
        <f t="shared" si="95"/>
        <v>-80.547181664587228</v>
      </c>
      <c r="CS699">
        <f t="shared" si="96"/>
        <v>-81.472816567893531</v>
      </c>
      <c r="CT699">
        <f t="shared" si="97"/>
        <v>0</v>
      </c>
      <c r="CU699" s="7">
        <f t="shared" si="98"/>
        <v>-81.00999911624038</v>
      </c>
      <c r="CV699" s="9">
        <f t="shared" si="99"/>
        <v>384.72</v>
      </c>
      <c r="CW699" t="str">
        <f t="shared" si="100"/>
        <v>ZrNi5</v>
      </c>
    </row>
    <row r="700" spans="1:101" ht="15.75" thickBot="1" x14ac:dyDescent="0.3">
      <c r="A700" t="s">
        <v>91</v>
      </c>
      <c r="B700" t="s">
        <v>764</v>
      </c>
      <c r="C700" t="s">
        <v>3144</v>
      </c>
      <c r="E700" t="s">
        <v>3145</v>
      </c>
      <c r="F700" t="s">
        <v>93</v>
      </c>
      <c r="G700" t="s">
        <v>765</v>
      </c>
      <c r="H700">
        <v>730.71199999999999</v>
      </c>
      <c r="I700">
        <v>305</v>
      </c>
      <c r="M700">
        <f t="shared" si="92"/>
        <v>0</v>
      </c>
      <c r="O700" t="s">
        <v>93</v>
      </c>
      <c r="P700" t="s">
        <v>121</v>
      </c>
      <c r="T700">
        <f t="shared" si="93"/>
        <v>0</v>
      </c>
      <c r="V700" t="s">
        <v>93</v>
      </c>
      <c r="W700" t="s">
        <v>93</v>
      </c>
      <c r="X700">
        <v>298</v>
      </c>
      <c r="Y700" t="s">
        <v>93</v>
      </c>
      <c r="Z700">
        <v>-58.7</v>
      </c>
      <c r="AA700" t="s">
        <v>95</v>
      </c>
      <c r="AB700">
        <f t="shared" si="94"/>
        <v>-80.332607101019292</v>
      </c>
      <c r="AC700" t="s">
        <v>93</v>
      </c>
      <c r="AD700">
        <v>1.9</v>
      </c>
      <c r="AE700" t="s">
        <v>95</v>
      </c>
      <c r="AF700" t="s">
        <v>93</v>
      </c>
      <c r="AH700" t="s">
        <v>93</v>
      </c>
      <c r="AI700" t="s">
        <v>93</v>
      </c>
      <c r="AJ700" t="s">
        <v>93</v>
      </c>
      <c r="AK700" t="s">
        <v>93</v>
      </c>
      <c r="BF700">
        <v>0.4</v>
      </c>
      <c r="BL700">
        <v>0.6</v>
      </c>
      <c r="CR700">
        <f t="shared" si="95"/>
        <v>0</v>
      </c>
      <c r="CS700">
        <f t="shared" si="96"/>
        <v>0</v>
      </c>
      <c r="CT700">
        <f t="shared" si="97"/>
        <v>-80.332607101019292</v>
      </c>
      <c r="CU700" s="7">
        <f t="shared" si="98"/>
        <v>-80.332607101019292</v>
      </c>
      <c r="CV700" s="9">
        <f t="shared" si="99"/>
        <v>730.71199999999999</v>
      </c>
      <c r="CW700" t="str">
        <f t="shared" si="100"/>
        <v>Lu3Rh2</v>
      </c>
    </row>
    <row r="701" spans="1:101" ht="15.75" thickBot="1" x14ac:dyDescent="0.3">
      <c r="A701" t="s">
        <v>91</v>
      </c>
      <c r="B701" t="s">
        <v>1680</v>
      </c>
      <c r="C701" t="s">
        <v>3144</v>
      </c>
      <c r="E701" t="s">
        <v>3145</v>
      </c>
      <c r="F701" t="s">
        <v>93</v>
      </c>
      <c r="G701" t="s">
        <v>1681</v>
      </c>
      <c r="H701">
        <v>503.3854</v>
      </c>
      <c r="I701">
        <v>644</v>
      </c>
      <c r="J701">
        <v>0</v>
      </c>
      <c r="K701" t="s">
        <v>95</v>
      </c>
      <c r="L701">
        <v>-41.71285314</v>
      </c>
      <c r="M701">
        <f t="shared" si="92"/>
        <v>-82.864646332611159</v>
      </c>
      <c r="N701" t="s">
        <v>95</v>
      </c>
      <c r="O701" t="s">
        <v>1682</v>
      </c>
      <c r="P701" t="s">
        <v>93</v>
      </c>
      <c r="Q701">
        <v>0</v>
      </c>
      <c r="R701" t="s">
        <v>95</v>
      </c>
      <c r="S701">
        <v>-25.864361469999999</v>
      </c>
      <c r="T701">
        <f t="shared" si="93"/>
        <v>-51.380833591915852</v>
      </c>
      <c r="U701" t="s">
        <v>95</v>
      </c>
      <c r="V701">
        <v>11165</v>
      </c>
      <c r="W701" t="s">
        <v>194</v>
      </c>
      <c r="X701">
        <v>298</v>
      </c>
      <c r="Y701" t="s">
        <v>103</v>
      </c>
      <c r="Z701">
        <v>-53.5</v>
      </c>
      <c r="AA701" t="s">
        <v>95</v>
      </c>
      <c r="AB701">
        <f t="shared" si="94"/>
        <v>-106.28039669009074</v>
      </c>
      <c r="AC701" t="s">
        <v>93</v>
      </c>
      <c r="AD701">
        <v>2.5</v>
      </c>
      <c r="AE701" t="s">
        <v>95</v>
      </c>
      <c r="AF701" t="s">
        <v>93</v>
      </c>
      <c r="BK701">
        <v>0.25</v>
      </c>
      <c r="BZ701">
        <v>0.75</v>
      </c>
      <c r="CR701">
        <f t="shared" si="95"/>
        <v>-82.864646332611159</v>
      </c>
      <c r="CS701">
        <f t="shared" si="96"/>
        <v>-51.380833591915852</v>
      </c>
      <c r="CT701">
        <f t="shared" si="97"/>
        <v>-106.28039669009074</v>
      </c>
      <c r="CU701" s="7">
        <f t="shared" si="98"/>
        <v>-80.175292204872576</v>
      </c>
      <c r="CV701" s="9">
        <f t="shared" si="99"/>
        <v>503.3854</v>
      </c>
      <c r="CW701" t="str">
        <f t="shared" si="100"/>
        <v>TbIn3</v>
      </c>
    </row>
    <row r="702" spans="1:101" ht="15.75" thickBot="1" x14ac:dyDescent="0.3">
      <c r="A702" t="s">
        <v>91</v>
      </c>
      <c r="B702" t="s">
        <v>1845</v>
      </c>
      <c r="C702" t="s">
        <v>3144</v>
      </c>
      <c r="E702" t="s">
        <v>3145</v>
      </c>
      <c r="F702" t="s">
        <v>93</v>
      </c>
      <c r="G702" t="s">
        <v>1846</v>
      </c>
      <c r="H702">
        <v>749.82489999999996</v>
      </c>
      <c r="I702">
        <v>704</v>
      </c>
      <c r="M702">
        <f t="shared" si="92"/>
        <v>0</v>
      </c>
      <c r="O702" t="s">
        <v>93</v>
      </c>
      <c r="P702" t="s">
        <v>93</v>
      </c>
      <c r="Q702">
        <v>0</v>
      </c>
      <c r="R702" t="s">
        <v>95</v>
      </c>
      <c r="S702">
        <v>-53.46904885</v>
      </c>
      <c r="T702">
        <f t="shared" si="93"/>
        <v>-71.308713340941338</v>
      </c>
      <c r="U702" t="s">
        <v>95</v>
      </c>
      <c r="V702">
        <v>28224</v>
      </c>
      <c r="W702" t="s">
        <v>358</v>
      </c>
      <c r="X702">
        <v>298</v>
      </c>
      <c r="Y702" t="s">
        <v>395</v>
      </c>
      <c r="Z702">
        <v>-66.5</v>
      </c>
      <c r="AA702" t="s">
        <v>95</v>
      </c>
      <c r="AB702">
        <f t="shared" si="94"/>
        <v>-88.687372211832397</v>
      </c>
      <c r="AC702" t="s">
        <v>93</v>
      </c>
      <c r="AD702">
        <v>1.7</v>
      </c>
      <c r="AE702" t="s">
        <v>95</v>
      </c>
      <c r="AF702" t="s">
        <v>93</v>
      </c>
      <c r="AH702" t="s">
        <v>93</v>
      </c>
      <c r="AI702" t="s">
        <v>93</v>
      </c>
      <c r="BC702">
        <v>0.75</v>
      </c>
      <c r="BK702">
        <v>0.25</v>
      </c>
      <c r="CR702">
        <f t="shared" si="95"/>
        <v>0</v>
      </c>
      <c r="CS702">
        <f t="shared" si="96"/>
        <v>-71.308713340941338</v>
      </c>
      <c r="CT702">
        <f t="shared" si="97"/>
        <v>-88.687372211832397</v>
      </c>
      <c r="CU702" s="7">
        <f t="shared" si="98"/>
        <v>-79.998042776386868</v>
      </c>
      <c r="CV702" s="9">
        <f t="shared" si="99"/>
        <v>749.82489999999996</v>
      </c>
      <c r="CW702" t="str">
        <f t="shared" si="100"/>
        <v>TbAu3</v>
      </c>
    </row>
    <row r="703" spans="1:101" ht="15.75" thickBot="1" x14ac:dyDescent="0.3">
      <c r="A703" t="s">
        <v>91</v>
      </c>
      <c r="B703" t="s">
        <v>2008</v>
      </c>
      <c r="C703" t="s">
        <v>3144</v>
      </c>
      <c r="E703" t="s">
        <v>3145</v>
      </c>
      <c r="G703" t="s">
        <v>2009</v>
      </c>
      <c r="H703">
        <v>415.68</v>
      </c>
      <c r="I703">
        <v>785</v>
      </c>
      <c r="J703">
        <v>0.17569056999999999</v>
      </c>
      <c r="K703" t="s">
        <v>95</v>
      </c>
      <c r="L703">
        <v>-33.235817740000002</v>
      </c>
      <c r="M703">
        <f t="shared" si="92"/>
        <v>-79.955296718629725</v>
      </c>
      <c r="N703" t="s">
        <v>95</v>
      </c>
      <c r="O703" t="s">
        <v>2010</v>
      </c>
      <c r="P703" t="s">
        <v>93</v>
      </c>
      <c r="Q703">
        <v>0.40330941999999997</v>
      </c>
      <c r="R703" t="s">
        <v>95</v>
      </c>
      <c r="S703">
        <v>-32.982548270000002</v>
      </c>
      <c r="T703">
        <f t="shared" si="93"/>
        <v>-79.346007193033117</v>
      </c>
      <c r="U703" t="s">
        <v>95</v>
      </c>
      <c r="V703">
        <v>88683</v>
      </c>
      <c r="W703" t="s">
        <v>479</v>
      </c>
      <c r="X703">
        <v>1423</v>
      </c>
      <c r="Y703" t="s">
        <v>480</v>
      </c>
      <c r="AB703">
        <f t="shared" si="94"/>
        <v>0</v>
      </c>
      <c r="AC703" t="s">
        <v>93</v>
      </c>
      <c r="AD703">
        <v>1.3</v>
      </c>
      <c r="AE703" t="s">
        <v>95</v>
      </c>
      <c r="AF703" t="s">
        <v>93</v>
      </c>
      <c r="AQ703">
        <v>0.67</v>
      </c>
      <c r="AS703">
        <v>0.33</v>
      </c>
      <c r="CG703">
        <v>-36.700000000000003</v>
      </c>
      <c r="CH703" t="s">
        <v>95</v>
      </c>
      <c r="CI703" t="s">
        <v>93</v>
      </c>
      <c r="CR703">
        <f t="shared" si="95"/>
        <v>-79.955296718629725</v>
      </c>
      <c r="CS703">
        <f t="shared" si="96"/>
        <v>-79.346007193033117</v>
      </c>
      <c r="CT703">
        <f t="shared" si="97"/>
        <v>0</v>
      </c>
      <c r="CU703" s="7">
        <f t="shared" si="98"/>
        <v>-79.650651955831421</v>
      </c>
      <c r="CV703" s="9">
        <f t="shared" si="99"/>
        <v>415.68</v>
      </c>
      <c r="CW703" t="str">
        <f t="shared" si="100"/>
        <v>Hf2Ni</v>
      </c>
    </row>
    <row r="704" spans="1:101" ht="15.75" thickBot="1" x14ac:dyDescent="0.3">
      <c r="A704" t="s">
        <v>91</v>
      </c>
      <c r="B704" t="s">
        <v>2247</v>
      </c>
      <c r="C704" t="s">
        <v>3144</v>
      </c>
      <c r="E704" t="s">
        <v>3145</v>
      </c>
      <c r="F704" t="s">
        <v>93</v>
      </c>
      <c r="G704" t="s">
        <v>2248</v>
      </c>
      <c r="H704">
        <v>1062.441</v>
      </c>
      <c r="I704">
        <v>896</v>
      </c>
      <c r="M704">
        <f t="shared" si="92"/>
        <v>0</v>
      </c>
      <c r="O704" t="s">
        <v>93</v>
      </c>
      <c r="P704" t="s">
        <v>93</v>
      </c>
      <c r="Q704">
        <v>0</v>
      </c>
      <c r="R704" t="s">
        <v>95</v>
      </c>
      <c r="S704">
        <v>-77.333233480000004</v>
      </c>
      <c r="T704">
        <f t="shared" si="93"/>
        <v>-72.788261635234335</v>
      </c>
      <c r="U704" t="s">
        <v>95</v>
      </c>
      <c r="V704">
        <v>30501</v>
      </c>
      <c r="W704" t="s">
        <v>339</v>
      </c>
      <c r="X704">
        <v>298</v>
      </c>
      <c r="Y704" t="s">
        <v>1403</v>
      </c>
      <c r="Z704">
        <v>-91.3</v>
      </c>
      <c r="AA704" t="s">
        <v>95</v>
      </c>
      <c r="AB704">
        <f t="shared" si="94"/>
        <v>-85.934183639373842</v>
      </c>
      <c r="AC704" t="s">
        <v>93</v>
      </c>
      <c r="AD704">
        <v>1.9</v>
      </c>
      <c r="AE704" t="s">
        <v>95</v>
      </c>
      <c r="AF704" t="s">
        <v>93</v>
      </c>
      <c r="AH704" t="s">
        <v>93</v>
      </c>
      <c r="AI704" t="s">
        <v>93</v>
      </c>
      <c r="BO704">
        <v>0.625</v>
      </c>
      <c r="CA704">
        <v>0.375</v>
      </c>
      <c r="CR704">
        <f t="shared" si="95"/>
        <v>0</v>
      </c>
      <c r="CS704">
        <f t="shared" si="96"/>
        <v>-72.788261635234335</v>
      </c>
      <c r="CT704">
        <f t="shared" si="97"/>
        <v>-85.934183639373842</v>
      </c>
      <c r="CU704" s="7">
        <f t="shared" si="98"/>
        <v>-79.361222637304081</v>
      </c>
      <c r="CV704" s="9">
        <f t="shared" si="99"/>
        <v>1062.441</v>
      </c>
      <c r="CW704" t="str">
        <f t="shared" si="100"/>
        <v>Tm5Ge3</v>
      </c>
    </row>
    <row r="705" spans="1:101" ht="15.75" thickBot="1" x14ac:dyDescent="0.3">
      <c r="A705" t="s">
        <v>91</v>
      </c>
      <c r="B705" t="s">
        <v>2244</v>
      </c>
      <c r="C705" t="s">
        <v>3144</v>
      </c>
      <c r="E705" t="s">
        <v>3145</v>
      </c>
      <c r="F705" t="s">
        <v>93</v>
      </c>
      <c r="G705" t="s">
        <v>2245</v>
      </c>
      <c r="H705">
        <v>1054.07</v>
      </c>
      <c r="I705">
        <v>895</v>
      </c>
      <c r="J705">
        <v>0</v>
      </c>
      <c r="K705" t="s">
        <v>95</v>
      </c>
      <c r="L705">
        <v>-77.305501379999995</v>
      </c>
      <c r="M705">
        <f t="shared" si="92"/>
        <v>-73.340007191173257</v>
      </c>
      <c r="N705" t="s">
        <v>95</v>
      </c>
      <c r="O705" t="s">
        <v>2246</v>
      </c>
      <c r="P705" t="s">
        <v>93</v>
      </c>
      <c r="Q705">
        <v>0</v>
      </c>
      <c r="R705" t="s">
        <v>95</v>
      </c>
      <c r="S705">
        <v>-77.604637850000003</v>
      </c>
      <c r="T705">
        <f t="shared" si="93"/>
        <v>-73.623799036117148</v>
      </c>
      <c r="U705" t="s">
        <v>95</v>
      </c>
      <c r="V705">
        <v>18316</v>
      </c>
      <c r="W705" t="s">
        <v>339</v>
      </c>
      <c r="X705">
        <v>298</v>
      </c>
      <c r="Y705" t="s">
        <v>1403</v>
      </c>
      <c r="Z705">
        <v>-95.6</v>
      </c>
      <c r="AA705" t="s">
        <v>95</v>
      </c>
      <c r="AB705">
        <f t="shared" si="94"/>
        <v>-90.69606382877798</v>
      </c>
      <c r="AC705" t="s">
        <v>93</v>
      </c>
      <c r="AD705">
        <v>2</v>
      </c>
      <c r="AE705" t="s">
        <v>95</v>
      </c>
      <c r="AF705" t="s">
        <v>93</v>
      </c>
      <c r="BH705">
        <v>0.625</v>
      </c>
      <c r="CA705">
        <v>0.375</v>
      </c>
      <c r="CR705">
        <f t="shared" si="95"/>
        <v>-73.340007191173257</v>
      </c>
      <c r="CS705">
        <f t="shared" si="96"/>
        <v>-73.623799036117148</v>
      </c>
      <c r="CT705">
        <f t="shared" si="97"/>
        <v>-90.69606382877798</v>
      </c>
      <c r="CU705" s="7">
        <f t="shared" si="98"/>
        <v>-79.219956685356124</v>
      </c>
      <c r="CV705" s="9">
        <f t="shared" si="99"/>
        <v>1054.07</v>
      </c>
      <c r="CW705" t="str">
        <f t="shared" si="100"/>
        <v>Er5Ge3</v>
      </c>
    </row>
    <row r="706" spans="1:101" ht="15.75" thickBot="1" x14ac:dyDescent="0.3">
      <c r="A706" t="s">
        <v>91</v>
      </c>
      <c r="B706" t="s">
        <v>1801</v>
      </c>
      <c r="C706" t="s">
        <v>3144</v>
      </c>
      <c r="E706" t="s">
        <v>3145</v>
      </c>
      <c r="F706" t="s">
        <v>93</v>
      </c>
      <c r="G706" t="s">
        <v>1802</v>
      </c>
      <c r="H706">
        <v>296.02620000000002</v>
      </c>
      <c r="I706">
        <v>687</v>
      </c>
      <c r="M706">
        <f t="shared" ref="M706:M769" si="101">(1000/H706)*L706</f>
        <v>0</v>
      </c>
      <c r="O706" t="s">
        <v>93</v>
      </c>
      <c r="P706" t="s">
        <v>93</v>
      </c>
      <c r="T706">
        <f t="shared" ref="T706:T769" si="102">(1000/H706)*S706</f>
        <v>0</v>
      </c>
      <c r="V706" t="s">
        <v>93</v>
      </c>
      <c r="W706" t="s">
        <v>364</v>
      </c>
      <c r="X706">
        <v>298</v>
      </c>
      <c r="Y706" t="s">
        <v>365</v>
      </c>
      <c r="Z706">
        <v>-23.4</v>
      </c>
      <c r="AA706" t="s">
        <v>95</v>
      </c>
      <c r="AB706">
        <f t="shared" ref="AB706:AB769" si="103">(1000/H706)*Z706</f>
        <v>-79.047057321277634</v>
      </c>
      <c r="AC706" t="s">
        <v>93</v>
      </c>
      <c r="AD706">
        <v>2</v>
      </c>
      <c r="AE706" t="s">
        <v>95</v>
      </c>
      <c r="AF706" t="s">
        <v>93</v>
      </c>
      <c r="AH706" t="s">
        <v>93</v>
      </c>
      <c r="AI706" t="s">
        <v>93</v>
      </c>
      <c r="AJ706" t="s">
        <v>93</v>
      </c>
      <c r="AK706" t="s">
        <v>93</v>
      </c>
      <c r="AX706">
        <v>0.66</v>
      </c>
      <c r="BO706">
        <v>0.33</v>
      </c>
      <c r="CR706">
        <f t="shared" ref="CR706:CR769" si="104">VALUE(M706)</f>
        <v>0</v>
      </c>
      <c r="CS706">
        <f t="shared" ref="CS706:CS769" si="105">VALUE(T706)</f>
        <v>0</v>
      </c>
      <c r="CT706">
        <f t="shared" ref="CT706:CT769" si="106">VALUE(AB706)</f>
        <v>-79.047057321277634</v>
      </c>
      <c r="CU706" s="7">
        <f t="shared" ref="CU706:CU769" si="107">SUM(CR706:CT706)/(COUNTIF(CR706:CT706,"&lt;&gt;0")-COUNTBLANK(CR706:CT706)-(COUNTA(CR706:CT706)-COUNT(CR706:CT706)))</f>
        <v>-79.047057321277634</v>
      </c>
      <c r="CV706" s="9">
        <f t="shared" si="99"/>
        <v>296.02620000000002</v>
      </c>
      <c r="CW706" t="str">
        <f t="shared" si="100"/>
        <v>Cu2Tm</v>
      </c>
    </row>
    <row r="707" spans="1:101" ht="15.75" thickBot="1" x14ac:dyDescent="0.3">
      <c r="A707" t="s">
        <v>91</v>
      </c>
      <c r="B707" t="s">
        <v>93</v>
      </c>
      <c r="C707" t="s">
        <v>3144</v>
      </c>
      <c r="E707" t="s">
        <v>3145</v>
      </c>
      <c r="F707" t="s">
        <v>93</v>
      </c>
      <c r="G707" t="s">
        <v>283</v>
      </c>
      <c r="H707">
        <v>474.66415999999998</v>
      </c>
      <c r="I707">
        <v>95</v>
      </c>
      <c r="M707">
        <f t="shared" si="101"/>
        <v>0</v>
      </c>
      <c r="O707" t="s">
        <v>93</v>
      </c>
      <c r="P707" t="s">
        <v>93</v>
      </c>
      <c r="T707">
        <f t="shared" si="102"/>
        <v>0</v>
      </c>
      <c r="V707" t="s">
        <v>93</v>
      </c>
      <c r="W707" t="s">
        <v>102</v>
      </c>
      <c r="X707">
        <v>298</v>
      </c>
      <c r="Y707" t="s">
        <v>103</v>
      </c>
      <c r="Z707">
        <v>-37.51</v>
      </c>
      <c r="AA707" t="s">
        <v>95</v>
      </c>
      <c r="AB707">
        <f t="shared" si="103"/>
        <v>-79.024293723798323</v>
      </c>
      <c r="AC707" t="s">
        <v>93</v>
      </c>
      <c r="AD707">
        <v>1.5</v>
      </c>
      <c r="AE707" t="s">
        <v>95</v>
      </c>
      <c r="AF707" t="s">
        <v>93</v>
      </c>
      <c r="AH707" t="s">
        <v>93</v>
      </c>
      <c r="AI707" t="s">
        <v>93</v>
      </c>
      <c r="AJ707" t="s">
        <v>93</v>
      </c>
      <c r="AK707" t="s">
        <v>93</v>
      </c>
      <c r="AR707">
        <v>0.4</v>
      </c>
      <c r="AS707">
        <v>0.3</v>
      </c>
      <c r="AX707">
        <v>0.3</v>
      </c>
      <c r="CR707">
        <f t="shared" si="104"/>
        <v>0</v>
      </c>
      <c r="CS707">
        <f t="shared" si="105"/>
        <v>0</v>
      </c>
      <c r="CT707">
        <f t="shared" si="106"/>
        <v>-79.024293723798323</v>
      </c>
      <c r="CU707" s="7">
        <f t="shared" si="107"/>
        <v>-79.024293723798323</v>
      </c>
      <c r="CV707" s="9">
        <f t="shared" ref="CV707:CV770" si="108">H707</f>
        <v>474.66415999999998</v>
      </c>
      <c r="CW707" t="str">
        <f t="shared" si="100"/>
        <v>Al4Cu3Ni3</v>
      </c>
    </row>
    <row r="708" spans="1:101" ht="15.75" thickBot="1" x14ac:dyDescent="0.3">
      <c r="A708" t="s">
        <v>91</v>
      </c>
      <c r="B708" t="s">
        <v>1908</v>
      </c>
      <c r="C708" t="s">
        <v>3144</v>
      </c>
      <c r="E708" t="s">
        <v>3145</v>
      </c>
      <c r="F708" t="s">
        <v>93</v>
      </c>
      <c r="G708" t="s">
        <v>1909</v>
      </c>
      <c r="H708">
        <v>384.67020000000002</v>
      </c>
      <c r="I708">
        <v>730</v>
      </c>
      <c r="J708">
        <v>0</v>
      </c>
      <c r="K708" t="s">
        <v>95</v>
      </c>
      <c r="L708">
        <v>-32.4626874</v>
      </c>
      <c r="M708">
        <f t="shared" si="101"/>
        <v>-84.390959840403539</v>
      </c>
      <c r="N708" t="s">
        <v>95</v>
      </c>
      <c r="O708" t="s">
        <v>1910</v>
      </c>
      <c r="P708" t="s">
        <v>1911</v>
      </c>
      <c r="Q708">
        <v>0</v>
      </c>
      <c r="R708" t="s">
        <v>95</v>
      </c>
      <c r="S708">
        <v>-33.333266250000001</v>
      </c>
      <c r="T708">
        <f t="shared" si="102"/>
        <v>-86.654142301639169</v>
      </c>
      <c r="U708" t="s">
        <v>95</v>
      </c>
      <c r="V708">
        <v>10679</v>
      </c>
      <c r="W708" t="s">
        <v>97</v>
      </c>
      <c r="X708">
        <v>298</v>
      </c>
      <c r="Y708" t="s">
        <v>98</v>
      </c>
      <c r="Z708">
        <v>-25.3</v>
      </c>
      <c r="AA708" t="s">
        <v>95</v>
      </c>
      <c r="AB708">
        <f t="shared" si="103"/>
        <v>-65.770626370329708</v>
      </c>
      <c r="AC708" t="s">
        <v>93</v>
      </c>
      <c r="AD708">
        <v>2.4</v>
      </c>
      <c r="AE708" t="s">
        <v>95</v>
      </c>
      <c r="AF708" t="s">
        <v>93</v>
      </c>
      <c r="BO708">
        <v>0.33</v>
      </c>
      <c r="CR708">
        <f t="shared" si="104"/>
        <v>-84.390959840403539</v>
      </c>
      <c r="CS708">
        <f t="shared" si="105"/>
        <v>-86.654142301639169</v>
      </c>
      <c r="CT708">
        <f t="shared" si="106"/>
        <v>-65.770626370329708</v>
      </c>
      <c r="CU708" s="7">
        <f t="shared" si="107"/>
        <v>-78.938576170790796</v>
      </c>
      <c r="CV708" s="9">
        <f t="shared" si="108"/>
        <v>384.67020000000002</v>
      </c>
      <c r="CW708" t="str">
        <f t="shared" si="100"/>
        <v>TmAg2</v>
      </c>
    </row>
    <row r="709" spans="1:101" ht="15.75" thickBot="1" x14ac:dyDescent="0.3">
      <c r="A709" t="s">
        <v>484</v>
      </c>
      <c r="B709" t="s">
        <v>2182</v>
      </c>
      <c r="C709" t="s">
        <v>3138</v>
      </c>
      <c r="D709" t="s">
        <v>3139</v>
      </c>
      <c r="F709" t="s">
        <v>3140</v>
      </c>
      <c r="G709" t="s">
        <v>2183</v>
      </c>
      <c r="H709">
        <v>682.30200000000002</v>
      </c>
      <c r="I709">
        <v>868</v>
      </c>
      <c r="J709">
        <v>0</v>
      </c>
      <c r="K709" t="s">
        <v>95</v>
      </c>
      <c r="L709">
        <v>-45.265231350000001</v>
      </c>
      <c r="M709">
        <f t="shared" si="101"/>
        <v>-66.341929746651772</v>
      </c>
      <c r="N709" t="s">
        <v>95</v>
      </c>
      <c r="O709" t="s">
        <v>2184</v>
      </c>
      <c r="P709" t="s">
        <v>93</v>
      </c>
      <c r="Q709">
        <v>0</v>
      </c>
      <c r="R709" t="s">
        <v>95</v>
      </c>
      <c r="S709">
        <v>-46.858372799999998</v>
      </c>
      <c r="T709">
        <f t="shared" si="102"/>
        <v>-68.676880325720873</v>
      </c>
      <c r="U709" t="s">
        <v>95</v>
      </c>
      <c r="V709">
        <v>655868</v>
      </c>
      <c r="W709" t="s">
        <v>1362</v>
      </c>
      <c r="X709">
        <v>298</v>
      </c>
      <c r="Y709" t="s">
        <v>480</v>
      </c>
      <c r="Z709">
        <v>-69.2</v>
      </c>
      <c r="AA709" t="s">
        <v>95</v>
      </c>
      <c r="AB709">
        <f t="shared" si="103"/>
        <v>-101.42136473291886</v>
      </c>
      <c r="AC709" t="s">
        <v>93</v>
      </c>
      <c r="AD709">
        <v>4.2</v>
      </c>
      <c r="AE709" t="s">
        <v>95</v>
      </c>
      <c r="AF709" t="s">
        <v>93</v>
      </c>
      <c r="AU709">
        <v>0.625</v>
      </c>
      <c r="CA709">
        <v>0.375</v>
      </c>
      <c r="CR709">
        <f t="shared" si="104"/>
        <v>-66.341929746651772</v>
      </c>
      <c r="CS709">
        <f t="shared" si="105"/>
        <v>-68.676880325720873</v>
      </c>
      <c r="CT709">
        <f t="shared" si="106"/>
        <v>-101.42136473291886</v>
      </c>
      <c r="CU709" s="7">
        <f t="shared" si="107"/>
        <v>-78.81339160176384</v>
      </c>
      <c r="CV709" s="9">
        <f t="shared" si="108"/>
        <v>682.30200000000002</v>
      </c>
      <c r="CW709" t="str">
        <f t="shared" si="100"/>
        <v>Nb5Ge3</v>
      </c>
    </row>
    <row r="710" spans="1:101" ht="15.75" thickBot="1" x14ac:dyDescent="0.3">
      <c r="A710" t="s">
        <v>91</v>
      </c>
      <c r="B710" t="s">
        <v>1913</v>
      </c>
      <c r="C710" t="s">
        <v>3144</v>
      </c>
      <c r="E710" t="s">
        <v>3145</v>
      </c>
      <c r="F710" t="s">
        <v>93</v>
      </c>
      <c r="G710" t="s">
        <v>1914</v>
      </c>
      <c r="H710">
        <v>390.70299999999997</v>
      </c>
      <c r="I710">
        <v>732</v>
      </c>
      <c r="J710">
        <v>0</v>
      </c>
      <c r="K710" t="s">
        <v>95</v>
      </c>
      <c r="L710">
        <v>-33.019513230000001</v>
      </c>
      <c r="M710">
        <f t="shared" si="101"/>
        <v>-84.513078297325606</v>
      </c>
      <c r="N710" t="s">
        <v>95</v>
      </c>
      <c r="O710" t="s">
        <v>1915</v>
      </c>
      <c r="P710" t="s">
        <v>93</v>
      </c>
      <c r="Q710">
        <v>0</v>
      </c>
      <c r="R710" t="s">
        <v>95</v>
      </c>
      <c r="S710">
        <v>-33.612621879999999</v>
      </c>
      <c r="T710">
        <f t="shared" si="102"/>
        <v>-86.031133316099456</v>
      </c>
      <c r="U710" t="s">
        <v>95</v>
      </c>
      <c r="V710">
        <v>27616</v>
      </c>
      <c r="W710" t="s">
        <v>97</v>
      </c>
      <c r="X710">
        <v>298</v>
      </c>
      <c r="Y710" t="s">
        <v>98</v>
      </c>
      <c r="Z710">
        <v>-25.6</v>
      </c>
      <c r="AA710" t="s">
        <v>95</v>
      </c>
      <c r="AB710">
        <f t="shared" si="103"/>
        <v>-65.522916384056444</v>
      </c>
      <c r="AC710" t="s">
        <v>93</v>
      </c>
      <c r="AD710">
        <v>1.9</v>
      </c>
      <c r="AE710" t="s">
        <v>95</v>
      </c>
      <c r="AF710" t="s">
        <v>93</v>
      </c>
      <c r="BL710">
        <v>0.33</v>
      </c>
      <c r="CR710">
        <f t="shared" si="104"/>
        <v>-84.513078297325606</v>
      </c>
      <c r="CS710">
        <f t="shared" si="105"/>
        <v>-86.031133316099456</v>
      </c>
      <c r="CT710">
        <f t="shared" si="106"/>
        <v>-65.522916384056444</v>
      </c>
      <c r="CU710" s="7">
        <f t="shared" si="107"/>
        <v>-78.689042665827174</v>
      </c>
      <c r="CV710" s="9">
        <f t="shared" si="108"/>
        <v>390.70299999999997</v>
      </c>
      <c r="CW710" t="str">
        <f t="shared" si="100"/>
        <v>LuAg2</v>
      </c>
    </row>
    <row r="711" spans="1:101" ht="15.75" thickBot="1" x14ac:dyDescent="0.3">
      <c r="A711" t="s">
        <v>91</v>
      </c>
      <c r="B711" t="s">
        <v>93</v>
      </c>
      <c r="C711" t="s">
        <v>3144</v>
      </c>
      <c r="E711" t="s">
        <v>3145</v>
      </c>
      <c r="F711" t="s">
        <v>93</v>
      </c>
      <c r="G711" t="s">
        <v>209</v>
      </c>
      <c r="H711">
        <v>451.56716</v>
      </c>
      <c r="I711">
        <v>42</v>
      </c>
      <c r="M711">
        <f t="shared" si="101"/>
        <v>0</v>
      </c>
      <c r="O711" t="s">
        <v>93</v>
      </c>
      <c r="P711" t="s">
        <v>93</v>
      </c>
      <c r="T711">
        <f t="shared" si="102"/>
        <v>0</v>
      </c>
      <c r="V711" t="s">
        <v>93</v>
      </c>
      <c r="W711" t="s">
        <v>102</v>
      </c>
      <c r="X711">
        <v>298</v>
      </c>
      <c r="Y711" t="s">
        <v>103</v>
      </c>
      <c r="Z711">
        <v>-35.4</v>
      </c>
      <c r="AA711" t="s">
        <v>95</v>
      </c>
      <c r="AB711">
        <f t="shared" si="103"/>
        <v>-78.393654667004569</v>
      </c>
      <c r="AC711" t="s">
        <v>93</v>
      </c>
      <c r="AD711">
        <v>3.1</v>
      </c>
      <c r="AE711" t="s">
        <v>95</v>
      </c>
      <c r="AF711" t="s">
        <v>93</v>
      </c>
      <c r="AH711" t="s">
        <v>93</v>
      </c>
      <c r="AI711" t="s">
        <v>93</v>
      </c>
      <c r="AJ711" t="s">
        <v>93</v>
      </c>
      <c r="AK711" t="s">
        <v>93</v>
      </c>
      <c r="AR711">
        <v>0.4</v>
      </c>
      <c r="AS711">
        <v>0.3</v>
      </c>
      <c r="AT711">
        <v>0.3</v>
      </c>
      <c r="CR711">
        <f t="shared" si="104"/>
        <v>0</v>
      </c>
      <c r="CS711">
        <f t="shared" si="105"/>
        <v>0</v>
      </c>
      <c r="CT711">
        <f t="shared" si="106"/>
        <v>-78.393654667004569</v>
      </c>
      <c r="CU711" s="7">
        <f t="shared" si="107"/>
        <v>-78.393654667004569</v>
      </c>
      <c r="CV711" s="9">
        <f t="shared" si="108"/>
        <v>451.56716</v>
      </c>
      <c r="CW711" t="str">
        <f t="shared" si="100"/>
        <v>Al4Fe3Ni3</v>
      </c>
    </row>
    <row r="712" spans="1:101" ht="15.75" thickBot="1" x14ac:dyDescent="0.3">
      <c r="A712" t="s">
        <v>91</v>
      </c>
      <c r="B712" t="s">
        <v>2234</v>
      </c>
      <c r="C712" t="s">
        <v>3144</v>
      </c>
      <c r="E712" t="s">
        <v>3145</v>
      </c>
      <c r="F712" t="s">
        <v>93</v>
      </c>
      <c r="G712" t="s">
        <v>2235</v>
      </c>
      <c r="H712">
        <v>1004.02</v>
      </c>
      <c r="I712">
        <v>890</v>
      </c>
      <c r="M712">
        <f t="shared" si="101"/>
        <v>0</v>
      </c>
      <c r="O712" t="s">
        <v>93</v>
      </c>
      <c r="P712" t="s">
        <v>93</v>
      </c>
      <c r="Q712">
        <v>0</v>
      </c>
      <c r="R712" t="s">
        <v>95</v>
      </c>
      <c r="S712">
        <v>-75.168729819999996</v>
      </c>
      <c r="T712">
        <f t="shared" si="102"/>
        <v>-74.867761419095231</v>
      </c>
      <c r="U712" t="s">
        <v>95</v>
      </c>
      <c r="V712">
        <v>8025</v>
      </c>
      <c r="W712" t="s">
        <v>339</v>
      </c>
      <c r="X712">
        <v>298</v>
      </c>
      <c r="Y712" t="s">
        <v>1403</v>
      </c>
      <c r="Z712">
        <v>-82</v>
      </c>
      <c r="AA712" t="s">
        <v>95</v>
      </c>
      <c r="AB712">
        <f t="shared" si="103"/>
        <v>-81.671679847015</v>
      </c>
      <c r="AC712" t="s">
        <v>93</v>
      </c>
      <c r="AD712">
        <v>2.6</v>
      </c>
      <c r="AE712" t="s">
        <v>95</v>
      </c>
      <c r="AF712" t="s">
        <v>93</v>
      </c>
      <c r="AH712" t="s">
        <v>93</v>
      </c>
      <c r="AI712" t="s">
        <v>93</v>
      </c>
      <c r="BI712">
        <v>0.625</v>
      </c>
      <c r="CA712">
        <v>0.375</v>
      </c>
      <c r="CR712">
        <f t="shared" si="104"/>
        <v>0</v>
      </c>
      <c r="CS712">
        <f t="shared" si="105"/>
        <v>-74.867761419095231</v>
      </c>
      <c r="CT712">
        <f t="shared" si="106"/>
        <v>-81.671679847015</v>
      </c>
      <c r="CU712" s="7">
        <f t="shared" si="107"/>
        <v>-78.269720633055115</v>
      </c>
      <c r="CV712" s="9">
        <f t="shared" si="108"/>
        <v>1004.02</v>
      </c>
      <c r="CW712" t="str">
        <f t="shared" si="100"/>
        <v>Gd5Ge3</v>
      </c>
    </row>
    <row r="713" spans="1:101" ht="15.75" thickBot="1" x14ac:dyDescent="0.3">
      <c r="A713" t="s">
        <v>91</v>
      </c>
      <c r="B713" t="s">
        <v>2249</v>
      </c>
      <c r="C713" t="s">
        <v>3144</v>
      </c>
      <c r="E713" t="s">
        <v>3145</v>
      </c>
      <c r="F713" t="s">
        <v>93</v>
      </c>
      <c r="G713" t="s">
        <v>2250</v>
      </c>
      <c r="H713">
        <v>1092.605</v>
      </c>
      <c r="I713">
        <v>897</v>
      </c>
      <c r="M713">
        <f t="shared" si="101"/>
        <v>0</v>
      </c>
      <c r="O713" t="s">
        <v>93</v>
      </c>
      <c r="P713" t="s">
        <v>93</v>
      </c>
      <c r="Q713">
        <v>0</v>
      </c>
      <c r="R713" t="s">
        <v>95</v>
      </c>
      <c r="S713">
        <v>-76.47694516</v>
      </c>
      <c r="T713">
        <f t="shared" si="102"/>
        <v>-69.995053253463055</v>
      </c>
      <c r="U713" t="s">
        <v>95</v>
      </c>
      <c r="V713">
        <v>30459</v>
      </c>
      <c r="W713" t="s">
        <v>339</v>
      </c>
      <c r="X713">
        <v>298</v>
      </c>
      <c r="Y713" t="s">
        <v>1403</v>
      </c>
      <c r="Z713">
        <v>-93.1</v>
      </c>
      <c r="AA713" t="s">
        <v>95</v>
      </c>
      <c r="AB713">
        <f t="shared" si="103"/>
        <v>-85.209201861605976</v>
      </c>
      <c r="AC713" t="s">
        <v>93</v>
      </c>
      <c r="AD713">
        <v>2.2000000000000002</v>
      </c>
      <c r="AE713" t="s">
        <v>95</v>
      </c>
      <c r="AF713" t="s">
        <v>93</v>
      </c>
      <c r="AH713" t="s">
        <v>93</v>
      </c>
      <c r="AI713" t="s">
        <v>93</v>
      </c>
      <c r="BL713">
        <v>0.625</v>
      </c>
      <c r="CA713">
        <v>0.375</v>
      </c>
      <c r="CR713">
        <f t="shared" si="104"/>
        <v>0</v>
      </c>
      <c r="CS713">
        <f t="shared" si="105"/>
        <v>-69.995053253463055</v>
      </c>
      <c r="CT713">
        <f t="shared" si="106"/>
        <v>-85.209201861605976</v>
      </c>
      <c r="CU713" s="7">
        <f t="shared" si="107"/>
        <v>-77.602127557534516</v>
      </c>
      <c r="CV713" s="9">
        <f t="shared" si="108"/>
        <v>1092.605</v>
      </c>
      <c r="CW713" t="str">
        <f t="shared" si="100"/>
        <v>Lu5Ge3</v>
      </c>
    </row>
    <row r="714" spans="1:101" ht="15.75" thickBot="1" x14ac:dyDescent="0.3">
      <c r="A714" t="s">
        <v>91</v>
      </c>
      <c r="B714" t="s">
        <v>1905</v>
      </c>
      <c r="C714" t="s">
        <v>3144</v>
      </c>
      <c r="E714" t="s">
        <v>3145</v>
      </c>
      <c r="F714" t="s">
        <v>93</v>
      </c>
      <c r="G714" t="s">
        <v>1906</v>
      </c>
      <c r="H714">
        <v>382.99599999999998</v>
      </c>
      <c r="I714">
        <v>729</v>
      </c>
      <c r="J714">
        <v>0</v>
      </c>
      <c r="K714" t="s">
        <v>95</v>
      </c>
      <c r="L714">
        <v>-32.086370129999999</v>
      </c>
      <c r="M714">
        <f t="shared" si="101"/>
        <v>-83.777298274655621</v>
      </c>
      <c r="N714" t="s">
        <v>95</v>
      </c>
      <c r="O714" t="s">
        <v>1907</v>
      </c>
      <c r="P714" t="s">
        <v>93</v>
      </c>
      <c r="Q714">
        <v>0</v>
      </c>
      <c r="R714" t="s">
        <v>95</v>
      </c>
      <c r="S714">
        <v>-32.964877659999999</v>
      </c>
      <c r="T714">
        <f t="shared" si="102"/>
        <v>-86.071075572590843</v>
      </c>
      <c r="U714" t="s">
        <v>95</v>
      </c>
      <c r="V714">
        <v>10626</v>
      </c>
      <c r="W714" t="s">
        <v>97</v>
      </c>
      <c r="X714">
        <v>298</v>
      </c>
      <c r="Y714" t="s">
        <v>98</v>
      </c>
      <c r="Z714">
        <v>-24</v>
      </c>
      <c r="AA714" t="s">
        <v>95</v>
      </c>
      <c r="AB714">
        <f t="shared" si="103"/>
        <v>-62.663839831225403</v>
      </c>
      <c r="AC714" t="s">
        <v>93</v>
      </c>
      <c r="AD714">
        <v>2.2999999999999998</v>
      </c>
      <c r="AE714" t="s">
        <v>95</v>
      </c>
      <c r="AF714" t="s">
        <v>93</v>
      </c>
      <c r="BH714">
        <v>0.33</v>
      </c>
      <c r="CR714">
        <f t="shared" si="104"/>
        <v>-83.777298274655621</v>
      </c>
      <c r="CS714">
        <f t="shared" si="105"/>
        <v>-86.071075572590843</v>
      </c>
      <c r="CT714">
        <f t="shared" si="106"/>
        <v>-62.663839831225403</v>
      </c>
      <c r="CU714" s="7">
        <f t="shared" si="107"/>
        <v>-77.504071226157293</v>
      </c>
      <c r="CV714" s="9">
        <f t="shared" si="108"/>
        <v>382.99599999999998</v>
      </c>
      <c r="CW714" t="str">
        <f t="shared" si="100"/>
        <v>ErAg2</v>
      </c>
    </row>
    <row r="715" spans="1:101" ht="15.75" thickBot="1" x14ac:dyDescent="0.3">
      <c r="A715" t="s">
        <v>91</v>
      </c>
      <c r="B715" t="s">
        <v>1606</v>
      </c>
      <c r="C715" t="s">
        <v>3144</v>
      </c>
      <c r="E715" t="s">
        <v>3145</v>
      </c>
      <c r="F715" t="s">
        <v>93</v>
      </c>
      <c r="G715" t="s">
        <v>1607</v>
      </c>
      <c r="H715">
        <v>928.92750000000001</v>
      </c>
      <c r="I715">
        <v>617</v>
      </c>
      <c r="M715">
        <f t="shared" si="101"/>
        <v>0</v>
      </c>
      <c r="O715" t="s">
        <v>93</v>
      </c>
      <c r="P715" t="s">
        <v>93</v>
      </c>
      <c r="Q715">
        <v>0</v>
      </c>
      <c r="R715" t="s">
        <v>95</v>
      </c>
      <c r="S715">
        <v>-67.865383969999996</v>
      </c>
      <c r="T715">
        <f t="shared" si="102"/>
        <v>-73.057783271568539</v>
      </c>
      <c r="U715" t="s">
        <v>95</v>
      </c>
      <c r="V715">
        <v>31067</v>
      </c>
      <c r="W715" t="s">
        <v>339</v>
      </c>
      <c r="X715">
        <v>298</v>
      </c>
      <c r="Y715" t="s">
        <v>1403</v>
      </c>
      <c r="Z715">
        <v>-76.099999999999994</v>
      </c>
      <c r="AA715" t="s">
        <v>95</v>
      </c>
      <c r="AB715">
        <f t="shared" si="103"/>
        <v>-81.922432052016958</v>
      </c>
      <c r="AC715" t="s">
        <v>93</v>
      </c>
      <c r="AD715">
        <v>2.2999999999999998</v>
      </c>
      <c r="AE715" t="s">
        <v>95</v>
      </c>
      <c r="AF715" t="s">
        <v>93</v>
      </c>
      <c r="AH715" t="s">
        <v>93</v>
      </c>
      <c r="AI715" t="s">
        <v>93</v>
      </c>
      <c r="BO715">
        <v>0.625</v>
      </c>
      <c r="BX715">
        <v>0.375</v>
      </c>
      <c r="CR715">
        <f t="shared" si="104"/>
        <v>0</v>
      </c>
      <c r="CS715">
        <f t="shared" si="105"/>
        <v>-73.057783271568539</v>
      </c>
      <c r="CT715">
        <f t="shared" si="106"/>
        <v>-81.922432052016958</v>
      </c>
      <c r="CU715" s="7">
        <f t="shared" si="107"/>
        <v>-77.490107661792749</v>
      </c>
      <c r="CV715" s="9">
        <f t="shared" si="108"/>
        <v>928.92750000000001</v>
      </c>
      <c r="CW715" t="str">
        <f t="shared" si="100"/>
        <v>Tm5Si3</v>
      </c>
    </row>
    <row r="716" spans="1:101" ht="15.75" thickBot="1" x14ac:dyDescent="0.3">
      <c r="A716" t="s">
        <v>91</v>
      </c>
      <c r="B716" t="s">
        <v>93</v>
      </c>
      <c r="C716" t="s">
        <v>3144</v>
      </c>
      <c r="E716" t="s">
        <v>3145</v>
      </c>
      <c r="F716" t="s">
        <v>93</v>
      </c>
      <c r="G716" t="s">
        <v>348</v>
      </c>
      <c r="H716">
        <v>860.68615999999997</v>
      </c>
      <c r="I716">
        <v>146</v>
      </c>
      <c r="M716">
        <f t="shared" si="101"/>
        <v>0</v>
      </c>
      <c r="O716" t="s">
        <v>93</v>
      </c>
      <c r="P716" t="s">
        <v>93</v>
      </c>
      <c r="T716">
        <f t="shared" si="102"/>
        <v>0</v>
      </c>
      <c r="V716" t="s">
        <v>93</v>
      </c>
      <c r="W716" t="s">
        <v>102</v>
      </c>
      <c r="X716">
        <v>298</v>
      </c>
      <c r="Y716" t="s">
        <v>103</v>
      </c>
      <c r="Z716">
        <v>-66.28</v>
      </c>
      <c r="AA716" t="s">
        <v>95</v>
      </c>
      <c r="AB716">
        <f t="shared" si="103"/>
        <v>-77.008325543424561</v>
      </c>
      <c r="AC716" t="s">
        <v>93</v>
      </c>
      <c r="AD716">
        <v>2.93</v>
      </c>
      <c r="AE716" t="s">
        <v>95</v>
      </c>
      <c r="AF716" t="s">
        <v>93</v>
      </c>
      <c r="AH716" t="s">
        <v>93</v>
      </c>
      <c r="AI716" t="s">
        <v>93</v>
      </c>
      <c r="AJ716" t="s">
        <v>93</v>
      </c>
      <c r="AK716" t="s">
        <v>93</v>
      </c>
      <c r="AR716">
        <v>0.4</v>
      </c>
      <c r="AS716">
        <v>0.3</v>
      </c>
      <c r="BB716">
        <v>0.3</v>
      </c>
      <c r="CR716">
        <f t="shared" si="104"/>
        <v>0</v>
      </c>
      <c r="CS716">
        <f t="shared" si="105"/>
        <v>0</v>
      </c>
      <c r="CT716">
        <f t="shared" si="106"/>
        <v>-77.008325543424561</v>
      </c>
      <c r="CU716" s="7">
        <f t="shared" si="107"/>
        <v>-77.008325543424561</v>
      </c>
      <c r="CV716" s="9">
        <f t="shared" si="108"/>
        <v>860.68615999999997</v>
      </c>
      <c r="CW716" t="str">
        <f t="shared" si="100"/>
        <v>Al4Ir3Ni3</v>
      </c>
    </row>
    <row r="717" spans="1:101" ht="15.75" thickBot="1" x14ac:dyDescent="0.3">
      <c r="A717" t="s">
        <v>91</v>
      </c>
      <c r="B717" t="s">
        <v>93</v>
      </c>
      <c r="C717" t="s">
        <v>3144</v>
      </c>
      <c r="E717" t="s">
        <v>3145</v>
      </c>
      <c r="F717" t="s">
        <v>93</v>
      </c>
      <c r="G717" t="s">
        <v>1064</v>
      </c>
      <c r="H717">
        <v>1207.7367999999999</v>
      </c>
      <c r="I717">
        <v>424</v>
      </c>
      <c r="M717">
        <f t="shared" si="101"/>
        <v>0</v>
      </c>
      <c r="O717" t="s">
        <v>93</v>
      </c>
      <c r="P717" t="s">
        <v>93</v>
      </c>
      <c r="T717">
        <f t="shared" si="102"/>
        <v>0</v>
      </c>
      <c r="V717" t="s">
        <v>93</v>
      </c>
      <c r="W717" t="s">
        <v>93</v>
      </c>
      <c r="X717">
        <v>298</v>
      </c>
      <c r="Y717" t="s">
        <v>93</v>
      </c>
      <c r="Z717">
        <v>-93</v>
      </c>
      <c r="AA717" t="s">
        <v>95</v>
      </c>
      <c r="AB717">
        <f t="shared" si="103"/>
        <v>-77.003532557755975</v>
      </c>
      <c r="AC717" t="s">
        <v>93</v>
      </c>
      <c r="AD717">
        <v>1.7</v>
      </c>
      <c r="AE717" t="s">
        <v>95</v>
      </c>
      <c r="AF717" t="s">
        <v>93</v>
      </c>
      <c r="AH717" t="s">
        <v>93</v>
      </c>
      <c r="AI717" t="s">
        <v>93</v>
      </c>
      <c r="AJ717" t="s">
        <v>93</v>
      </c>
      <c r="AK717" t="s">
        <v>93</v>
      </c>
      <c r="AZ717">
        <v>0.56999999999999995</v>
      </c>
      <c r="BO717">
        <v>0.43</v>
      </c>
      <c r="CR717">
        <f t="shared" si="104"/>
        <v>0</v>
      </c>
      <c r="CS717">
        <f t="shared" si="105"/>
        <v>0</v>
      </c>
      <c r="CT717">
        <f t="shared" si="106"/>
        <v>-77.003532557755975</v>
      </c>
      <c r="CU717" s="7">
        <f t="shared" si="107"/>
        <v>-77.003532557755975</v>
      </c>
      <c r="CV717" s="9">
        <f t="shared" si="108"/>
        <v>1207.7367999999999</v>
      </c>
      <c r="CW717" t="str">
        <f t="shared" si="100"/>
        <v>Tm4Pd5</v>
      </c>
    </row>
    <row r="718" spans="1:101" ht="15.75" thickBot="1" x14ac:dyDescent="0.3">
      <c r="A718" t="s">
        <v>91</v>
      </c>
      <c r="B718" t="s">
        <v>1690</v>
      </c>
      <c r="C718" t="s">
        <v>3144</v>
      </c>
      <c r="E718" t="s">
        <v>3145</v>
      </c>
      <c r="F718" t="s">
        <v>93</v>
      </c>
      <c r="G718" t="s">
        <v>1691</v>
      </c>
      <c r="H718">
        <v>513.39419999999996</v>
      </c>
      <c r="I718">
        <v>648</v>
      </c>
      <c r="J718">
        <v>0</v>
      </c>
      <c r="K718" t="s">
        <v>95</v>
      </c>
      <c r="L718">
        <v>-35.305117899999999</v>
      </c>
      <c r="M718">
        <f t="shared" si="101"/>
        <v>-68.768049775396761</v>
      </c>
      <c r="N718" t="s">
        <v>95</v>
      </c>
      <c r="O718" t="s">
        <v>1692</v>
      </c>
      <c r="P718" t="s">
        <v>121</v>
      </c>
      <c r="Q718">
        <v>0</v>
      </c>
      <c r="R718" t="s">
        <v>95</v>
      </c>
      <c r="S718">
        <v>-35.412826469999999</v>
      </c>
      <c r="T718">
        <f t="shared" si="102"/>
        <v>-68.977846789075528</v>
      </c>
      <c r="U718" t="s">
        <v>95</v>
      </c>
      <c r="V718">
        <v>11173</v>
      </c>
      <c r="W718" t="s">
        <v>194</v>
      </c>
      <c r="X718">
        <v>298</v>
      </c>
      <c r="Y718" t="s">
        <v>103</v>
      </c>
      <c r="Z718">
        <v>-47.5</v>
      </c>
      <c r="AA718" t="s">
        <v>95</v>
      </c>
      <c r="AB718">
        <f t="shared" si="103"/>
        <v>-92.5214971263797</v>
      </c>
      <c r="AC718" t="s">
        <v>93</v>
      </c>
      <c r="AD718">
        <v>3.4</v>
      </c>
      <c r="AE718" t="s">
        <v>95</v>
      </c>
      <c r="AF718" t="s">
        <v>93</v>
      </c>
      <c r="BO718">
        <v>0.25</v>
      </c>
      <c r="BZ718">
        <v>0.75</v>
      </c>
      <c r="CR718">
        <f t="shared" si="104"/>
        <v>-68.768049775396761</v>
      </c>
      <c r="CS718">
        <f t="shared" si="105"/>
        <v>-68.977846789075528</v>
      </c>
      <c r="CT718">
        <f t="shared" si="106"/>
        <v>-92.5214971263797</v>
      </c>
      <c r="CU718" s="7">
        <f t="shared" si="107"/>
        <v>-76.755797896950654</v>
      </c>
      <c r="CV718" s="9">
        <f t="shared" si="108"/>
        <v>513.39419999999996</v>
      </c>
      <c r="CW718" t="str">
        <f t="shared" si="100"/>
        <v>TmIn3</v>
      </c>
    </row>
    <row r="719" spans="1:101" ht="15.75" thickBot="1" x14ac:dyDescent="0.3">
      <c r="A719" t="s">
        <v>91</v>
      </c>
      <c r="B719" t="s">
        <v>2789</v>
      </c>
      <c r="C719" t="s">
        <v>3144</v>
      </c>
      <c r="E719" t="s">
        <v>3145</v>
      </c>
      <c r="F719" t="s">
        <v>93</v>
      </c>
      <c r="G719" t="s">
        <v>2790</v>
      </c>
      <c r="H719">
        <v>380.34800000000001</v>
      </c>
      <c r="I719">
        <v>1140</v>
      </c>
      <c r="J719">
        <v>0</v>
      </c>
      <c r="K719" t="s">
        <v>95</v>
      </c>
      <c r="L719">
        <v>-29.477705950000001</v>
      </c>
      <c r="M719">
        <f t="shared" si="101"/>
        <v>-77.501934938529971</v>
      </c>
      <c r="N719" t="s">
        <v>95</v>
      </c>
      <c r="O719" t="s">
        <v>2791</v>
      </c>
      <c r="P719" t="s">
        <v>93</v>
      </c>
      <c r="T719">
        <f t="shared" si="102"/>
        <v>0</v>
      </c>
      <c r="V719" t="s">
        <v>93</v>
      </c>
      <c r="W719" t="s">
        <v>870</v>
      </c>
      <c r="X719">
        <v>298</v>
      </c>
      <c r="Y719" t="s">
        <v>98</v>
      </c>
      <c r="Z719">
        <v>-28.9</v>
      </c>
      <c r="AA719" t="s">
        <v>95</v>
      </c>
      <c r="AB719">
        <f t="shared" si="103"/>
        <v>-75.983047104230849</v>
      </c>
      <c r="AC719" t="s">
        <v>93</v>
      </c>
      <c r="AD719">
        <v>1.3</v>
      </c>
      <c r="AE719" t="s">
        <v>95</v>
      </c>
      <c r="AF719" t="s">
        <v>93</v>
      </c>
      <c r="AJ719" t="s">
        <v>93</v>
      </c>
      <c r="AK719" t="s">
        <v>93</v>
      </c>
      <c r="AT719">
        <v>0.25</v>
      </c>
      <c r="BF719">
        <v>0.5</v>
      </c>
      <c r="CF719">
        <v>0.25</v>
      </c>
      <c r="CR719">
        <f t="shared" si="104"/>
        <v>-77.501934938529971</v>
      </c>
      <c r="CS719">
        <f t="shared" si="105"/>
        <v>0</v>
      </c>
      <c r="CT719">
        <f t="shared" si="106"/>
        <v>-75.983047104230849</v>
      </c>
      <c r="CU719" s="7">
        <f t="shared" si="107"/>
        <v>-76.742491021380403</v>
      </c>
      <c r="CV719" s="9">
        <f t="shared" si="108"/>
        <v>380.34800000000001</v>
      </c>
      <c r="CW719" t="str">
        <f t="shared" si="100"/>
        <v>FeSnRh2</v>
      </c>
    </row>
    <row r="720" spans="1:101" ht="15.75" thickBot="1" x14ac:dyDescent="0.3">
      <c r="A720" t="s">
        <v>91</v>
      </c>
      <c r="B720" t="s">
        <v>1484</v>
      </c>
      <c r="C720" t="s">
        <v>3144</v>
      </c>
      <c r="E720" t="s">
        <v>3145</v>
      </c>
      <c r="F720" t="s">
        <v>93</v>
      </c>
      <c r="G720" t="s">
        <v>1485</v>
      </c>
      <c r="H720">
        <v>908.90849999999898</v>
      </c>
      <c r="I720">
        <v>570</v>
      </c>
      <c r="J720">
        <v>0</v>
      </c>
      <c r="K720" t="s">
        <v>95</v>
      </c>
      <c r="L720">
        <v>-66.838478670000001</v>
      </c>
      <c r="M720">
        <f t="shared" si="101"/>
        <v>-73.537081752453716</v>
      </c>
      <c r="N720" t="s">
        <v>95</v>
      </c>
      <c r="O720" t="s">
        <v>1486</v>
      </c>
      <c r="P720" t="s">
        <v>93</v>
      </c>
      <c r="Q720">
        <v>0</v>
      </c>
      <c r="R720" t="s">
        <v>95</v>
      </c>
      <c r="S720">
        <v>-66.989849059999997</v>
      </c>
      <c r="T720">
        <f t="shared" si="102"/>
        <v>-73.703622597874343</v>
      </c>
      <c r="U720" t="s">
        <v>95</v>
      </c>
      <c r="V720">
        <v>30562</v>
      </c>
      <c r="W720" t="s">
        <v>339</v>
      </c>
      <c r="X720">
        <v>298</v>
      </c>
      <c r="Y720" t="s">
        <v>1403</v>
      </c>
      <c r="Z720">
        <v>-74.599999999999994</v>
      </c>
      <c r="AA720" t="s">
        <v>95</v>
      </c>
      <c r="AB720">
        <f t="shared" si="103"/>
        <v>-82.076468643433401</v>
      </c>
      <c r="AC720" t="s">
        <v>93</v>
      </c>
      <c r="AD720">
        <v>2.1</v>
      </c>
      <c r="AE720" t="s">
        <v>95</v>
      </c>
      <c r="AF720" t="s">
        <v>93</v>
      </c>
      <c r="BJ720">
        <v>0.625</v>
      </c>
      <c r="BX720">
        <v>0.375</v>
      </c>
      <c r="CR720">
        <f t="shared" si="104"/>
        <v>-73.537081752453716</v>
      </c>
      <c r="CS720">
        <f t="shared" si="105"/>
        <v>-73.703622597874343</v>
      </c>
      <c r="CT720">
        <f t="shared" si="106"/>
        <v>-82.076468643433401</v>
      </c>
      <c r="CU720" s="7">
        <f t="shared" si="107"/>
        <v>-76.439057664587153</v>
      </c>
      <c r="CV720" s="9">
        <f t="shared" si="108"/>
        <v>908.90849999999898</v>
      </c>
      <c r="CW720" t="str">
        <f t="shared" si="100"/>
        <v>Ho5Si3</v>
      </c>
    </row>
    <row r="721" spans="1:101" ht="15.75" thickBot="1" x14ac:dyDescent="0.3">
      <c r="A721" t="s">
        <v>91</v>
      </c>
      <c r="B721" t="s">
        <v>2364</v>
      </c>
      <c r="C721" t="s">
        <v>3144</v>
      </c>
      <c r="E721" t="s">
        <v>3145</v>
      </c>
      <c r="F721" t="s">
        <v>93</v>
      </c>
      <c r="G721" t="s">
        <v>2365</v>
      </c>
      <c r="H721">
        <v>291.02800000000002</v>
      </c>
      <c r="I721">
        <v>960</v>
      </c>
      <c r="J721">
        <v>0.57579782999999995</v>
      </c>
      <c r="K721" t="s">
        <v>95</v>
      </c>
      <c r="L721">
        <v>-16.659978290000002</v>
      </c>
      <c r="M721">
        <f t="shared" si="101"/>
        <v>-57.245276365160741</v>
      </c>
      <c r="N721" t="s">
        <v>95</v>
      </c>
      <c r="O721" t="s">
        <v>2366</v>
      </c>
      <c r="P721" t="s">
        <v>93</v>
      </c>
      <c r="Q721">
        <v>0.62135037999999998</v>
      </c>
      <c r="R721" t="s">
        <v>95</v>
      </c>
      <c r="S721">
        <v>-20.060076850000002</v>
      </c>
      <c r="T721">
        <f t="shared" si="102"/>
        <v>-68.928339713017309</v>
      </c>
      <c r="U721" t="s">
        <v>95</v>
      </c>
      <c r="V721">
        <v>647910</v>
      </c>
      <c r="W721" t="s">
        <v>184</v>
      </c>
      <c r="X721">
        <v>298</v>
      </c>
      <c r="Y721" t="s">
        <v>185</v>
      </c>
      <c r="Z721">
        <v>-29.7</v>
      </c>
      <c r="AA721" t="s">
        <v>95</v>
      </c>
      <c r="AB721">
        <f t="shared" si="103"/>
        <v>-102.05203623019091</v>
      </c>
      <c r="AC721" t="s">
        <v>93</v>
      </c>
      <c r="AD721">
        <v>2.9</v>
      </c>
      <c r="AE721" t="s">
        <v>95</v>
      </c>
      <c r="AF721" t="s">
        <v>93</v>
      </c>
      <c r="AS721">
        <v>0.5</v>
      </c>
      <c r="BR721">
        <v>0.25</v>
      </c>
      <c r="CF721">
        <v>0.25</v>
      </c>
      <c r="CR721">
        <f t="shared" si="104"/>
        <v>-57.245276365160741</v>
      </c>
      <c r="CS721">
        <f t="shared" si="105"/>
        <v>-68.928339713017309</v>
      </c>
      <c r="CT721">
        <f t="shared" si="106"/>
        <v>-102.05203623019091</v>
      </c>
      <c r="CU721" s="7">
        <f t="shared" si="107"/>
        <v>-76.075217436122983</v>
      </c>
      <c r="CV721" s="9">
        <f t="shared" si="108"/>
        <v>291.02800000000002</v>
      </c>
      <c r="CW721" t="str">
        <f t="shared" si="100"/>
        <v>MnNi2Sn</v>
      </c>
    </row>
    <row r="722" spans="1:101" ht="15.75" thickBot="1" x14ac:dyDescent="0.3">
      <c r="A722" t="s">
        <v>91</v>
      </c>
      <c r="B722" t="s">
        <v>2215</v>
      </c>
      <c r="C722" t="s">
        <v>3144</v>
      </c>
      <c r="E722" t="s">
        <v>3145</v>
      </c>
      <c r="F722" t="s">
        <v>93</v>
      </c>
      <c r="G722" t="s">
        <v>2216</v>
      </c>
      <c r="H722">
        <v>462.77</v>
      </c>
      <c r="I722">
        <v>881</v>
      </c>
      <c r="J722">
        <v>3.0856194800000001</v>
      </c>
      <c r="K722" t="s">
        <v>95</v>
      </c>
      <c r="L722">
        <v>-34.202558860000003</v>
      </c>
      <c r="M722">
        <f t="shared" si="101"/>
        <v>-73.908332130431972</v>
      </c>
      <c r="N722" t="s">
        <v>95</v>
      </c>
      <c r="O722" t="s">
        <v>2217</v>
      </c>
      <c r="P722" t="s">
        <v>93</v>
      </c>
      <c r="Q722">
        <v>2.8483014400000002</v>
      </c>
      <c r="R722" t="s">
        <v>95</v>
      </c>
      <c r="S722">
        <v>-34.270111790000001</v>
      </c>
      <c r="T722">
        <f t="shared" si="102"/>
        <v>-74.054307301683352</v>
      </c>
      <c r="U722" t="s">
        <v>95</v>
      </c>
      <c r="V722">
        <v>13687</v>
      </c>
      <c r="W722" t="s">
        <v>164</v>
      </c>
      <c r="X722">
        <v>298</v>
      </c>
      <c r="Y722" t="s">
        <v>165</v>
      </c>
      <c r="Z722">
        <v>-37.1</v>
      </c>
      <c r="AA722" t="s">
        <v>95</v>
      </c>
      <c r="AB722">
        <f t="shared" si="103"/>
        <v>-80.1694146120103</v>
      </c>
      <c r="AC722" t="s">
        <v>93</v>
      </c>
      <c r="AD722">
        <v>1.6</v>
      </c>
      <c r="AE722" t="s">
        <v>95</v>
      </c>
      <c r="AF722" t="s">
        <v>93</v>
      </c>
      <c r="AY722">
        <v>0.66</v>
      </c>
      <c r="CA722">
        <v>0.33</v>
      </c>
      <c r="CR722">
        <f t="shared" si="104"/>
        <v>-73.908332130431972</v>
      </c>
      <c r="CS722">
        <f t="shared" si="105"/>
        <v>-74.054307301683352</v>
      </c>
      <c r="CT722">
        <f t="shared" si="106"/>
        <v>-80.1694146120103</v>
      </c>
      <c r="CU722" s="7">
        <f t="shared" si="107"/>
        <v>-76.044018014708556</v>
      </c>
      <c r="CV722" s="9">
        <f t="shared" si="108"/>
        <v>462.77</v>
      </c>
      <c r="CW722" t="str">
        <f t="shared" si="100"/>
        <v>GePt2</v>
      </c>
    </row>
    <row r="723" spans="1:101" ht="15.75" thickBot="1" x14ac:dyDescent="0.3">
      <c r="A723" t="s">
        <v>91</v>
      </c>
      <c r="B723" t="s">
        <v>2728</v>
      </c>
      <c r="C723" t="s">
        <v>3144</v>
      </c>
      <c r="E723" t="s">
        <v>3145</v>
      </c>
      <c r="F723" t="s">
        <v>93</v>
      </c>
      <c r="G723" t="s">
        <v>2729</v>
      </c>
      <c r="H723">
        <v>326.798</v>
      </c>
      <c r="I723">
        <v>1116</v>
      </c>
      <c r="J723">
        <v>0</v>
      </c>
      <c r="K723" t="s">
        <v>95</v>
      </c>
      <c r="L723">
        <v>-24.744970469999998</v>
      </c>
      <c r="M723">
        <f t="shared" si="101"/>
        <v>-75.719467285601496</v>
      </c>
      <c r="N723" t="s">
        <v>95</v>
      </c>
      <c r="O723" t="s">
        <v>2730</v>
      </c>
      <c r="P723" t="s">
        <v>121</v>
      </c>
      <c r="Q723">
        <v>2.225154E-2</v>
      </c>
      <c r="R723" t="s">
        <v>95</v>
      </c>
      <c r="S723">
        <v>-24.50044729</v>
      </c>
      <c r="T723">
        <f t="shared" si="102"/>
        <v>-74.971227761491804</v>
      </c>
      <c r="U723" t="s">
        <v>95</v>
      </c>
      <c r="V723">
        <v>502362</v>
      </c>
      <c r="W723" t="s">
        <v>184</v>
      </c>
      <c r="X723">
        <v>298</v>
      </c>
      <c r="Y723" t="s">
        <v>185</v>
      </c>
      <c r="Z723">
        <v>-25.3</v>
      </c>
      <c r="AA723" t="s">
        <v>95</v>
      </c>
      <c r="AB723">
        <f t="shared" si="103"/>
        <v>-77.417854454433623</v>
      </c>
      <c r="AC723" t="s">
        <v>93</v>
      </c>
      <c r="AD723">
        <v>3</v>
      </c>
      <c r="AE723" t="s">
        <v>95</v>
      </c>
      <c r="AF723" t="s">
        <v>93</v>
      </c>
      <c r="AV723">
        <v>0.5</v>
      </c>
      <c r="BR723">
        <v>0.25</v>
      </c>
      <c r="BY723">
        <v>0.25</v>
      </c>
      <c r="CR723">
        <f t="shared" si="104"/>
        <v>-75.719467285601496</v>
      </c>
      <c r="CS723">
        <f t="shared" si="105"/>
        <v>-74.971227761491804</v>
      </c>
      <c r="CT723">
        <f t="shared" si="106"/>
        <v>-77.417854454433623</v>
      </c>
      <c r="CU723" s="7">
        <f t="shared" si="107"/>
        <v>-76.036183167175636</v>
      </c>
      <c r="CV723" s="9">
        <f t="shared" si="108"/>
        <v>326.798</v>
      </c>
      <c r="CW723" t="str">
        <f t="shared" si="100"/>
        <v>MnGaRu2</v>
      </c>
    </row>
    <row r="724" spans="1:101" ht="15.75" thickBot="1" x14ac:dyDescent="0.3">
      <c r="A724" t="s">
        <v>91</v>
      </c>
      <c r="B724" t="s">
        <v>1498</v>
      </c>
      <c r="C724" t="s">
        <v>3144</v>
      </c>
      <c r="E724" t="s">
        <v>3145</v>
      </c>
      <c r="F724" t="s">
        <v>93</v>
      </c>
      <c r="G724" t="s">
        <v>1499</v>
      </c>
      <c r="H724">
        <v>778.78399999999897</v>
      </c>
      <c r="I724">
        <v>576</v>
      </c>
      <c r="J724">
        <v>0</v>
      </c>
      <c r="K724" t="s">
        <v>95</v>
      </c>
      <c r="L724">
        <v>-58.832092869999997</v>
      </c>
      <c r="M724">
        <f t="shared" si="101"/>
        <v>-75.543530516805774</v>
      </c>
      <c r="N724" t="s">
        <v>95</v>
      </c>
      <c r="O724" t="s">
        <v>1500</v>
      </c>
      <c r="P724" t="s">
        <v>121</v>
      </c>
      <c r="Q724">
        <v>0</v>
      </c>
      <c r="R724" t="s">
        <v>95</v>
      </c>
      <c r="S724">
        <v>-58.219475090000003</v>
      </c>
      <c r="T724">
        <f t="shared" si="102"/>
        <v>-74.756896764699931</v>
      </c>
      <c r="U724" t="s">
        <v>95</v>
      </c>
      <c r="V724">
        <v>16378</v>
      </c>
      <c r="W724" t="s">
        <v>1362</v>
      </c>
      <c r="X724">
        <v>298</v>
      </c>
      <c r="Y724" t="s">
        <v>480</v>
      </c>
      <c r="Z724">
        <v>-60.1</v>
      </c>
      <c r="AA724" t="s">
        <v>95</v>
      </c>
      <c r="AB724">
        <f t="shared" si="103"/>
        <v>-77.171590582241137</v>
      </c>
      <c r="AC724" t="s">
        <v>93</v>
      </c>
      <c r="AD724">
        <v>2.6</v>
      </c>
      <c r="AE724" t="s">
        <v>95</v>
      </c>
      <c r="AF724" t="s">
        <v>93</v>
      </c>
      <c r="AL724">
        <v>0.625</v>
      </c>
      <c r="BX724">
        <v>0.375</v>
      </c>
      <c r="CR724">
        <f t="shared" si="104"/>
        <v>-75.543530516805774</v>
      </c>
      <c r="CS724">
        <f t="shared" si="105"/>
        <v>-74.756896764699931</v>
      </c>
      <c r="CT724">
        <f t="shared" si="106"/>
        <v>-77.171590582241137</v>
      </c>
      <c r="CU724" s="7">
        <f t="shared" si="107"/>
        <v>-75.824005954582276</v>
      </c>
      <c r="CV724" s="9">
        <f t="shared" si="108"/>
        <v>778.78399999999897</v>
      </c>
      <c r="CW724" t="str">
        <f t="shared" si="100"/>
        <v>La5Si3</v>
      </c>
    </row>
    <row r="725" spans="1:101" ht="15.75" thickBot="1" x14ac:dyDescent="0.3">
      <c r="A725" t="s">
        <v>91</v>
      </c>
      <c r="B725" t="s">
        <v>414</v>
      </c>
      <c r="C725" t="s">
        <v>3144</v>
      </c>
      <c r="E725" t="s">
        <v>3145</v>
      </c>
      <c r="F725" t="s">
        <v>93</v>
      </c>
      <c r="G725" t="s">
        <v>415</v>
      </c>
      <c r="H725">
        <v>553.94650000000001</v>
      </c>
      <c r="I725">
        <v>170</v>
      </c>
      <c r="J725">
        <v>0</v>
      </c>
      <c r="K725" t="s">
        <v>95</v>
      </c>
      <c r="L725">
        <v>-42.618370669999997</v>
      </c>
      <c r="M725">
        <f t="shared" si="101"/>
        <v>-76.935896643448416</v>
      </c>
      <c r="N725" t="s">
        <v>95</v>
      </c>
      <c r="O725" t="s">
        <v>416</v>
      </c>
      <c r="P725" t="s">
        <v>121</v>
      </c>
      <c r="Q725">
        <v>0</v>
      </c>
      <c r="R725" t="s">
        <v>95</v>
      </c>
      <c r="S725">
        <v>-42.373341809999999</v>
      </c>
      <c r="T725">
        <f t="shared" si="102"/>
        <v>-76.493563566156666</v>
      </c>
      <c r="U725" t="s">
        <v>95</v>
      </c>
      <c r="V725">
        <v>10733</v>
      </c>
      <c r="W725" t="s">
        <v>97</v>
      </c>
      <c r="X725">
        <v>298</v>
      </c>
      <c r="Y725" t="s">
        <v>98</v>
      </c>
      <c r="Z725">
        <v>-40.76</v>
      </c>
      <c r="AA725" t="s">
        <v>95</v>
      </c>
      <c r="AB725">
        <f t="shared" si="103"/>
        <v>-73.581112977516781</v>
      </c>
      <c r="AC725" t="s">
        <v>93</v>
      </c>
      <c r="AD725">
        <v>4.1399999999999997</v>
      </c>
      <c r="AE725" t="s">
        <v>95</v>
      </c>
      <c r="AF725" t="s">
        <v>93</v>
      </c>
      <c r="AQ725">
        <v>0.66</v>
      </c>
      <c r="BC725">
        <v>0.33</v>
      </c>
      <c r="CR725">
        <f t="shared" si="104"/>
        <v>-76.935896643448416</v>
      </c>
      <c r="CS725">
        <f t="shared" si="105"/>
        <v>-76.493563566156666</v>
      </c>
      <c r="CT725">
        <f t="shared" si="106"/>
        <v>-73.581112977516781</v>
      </c>
      <c r="CU725" s="7">
        <f t="shared" si="107"/>
        <v>-75.670191062373945</v>
      </c>
      <c r="CV725" s="9">
        <f t="shared" si="108"/>
        <v>553.94650000000001</v>
      </c>
      <c r="CW725" t="str">
        <f t="shared" si="100"/>
        <v>Hf2Au</v>
      </c>
    </row>
    <row r="726" spans="1:101" ht="15.75" thickBot="1" x14ac:dyDescent="0.3">
      <c r="A726" t="s">
        <v>91</v>
      </c>
      <c r="B726" t="s">
        <v>1470</v>
      </c>
      <c r="C726" t="s">
        <v>3144</v>
      </c>
      <c r="E726" t="s">
        <v>3145</v>
      </c>
      <c r="F726" t="s">
        <v>93</v>
      </c>
      <c r="G726" t="s">
        <v>1471</v>
      </c>
      <c r="H726">
        <v>870.50649999999996</v>
      </c>
      <c r="I726">
        <v>565</v>
      </c>
      <c r="M726">
        <f t="shared" si="101"/>
        <v>0</v>
      </c>
      <c r="O726" t="s">
        <v>93</v>
      </c>
      <c r="P726" t="s">
        <v>93</v>
      </c>
      <c r="Q726">
        <v>0</v>
      </c>
      <c r="R726" t="s">
        <v>95</v>
      </c>
      <c r="S726">
        <v>-63.418876390000001</v>
      </c>
      <c r="T726">
        <f t="shared" si="102"/>
        <v>-72.852846463524401</v>
      </c>
      <c r="U726" t="s">
        <v>95</v>
      </c>
      <c r="V726">
        <v>30419</v>
      </c>
      <c r="W726" t="s">
        <v>339</v>
      </c>
      <c r="X726">
        <v>298</v>
      </c>
      <c r="Y726" t="s">
        <v>1403</v>
      </c>
      <c r="Z726">
        <v>-68</v>
      </c>
      <c r="AA726" t="s">
        <v>95</v>
      </c>
      <c r="AB726">
        <f t="shared" si="103"/>
        <v>-78.115441986935195</v>
      </c>
      <c r="AC726" t="s">
        <v>93</v>
      </c>
      <c r="AD726">
        <v>2.2999999999999998</v>
      </c>
      <c r="AE726" t="s">
        <v>95</v>
      </c>
      <c r="AF726" t="s">
        <v>93</v>
      </c>
      <c r="AH726" t="s">
        <v>93</v>
      </c>
      <c r="AI726" t="s">
        <v>93</v>
      </c>
      <c r="BI726">
        <v>0.625</v>
      </c>
      <c r="BX726">
        <v>0.375</v>
      </c>
      <c r="CR726">
        <f t="shared" si="104"/>
        <v>0</v>
      </c>
      <c r="CS726">
        <f t="shared" si="105"/>
        <v>-72.852846463524401</v>
      </c>
      <c r="CT726">
        <f t="shared" si="106"/>
        <v>-78.115441986935195</v>
      </c>
      <c r="CU726" s="7">
        <f t="shared" si="107"/>
        <v>-75.484144225229798</v>
      </c>
      <c r="CV726" s="9">
        <f t="shared" si="108"/>
        <v>870.50649999999996</v>
      </c>
      <c r="CW726" t="str">
        <f t="shared" si="100"/>
        <v>Gd5Si3</v>
      </c>
    </row>
    <row r="727" spans="1:101" ht="15.75" thickBot="1" x14ac:dyDescent="0.3">
      <c r="A727" t="s">
        <v>91</v>
      </c>
      <c r="B727" t="s">
        <v>1595</v>
      </c>
      <c r="C727" t="s">
        <v>3144</v>
      </c>
      <c r="E727" t="s">
        <v>3145</v>
      </c>
      <c r="F727" t="s">
        <v>93</v>
      </c>
      <c r="G727" t="s">
        <v>1596</v>
      </c>
      <c r="H727">
        <v>836.25649999999996</v>
      </c>
      <c r="I727">
        <v>613</v>
      </c>
      <c r="M727">
        <f t="shared" si="101"/>
        <v>0</v>
      </c>
      <c r="O727" t="s">
        <v>93</v>
      </c>
      <c r="P727" t="s">
        <v>93</v>
      </c>
      <c r="Q727">
        <v>0</v>
      </c>
      <c r="R727" t="s">
        <v>95</v>
      </c>
      <c r="S727">
        <v>-59.03325237</v>
      </c>
      <c r="T727">
        <f t="shared" si="102"/>
        <v>-70.592279246857871</v>
      </c>
      <c r="U727" t="s">
        <v>95</v>
      </c>
      <c r="V727">
        <v>31250</v>
      </c>
      <c r="W727" t="s">
        <v>339</v>
      </c>
      <c r="X727">
        <v>298</v>
      </c>
      <c r="Y727" t="s">
        <v>1403</v>
      </c>
      <c r="Z727">
        <v>-67.099999999999994</v>
      </c>
      <c r="AA727" t="s">
        <v>95</v>
      </c>
      <c r="AB727">
        <f t="shared" si="103"/>
        <v>-80.23853925201179</v>
      </c>
      <c r="AC727" t="s">
        <v>93</v>
      </c>
      <c r="AD727">
        <v>2.5</v>
      </c>
      <c r="AE727" t="s">
        <v>95</v>
      </c>
      <c r="AF727" t="s">
        <v>93</v>
      </c>
      <c r="AH727" t="s">
        <v>93</v>
      </c>
      <c r="AI727" t="s">
        <v>93</v>
      </c>
      <c r="BN727">
        <v>0.625</v>
      </c>
      <c r="BX727">
        <v>0.375</v>
      </c>
      <c r="CR727">
        <f t="shared" si="104"/>
        <v>0</v>
      </c>
      <c r="CS727">
        <f t="shared" si="105"/>
        <v>-70.592279246857871</v>
      </c>
      <c r="CT727">
        <f t="shared" si="106"/>
        <v>-80.23853925201179</v>
      </c>
      <c r="CU727" s="7">
        <f t="shared" si="107"/>
        <v>-75.41540924943483</v>
      </c>
      <c r="CV727" s="9">
        <f t="shared" si="108"/>
        <v>836.25649999999996</v>
      </c>
      <c r="CW727" t="str">
        <f t="shared" si="100"/>
        <v>Sm5Si3</v>
      </c>
    </row>
    <row r="728" spans="1:101" ht="15.75" thickBot="1" x14ac:dyDescent="0.3">
      <c r="A728" t="s">
        <v>91</v>
      </c>
      <c r="B728" t="s">
        <v>2121</v>
      </c>
      <c r="C728" t="s">
        <v>3144</v>
      </c>
      <c r="E728" t="s">
        <v>3145</v>
      </c>
      <c r="F728" t="s">
        <v>93</v>
      </c>
      <c r="G728" t="s">
        <v>2122</v>
      </c>
      <c r="H728">
        <v>812.17</v>
      </c>
      <c r="I728">
        <v>844</v>
      </c>
      <c r="J728">
        <v>0</v>
      </c>
      <c r="K728" t="s">
        <v>95</v>
      </c>
      <c r="L728">
        <v>-54.613916009999997</v>
      </c>
      <c r="M728">
        <f t="shared" si="101"/>
        <v>-67.244438984449062</v>
      </c>
      <c r="N728" t="s">
        <v>95</v>
      </c>
      <c r="O728" t="s">
        <v>2123</v>
      </c>
      <c r="P728" t="s">
        <v>93</v>
      </c>
      <c r="Q728">
        <v>0</v>
      </c>
      <c r="R728" t="s">
        <v>95</v>
      </c>
      <c r="S728">
        <v>-57.829207400000001</v>
      </c>
      <c r="T728">
        <f t="shared" si="102"/>
        <v>-71.203328613467619</v>
      </c>
      <c r="U728" t="s">
        <v>95</v>
      </c>
      <c r="V728">
        <v>94311</v>
      </c>
      <c r="W728" t="s">
        <v>339</v>
      </c>
      <c r="X728">
        <v>298</v>
      </c>
      <c r="Y728" t="s">
        <v>1403</v>
      </c>
      <c r="Z728">
        <v>-71.2</v>
      </c>
      <c r="AA728" t="s">
        <v>95</v>
      </c>
      <c r="AB728">
        <f t="shared" si="103"/>
        <v>-87.666375266261994</v>
      </c>
      <c r="AC728" t="s">
        <v>93</v>
      </c>
      <c r="AD728">
        <v>2.5</v>
      </c>
      <c r="AE728" t="s">
        <v>95</v>
      </c>
      <c r="AF728" t="s">
        <v>93</v>
      </c>
      <c r="AP728">
        <v>0.625</v>
      </c>
      <c r="CF728">
        <v>0.375</v>
      </c>
      <c r="CR728">
        <f t="shared" si="104"/>
        <v>-67.244438984449062</v>
      </c>
      <c r="CS728">
        <f t="shared" si="105"/>
        <v>-71.203328613467619</v>
      </c>
      <c r="CT728">
        <f t="shared" si="106"/>
        <v>-87.666375266261994</v>
      </c>
      <c r="CU728" s="7">
        <f t="shared" si="107"/>
        <v>-75.371380954726234</v>
      </c>
      <c r="CV728" s="9">
        <f t="shared" si="108"/>
        <v>812.17</v>
      </c>
      <c r="CW728" t="str">
        <f t="shared" si="100"/>
        <v>Zr5Sn3</v>
      </c>
    </row>
    <row r="729" spans="1:101" ht="15.75" thickBot="1" x14ac:dyDescent="0.3">
      <c r="A729" t="s">
        <v>91</v>
      </c>
      <c r="B729" t="s">
        <v>540</v>
      </c>
      <c r="C729" t="s">
        <v>3144</v>
      </c>
      <c r="E729" t="s">
        <v>3145</v>
      </c>
      <c r="F729" t="s">
        <v>93</v>
      </c>
      <c r="G729" t="s">
        <v>541</v>
      </c>
      <c r="H729">
        <v>364.64</v>
      </c>
      <c r="I729">
        <v>220</v>
      </c>
      <c r="M729">
        <f t="shared" si="101"/>
        <v>0</v>
      </c>
      <c r="O729" t="s">
        <v>93</v>
      </c>
      <c r="P729" t="s">
        <v>93</v>
      </c>
      <c r="T729">
        <f t="shared" si="102"/>
        <v>0</v>
      </c>
      <c r="V729" t="s">
        <v>93</v>
      </c>
      <c r="W729" t="s">
        <v>225</v>
      </c>
      <c r="X729">
        <v>298</v>
      </c>
      <c r="Y729" t="s">
        <v>179</v>
      </c>
      <c r="Z729">
        <v>-27.3</v>
      </c>
      <c r="AA729" t="s">
        <v>95</v>
      </c>
      <c r="AB729">
        <f t="shared" si="103"/>
        <v>-74.868363317244416</v>
      </c>
      <c r="AC729" t="s">
        <v>93</v>
      </c>
      <c r="AD729">
        <v>0.9</v>
      </c>
      <c r="AE729" t="s">
        <v>95</v>
      </c>
      <c r="AF729" t="s">
        <v>93</v>
      </c>
      <c r="AH729" t="s">
        <v>93</v>
      </c>
      <c r="AI729" t="s">
        <v>93</v>
      </c>
      <c r="AJ729" t="s">
        <v>93</v>
      </c>
      <c r="AK729" t="s">
        <v>93</v>
      </c>
      <c r="AV729">
        <v>0.66</v>
      </c>
      <c r="BG729">
        <v>0.33</v>
      </c>
      <c r="CR729">
        <f t="shared" si="104"/>
        <v>0</v>
      </c>
      <c r="CS729">
        <f t="shared" si="105"/>
        <v>0</v>
      </c>
      <c r="CT729">
        <f t="shared" si="106"/>
        <v>-74.868363317244416</v>
      </c>
      <c r="CU729" s="7">
        <f t="shared" si="107"/>
        <v>-74.868363317244416</v>
      </c>
      <c r="CV729" s="9">
        <f t="shared" si="108"/>
        <v>364.64</v>
      </c>
      <c r="CW729" t="str">
        <f t="shared" si="100"/>
        <v>DyRu2</v>
      </c>
    </row>
    <row r="730" spans="1:101" ht="15.75" thickBot="1" x14ac:dyDescent="0.3">
      <c r="A730" t="s">
        <v>91</v>
      </c>
      <c r="B730" t="s">
        <v>1762</v>
      </c>
      <c r="C730" t="s">
        <v>3144</v>
      </c>
      <c r="E730" t="s">
        <v>3145</v>
      </c>
      <c r="F730" t="s">
        <v>93</v>
      </c>
      <c r="G730" t="s">
        <v>1763</v>
      </c>
      <c r="H730">
        <v>425.355899999999</v>
      </c>
      <c r="I730">
        <v>673</v>
      </c>
      <c r="J730">
        <v>0</v>
      </c>
      <c r="K730" t="s">
        <v>95</v>
      </c>
      <c r="L730">
        <v>-37.928261630000002</v>
      </c>
      <c r="M730">
        <f t="shared" si="101"/>
        <v>-89.168297959426667</v>
      </c>
      <c r="N730" t="s">
        <v>95</v>
      </c>
      <c r="O730" t="s">
        <v>1764</v>
      </c>
      <c r="P730" t="s">
        <v>121</v>
      </c>
      <c r="Q730">
        <v>0</v>
      </c>
      <c r="R730" t="s">
        <v>95</v>
      </c>
      <c r="S730">
        <v>-37.428457639999998</v>
      </c>
      <c r="T730">
        <f t="shared" si="102"/>
        <v>-87.993272551291952</v>
      </c>
      <c r="U730" t="s">
        <v>95</v>
      </c>
      <c r="V730">
        <v>19315</v>
      </c>
      <c r="W730" t="s">
        <v>225</v>
      </c>
      <c r="X730">
        <v>298</v>
      </c>
      <c r="Y730" t="s">
        <v>179</v>
      </c>
      <c r="Z730">
        <v>-19.7</v>
      </c>
      <c r="AA730" t="s">
        <v>95</v>
      </c>
      <c r="AB730">
        <f t="shared" si="103"/>
        <v>-46.314157156395495</v>
      </c>
      <c r="AC730" t="s">
        <v>93</v>
      </c>
      <c r="AD730">
        <v>1.2</v>
      </c>
      <c r="AE730" t="s">
        <v>95</v>
      </c>
      <c r="AF730" t="s">
        <v>93</v>
      </c>
      <c r="BM730">
        <v>0.66</v>
      </c>
      <c r="CR730">
        <f t="shared" si="104"/>
        <v>-89.168297959426667</v>
      </c>
      <c r="CS730">
        <f t="shared" si="105"/>
        <v>-87.993272551291952</v>
      </c>
      <c r="CT730">
        <f t="shared" si="106"/>
        <v>-46.314157156395495</v>
      </c>
      <c r="CU730" s="7">
        <f t="shared" si="107"/>
        <v>-74.491909222371362</v>
      </c>
      <c r="CV730" s="9">
        <f t="shared" si="108"/>
        <v>425.355899999999</v>
      </c>
      <c r="CW730" t="str">
        <f t="shared" si="100"/>
        <v>ScOs2</v>
      </c>
    </row>
    <row r="731" spans="1:101" ht="15.75" thickBot="1" x14ac:dyDescent="0.3">
      <c r="A731" t="s">
        <v>91</v>
      </c>
      <c r="B731" t="s">
        <v>1410</v>
      </c>
      <c r="C731" t="s">
        <v>3144</v>
      </c>
      <c r="E731" t="s">
        <v>3145</v>
      </c>
      <c r="F731" t="s">
        <v>93</v>
      </c>
      <c r="G731" t="s">
        <v>1411</v>
      </c>
      <c r="H731">
        <v>920.55649999999901</v>
      </c>
      <c r="I731">
        <v>544</v>
      </c>
      <c r="J731">
        <v>0</v>
      </c>
      <c r="K731" t="s">
        <v>95</v>
      </c>
      <c r="L731">
        <v>-67.317522199999999</v>
      </c>
      <c r="M731">
        <f t="shared" si="101"/>
        <v>-73.126985904721849</v>
      </c>
      <c r="N731" t="s">
        <v>95</v>
      </c>
      <c r="O731" t="s">
        <v>1412</v>
      </c>
      <c r="P731" t="s">
        <v>93</v>
      </c>
      <c r="Q731">
        <v>0</v>
      </c>
      <c r="R731" t="s">
        <v>95</v>
      </c>
      <c r="S731">
        <v>-67.674808810000002</v>
      </c>
      <c r="T731">
        <f t="shared" si="102"/>
        <v>-73.515106145033016</v>
      </c>
      <c r="U731" t="s">
        <v>95</v>
      </c>
      <c r="V731">
        <v>10339</v>
      </c>
      <c r="W731" t="s">
        <v>339</v>
      </c>
      <c r="X731">
        <v>298</v>
      </c>
      <c r="Y731" t="s">
        <v>1403</v>
      </c>
      <c r="Z731">
        <v>-70.7</v>
      </c>
      <c r="AA731" t="s">
        <v>95</v>
      </c>
      <c r="AB731">
        <f t="shared" si="103"/>
        <v>-76.801369606319753</v>
      </c>
      <c r="AC731" t="s">
        <v>93</v>
      </c>
      <c r="AD731">
        <v>3.1</v>
      </c>
      <c r="AE731" t="s">
        <v>95</v>
      </c>
      <c r="AF731" t="s">
        <v>93</v>
      </c>
      <c r="BH731">
        <v>0.625</v>
      </c>
      <c r="BX731">
        <v>0.375</v>
      </c>
      <c r="CR731">
        <f t="shared" si="104"/>
        <v>-73.126985904721849</v>
      </c>
      <c r="CS731">
        <f t="shared" si="105"/>
        <v>-73.515106145033016</v>
      </c>
      <c r="CT731">
        <f t="shared" si="106"/>
        <v>-76.801369606319753</v>
      </c>
      <c r="CU731" s="7">
        <f t="shared" si="107"/>
        <v>-74.481153885358211</v>
      </c>
      <c r="CV731" s="9">
        <f t="shared" si="108"/>
        <v>920.55649999999901</v>
      </c>
      <c r="CW731" t="str">
        <f t="shared" si="100"/>
        <v>Er5Si3</v>
      </c>
    </row>
    <row r="732" spans="1:101" ht="15.75" thickBot="1" x14ac:dyDescent="0.3">
      <c r="A732" t="s">
        <v>91</v>
      </c>
      <c r="B732" t="s">
        <v>3005</v>
      </c>
      <c r="C732" t="s">
        <v>3144</v>
      </c>
      <c r="E732" t="s">
        <v>3145</v>
      </c>
      <c r="F732" t="s">
        <v>93</v>
      </c>
      <c r="G732" t="s">
        <v>3006</v>
      </c>
      <c r="H732">
        <v>174.70500000000001</v>
      </c>
      <c r="I732">
        <v>1265</v>
      </c>
      <c r="J732">
        <v>0</v>
      </c>
      <c r="K732" t="s">
        <v>95</v>
      </c>
      <c r="L732">
        <v>-10.40655885</v>
      </c>
      <c r="M732">
        <f t="shared" si="101"/>
        <v>-59.566462608397003</v>
      </c>
      <c r="N732" t="s">
        <v>95</v>
      </c>
      <c r="O732" t="s">
        <v>3007</v>
      </c>
      <c r="P732" t="s">
        <v>93</v>
      </c>
      <c r="Q732">
        <v>0</v>
      </c>
      <c r="R732" t="s">
        <v>95</v>
      </c>
      <c r="S732">
        <v>-10.074252380000001</v>
      </c>
      <c r="T732">
        <f t="shared" si="102"/>
        <v>-57.66436209610486</v>
      </c>
      <c r="U732" t="s">
        <v>95</v>
      </c>
      <c r="V732">
        <v>90153</v>
      </c>
      <c r="W732" t="s">
        <v>102</v>
      </c>
      <c r="X732">
        <v>300</v>
      </c>
      <c r="Y732" t="s">
        <v>103</v>
      </c>
      <c r="Z732">
        <v>-18.5</v>
      </c>
      <c r="AA732" t="s">
        <v>95</v>
      </c>
      <c r="AB732">
        <f t="shared" si="103"/>
        <v>-105.89279070433014</v>
      </c>
      <c r="AF732" t="s">
        <v>93</v>
      </c>
      <c r="BN732">
        <v>0.5</v>
      </c>
      <c r="CC732">
        <v>2</v>
      </c>
      <c r="CD732" t="s">
        <v>95</v>
      </c>
      <c r="CE732" t="s">
        <v>93</v>
      </c>
      <c r="CJ732">
        <v>0.5</v>
      </c>
      <c r="CR732">
        <f t="shared" si="104"/>
        <v>-59.566462608397003</v>
      </c>
      <c r="CS732">
        <f t="shared" si="105"/>
        <v>-57.66436209610486</v>
      </c>
      <c r="CT732">
        <f t="shared" si="106"/>
        <v>-105.89279070433014</v>
      </c>
      <c r="CU732" s="7">
        <f t="shared" si="107"/>
        <v>-74.37453846961067</v>
      </c>
      <c r="CV732" s="9">
        <f t="shared" si="108"/>
        <v>174.70500000000001</v>
      </c>
      <c r="CW732" t="str">
        <f t="shared" si="100"/>
        <v>SmMg</v>
      </c>
    </row>
    <row r="733" spans="1:101" ht="15.75" thickBot="1" x14ac:dyDescent="0.3">
      <c r="A733" t="s">
        <v>91</v>
      </c>
      <c r="B733" t="s">
        <v>2669</v>
      </c>
      <c r="C733" t="s">
        <v>3144</v>
      </c>
      <c r="E733" t="s">
        <v>3145</v>
      </c>
      <c r="F733" t="s">
        <v>93</v>
      </c>
      <c r="G733" t="s">
        <v>2670</v>
      </c>
      <c r="H733">
        <v>240.84950000000001</v>
      </c>
      <c r="I733">
        <v>1090</v>
      </c>
      <c r="M733">
        <f t="shared" si="101"/>
        <v>0</v>
      </c>
      <c r="O733" t="s">
        <v>93</v>
      </c>
      <c r="P733" t="s">
        <v>93</v>
      </c>
      <c r="Q733">
        <v>27.65370519</v>
      </c>
      <c r="R733" t="s">
        <v>95</v>
      </c>
      <c r="S733">
        <v>-5.6266342500000004</v>
      </c>
      <c r="T733">
        <f t="shared" si="102"/>
        <v>-23.361618977826407</v>
      </c>
      <c r="U733" t="s">
        <v>95</v>
      </c>
      <c r="V733">
        <v>526506</v>
      </c>
      <c r="W733" t="s">
        <v>184</v>
      </c>
      <c r="X733">
        <v>298</v>
      </c>
      <c r="Y733" t="s">
        <v>185</v>
      </c>
      <c r="Z733">
        <v>-30</v>
      </c>
      <c r="AA733" t="s">
        <v>95</v>
      </c>
      <c r="AB733">
        <f t="shared" si="103"/>
        <v>-124.55911264088155</v>
      </c>
      <c r="AC733" t="s">
        <v>93</v>
      </c>
      <c r="AD733">
        <v>2</v>
      </c>
      <c r="AE733" t="s">
        <v>95</v>
      </c>
      <c r="AF733" t="s">
        <v>93</v>
      </c>
      <c r="AH733" t="s">
        <v>93</v>
      </c>
      <c r="AI733" t="s">
        <v>93</v>
      </c>
      <c r="AT733">
        <v>0.5</v>
      </c>
      <c r="AV733">
        <v>0.25</v>
      </c>
      <c r="BX733">
        <v>0.25</v>
      </c>
      <c r="CR733">
        <f t="shared" si="104"/>
        <v>0</v>
      </c>
      <c r="CS733">
        <f t="shared" si="105"/>
        <v>-23.361618977826407</v>
      </c>
      <c r="CT733">
        <f t="shared" si="106"/>
        <v>-124.55911264088155</v>
      </c>
      <c r="CU733" s="7">
        <f t="shared" si="107"/>
        <v>-73.960365809353974</v>
      </c>
      <c r="CV733" s="9">
        <f t="shared" si="108"/>
        <v>240.84950000000001</v>
      </c>
      <c r="CW733" t="str">
        <f t="shared" si="100"/>
        <v>Fe2RuSi</v>
      </c>
    </row>
    <row r="734" spans="1:101" ht="15.75" thickBot="1" x14ac:dyDescent="0.3">
      <c r="A734" t="s">
        <v>91</v>
      </c>
      <c r="B734" t="s">
        <v>2197</v>
      </c>
      <c r="C734" t="s">
        <v>3144</v>
      </c>
      <c r="E734" t="s">
        <v>3145</v>
      </c>
      <c r="F734" t="s">
        <v>93</v>
      </c>
      <c r="G734" t="s">
        <v>2198</v>
      </c>
      <c r="H734">
        <v>912.29749999999899</v>
      </c>
      <c r="I734">
        <v>874</v>
      </c>
      <c r="M734">
        <f t="shared" si="101"/>
        <v>0</v>
      </c>
      <c r="O734" t="s">
        <v>93</v>
      </c>
      <c r="P734" t="s">
        <v>93</v>
      </c>
      <c r="Q734">
        <v>2.71749873</v>
      </c>
      <c r="R734" t="s">
        <v>95</v>
      </c>
      <c r="S734">
        <v>-67.12764627</v>
      </c>
      <c r="T734">
        <f t="shared" si="102"/>
        <v>-73.580872763544861</v>
      </c>
      <c r="U734" t="s">
        <v>95</v>
      </c>
      <c r="V734">
        <v>8070</v>
      </c>
      <c r="W734" t="s">
        <v>339</v>
      </c>
      <c r="X734">
        <v>298</v>
      </c>
      <c r="Y734" t="s">
        <v>1403</v>
      </c>
      <c r="Z734">
        <v>-67.8</v>
      </c>
      <c r="AA734" t="s">
        <v>95</v>
      </c>
      <c r="AB734">
        <f t="shared" si="103"/>
        <v>-74.317862320131397</v>
      </c>
      <c r="AC734" t="s">
        <v>93</v>
      </c>
      <c r="AD734">
        <v>1</v>
      </c>
      <c r="AE734" t="s">
        <v>95</v>
      </c>
      <c r="AF734" t="s">
        <v>93</v>
      </c>
      <c r="AH734" t="s">
        <v>93</v>
      </c>
      <c r="AI734" t="s">
        <v>93</v>
      </c>
      <c r="AL734">
        <v>0.625</v>
      </c>
      <c r="CA734">
        <v>0.375</v>
      </c>
      <c r="CR734">
        <f t="shared" si="104"/>
        <v>0</v>
      </c>
      <c r="CS734">
        <f t="shared" si="105"/>
        <v>-73.580872763544861</v>
      </c>
      <c r="CT734">
        <f t="shared" si="106"/>
        <v>-74.317862320131397</v>
      </c>
      <c r="CU734" s="7">
        <f t="shared" si="107"/>
        <v>-73.949367541838129</v>
      </c>
      <c r="CV734" s="9">
        <f t="shared" si="108"/>
        <v>912.29749999999899</v>
      </c>
      <c r="CW734" t="str">
        <f t="shared" si="100"/>
        <v>La5Ge3</v>
      </c>
    </row>
    <row r="735" spans="1:101" ht="15.75" thickBot="1" x14ac:dyDescent="0.3">
      <c r="A735" t="s">
        <v>91</v>
      </c>
      <c r="B735" t="s">
        <v>2229</v>
      </c>
      <c r="C735" t="s">
        <v>3144</v>
      </c>
      <c r="E735" t="s">
        <v>3145</v>
      </c>
      <c r="F735" t="s">
        <v>93</v>
      </c>
      <c r="G735" t="s">
        <v>2230</v>
      </c>
      <c r="H735">
        <v>938.97</v>
      </c>
      <c r="I735">
        <v>888</v>
      </c>
      <c r="J735">
        <v>0</v>
      </c>
      <c r="K735" t="s">
        <v>95</v>
      </c>
      <c r="L735">
        <v>-68.021014280000003</v>
      </c>
      <c r="M735">
        <f t="shared" si="101"/>
        <v>-72.442159259614257</v>
      </c>
      <c r="N735" t="s">
        <v>95</v>
      </c>
      <c r="O735" t="s">
        <v>2231</v>
      </c>
      <c r="P735" t="s">
        <v>93</v>
      </c>
      <c r="Q735">
        <v>0</v>
      </c>
      <c r="R735" t="s">
        <v>95</v>
      </c>
      <c r="S735">
        <v>-68.136302540000003</v>
      </c>
      <c r="T735">
        <f t="shared" si="102"/>
        <v>-72.564940882030314</v>
      </c>
      <c r="U735" t="s">
        <v>95</v>
      </c>
      <c r="V735">
        <v>647275</v>
      </c>
      <c r="W735" t="s">
        <v>339</v>
      </c>
      <c r="X735">
        <v>298</v>
      </c>
      <c r="Y735" t="s">
        <v>1403</v>
      </c>
      <c r="Z735">
        <v>-72.099999999999994</v>
      </c>
      <c r="AA735" t="s">
        <v>95</v>
      </c>
      <c r="AB735">
        <f t="shared" si="103"/>
        <v>-76.786265801889286</v>
      </c>
      <c r="AC735" t="s">
        <v>93</v>
      </c>
      <c r="AD735">
        <v>1.6</v>
      </c>
      <c r="AE735" t="s">
        <v>95</v>
      </c>
      <c r="AF735" t="s">
        <v>93</v>
      </c>
      <c r="AO735">
        <v>0.625</v>
      </c>
      <c r="CA735">
        <v>0.375</v>
      </c>
      <c r="CR735">
        <f t="shared" si="104"/>
        <v>-72.442159259614257</v>
      </c>
      <c r="CS735">
        <f t="shared" si="105"/>
        <v>-72.564940882030314</v>
      </c>
      <c r="CT735">
        <f t="shared" si="106"/>
        <v>-76.786265801889286</v>
      </c>
      <c r="CU735" s="7">
        <f t="shared" si="107"/>
        <v>-73.931121981177952</v>
      </c>
      <c r="CV735" s="9">
        <f t="shared" si="108"/>
        <v>938.97</v>
      </c>
      <c r="CW735" t="str">
        <f t="shared" si="100"/>
        <v>Nd5Ge3</v>
      </c>
    </row>
    <row r="736" spans="1:101" ht="15.75" thickBot="1" x14ac:dyDescent="0.3">
      <c r="A736" t="s">
        <v>91</v>
      </c>
      <c r="B736" t="s">
        <v>507</v>
      </c>
      <c r="C736" t="s">
        <v>3144</v>
      </c>
      <c r="E736" t="s">
        <v>3145</v>
      </c>
      <c r="F736" t="s">
        <v>93</v>
      </c>
      <c r="G736" t="s">
        <v>508</v>
      </c>
      <c r="H736">
        <v>265.9975</v>
      </c>
      <c r="I736">
        <v>205</v>
      </c>
      <c r="J736">
        <v>0</v>
      </c>
      <c r="K736" t="s">
        <v>95</v>
      </c>
      <c r="L736">
        <v>-21.016627379999999</v>
      </c>
      <c r="M736">
        <f t="shared" si="101"/>
        <v>-79.010619949435608</v>
      </c>
      <c r="N736" t="s">
        <v>95</v>
      </c>
      <c r="O736" t="s">
        <v>509</v>
      </c>
      <c r="P736" t="s">
        <v>93</v>
      </c>
      <c r="Q736">
        <v>0</v>
      </c>
      <c r="R736" t="s">
        <v>95</v>
      </c>
      <c r="S736">
        <v>-21.44428121</v>
      </c>
      <c r="T736">
        <f t="shared" si="102"/>
        <v>-80.618356225152482</v>
      </c>
      <c r="U736" t="s">
        <v>95</v>
      </c>
      <c r="V736">
        <v>29715</v>
      </c>
      <c r="W736" t="s">
        <v>510</v>
      </c>
      <c r="X736">
        <v>298</v>
      </c>
      <c r="Y736" t="s">
        <v>170</v>
      </c>
      <c r="Z736">
        <v>-16.16</v>
      </c>
      <c r="AA736" t="s">
        <v>95</v>
      </c>
      <c r="AB736">
        <f t="shared" si="103"/>
        <v>-60.752450680927453</v>
      </c>
      <c r="AC736" t="s">
        <v>93</v>
      </c>
      <c r="AD736">
        <v>1.59</v>
      </c>
      <c r="AE736" t="s">
        <v>95</v>
      </c>
      <c r="AF736" t="s">
        <v>93</v>
      </c>
      <c r="AL736">
        <v>0.33</v>
      </c>
      <c r="AX736">
        <v>0.66</v>
      </c>
      <c r="CR736">
        <f t="shared" si="104"/>
        <v>-79.010619949435608</v>
      </c>
      <c r="CS736">
        <f t="shared" si="105"/>
        <v>-80.618356225152482</v>
      </c>
      <c r="CT736">
        <f t="shared" si="106"/>
        <v>-60.752450680927453</v>
      </c>
      <c r="CU736" s="7">
        <f t="shared" si="107"/>
        <v>-73.460475618505185</v>
      </c>
      <c r="CV736" s="9">
        <f t="shared" si="108"/>
        <v>265.9975</v>
      </c>
      <c r="CW736" t="str">
        <f t="shared" si="100"/>
        <v>LaCu2</v>
      </c>
    </row>
    <row r="737" spans="1:101" ht="15.75" thickBot="1" x14ac:dyDescent="0.3">
      <c r="A737" t="s">
        <v>91</v>
      </c>
      <c r="B737" t="s">
        <v>1349</v>
      </c>
      <c r="C737" t="s">
        <v>3144</v>
      </c>
      <c r="E737" t="s">
        <v>3145</v>
      </c>
      <c r="F737" t="s">
        <v>93</v>
      </c>
      <c r="G737" t="s">
        <v>1350</v>
      </c>
      <c r="H737">
        <v>182.94739999999999</v>
      </c>
      <c r="I737">
        <v>524</v>
      </c>
      <c r="J737">
        <v>4.2795381299999997</v>
      </c>
      <c r="K737" t="s">
        <v>95</v>
      </c>
      <c r="L737">
        <v>-18.21869118</v>
      </c>
      <c r="M737">
        <f t="shared" si="101"/>
        <v>-99.584313196033406</v>
      </c>
      <c r="N737" t="s">
        <v>95</v>
      </c>
      <c r="O737" t="s">
        <v>1351</v>
      </c>
      <c r="P737" t="s">
        <v>93</v>
      </c>
      <c r="Q737">
        <v>4.09434261</v>
      </c>
      <c r="R737" t="s">
        <v>95</v>
      </c>
      <c r="S737">
        <v>2.55835211</v>
      </c>
      <c r="T737">
        <f t="shared" si="102"/>
        <v>13.984085644289015</v>
      </c>
      <c r="U737" t="s">
        <v>95</v>
      </c>
      <c r="V737">
        <v>13374</v>
      </c>
      <c r="W737" t="s">
        <v>97</v>
      </c>
      <c r="X737">
        <v>298</v>
      </c>
      <c r="Y737" t="s">
        <v>98</v>
      </c>
      <c r="Z737">
        <v>-24.6</v>
      </c>
      <c r="AA737" t="s">
        <v>95</v>
      </c>
      <c r="AB737">
        <f t="shared" si="103"/>
        <v>-134.46487897614287</v>
      </c>
      <c r="AC737" t="s">
        <v>93</v>
      </c>
      <c r="AD737">
        <v>1</v>
      </c>
      <c r="AE737" t="s">
        <v>95</v>
      </c>
      <c r="AF737" t="s">
        <v>93</v>
      </c>
      <c r="BK737">
        <v>0.33</v>
      </c>
      <c r="BU737">
        <v>0.66</v>
      </c>
      <c r="CR737">
        <f t="shared" si="104"/>
        <v>-99.584313196033406</v>
      </c>
      <c r="CS737">
        <f t="shared" si="105"/>
        <v>13.984085644289015</v>
      </c>
      <c r="CT737">
        <f t="shared" si="106"/>
        <v>-134.46487897614287</v>
      </c>
      <c r="CU737" s="7">
        <f t="shared" si="107"/>
        <v>-73.35503550929576</v>
      </c>
      <c r="CV737" s="9">
        <f t="shared" si="108"/>
        <v>182.94739999999999</v>
      </c>
      <c r="CW737" t="str">
        <f t="shared" si="100"/>
        <v>TbC2</v>
      </c>
    </row>
    <row r="738" spans="1:101" ht="15.75" thickBot="1" x14ac:dyDescent="0.3">
      <c r="A738" t="s">
        <v>91</v>
      </c>
      <c r="B738" t="s">
        <v>93</v>
      </c>
      <c r="C738" t="s">
        <v>3144</v>
      </c>
      <c r="E738" t="s">
        <v>3145</v>
      </c>
      <c r="F738" t="s">
        <v>93</v>
      </c>
      <c r="G738" t="s">
        <v>552</v>
      </c>
      <c r="H738">
        <v>1182</v>
      </c>
      <c r="I738">
        <v>225</v>
      </c>
      <c r="M738">
        <f t="shared" si="101"/>
        <v>0</v>
      </c>
      <c r="O738" t="s">
        <v>93</v>
      </c>
      <c r="P738" t="s">
        <v>93</v>
      </c>
      <c r="T738">
        <f t="shared" si="102"/>
        <v>0</v>
      </c>
      <c r="V738" t="s">
        <v>93</v>
      </c>
      <c r="W738" t="s">
        <v>93</v>
      </c>
      <c r="X738">
        <v>298</v>
      </c>
      <c r="Y738" t="s">
        <v>93</v>
      </c>
      <c r="Z738">
        <v>-86.6</v>
      </c>
      <c r="AA738" t="s">
        <v>95</v>
      </c>
      <c r="AB738">
        <f t="shared" si="103"/>
        <v>-73.265651438240269</v>
      </c>
      <c r="AC738" t="s">
        <v>93</v>
      </c>
      <c r="AD738">
        <v>2.1</v>
      </c>
      <c r="AE738" t="s">
        <v>95</v>
      </c>
      <c r="AF738" t="s">
        <v>93</v>
      </c>
      <c r="AH738" t="s">
        <v>93</v>
      </c>
      <c r="AI738" t="s">
        <v>93</v>
      </c>
      <c r="AJ738" t="s">
        <v>93</v>
      </c>
      <c r="AK738" t="s">
        <v>93</v>
      </c>
      <c r="AZ738">
        <v>0.56999999999999995</v>
      </c>
      <c r="BG738">
        <v>0.43</v>
      </c>
      <c r="CR738">
        <f t="shared" si="104"/>
        <v>0</v>
      </c>
      <c r="CS738">
        <f t="shared" si="105"/>
        <v>0</v>
      </c>
      <c r="CT738">
        <f t="shared" si="106"/>
        <v>-73.265651438240269</v>
      </c>
      <c r="CU738" s="7">
        <f t="shared" si="107"/>
        <v>-73.265651438240269</v>
      </c>
      <c r="CV738" s="9">
        <f t="shared" si="108"/>
        <v>1182</v>
      </c>
      <c r="CW738" t="str">
        <f t="shared" si="100"/>
        <v>Dy4Pd5</v>
      </c>
    </row>
    <row r="739" spans="1:101" ht="15.75" thickBot="1" x14ac:dyDescent="0.3">
      <c r="A739" t="s">
        <v>91</v>
      </c>
      <c r="B739" t="s">
        <v>2367</v>
      </c>
      <c r="C739" t="s">
        <v>3144</v>
      </c>
      <c r="E739" t="s">
        <v>3145</v>
      </c>
      <c r="F739" t="s">
        <v>93</v>
      </c>
      <c r="G739" t="s">
        <v>2368</v>
      </c>
      <c r="H739">
        <v>200.69494</v>
      </c>
      <c r="I739">
        <v>961</v>
      </c>
      <c r="M739">
        <f t="shared" si="101"/>
        <v>0</v>
      </c>
      <c r="O739" t="s">
        <v>93</v>
      </c>
      <c r="P739" t="s">
        <v>121</v>
      </c>
      <c r="T739">
        <f t="shared" si="102"/>
        <v>0</v>
      </c>
      <c r="V739" t="s">
        <v>93</v>
      </c>
      <c r="W739" t="s">
        <v>102</v>
      </c>
      <c r="X739">
        <v>298</v>
      </c>
      <c r="Y739" t="s">
        <v>103</v>
      </c>
      <c r="Z739">
        <v>-14.7</v>
      </c>
      <c r="AA739" t="s">
        <v>95</v>
      </c>
      <c r="AB739">
        <f t="shared" si="103"/>
        <v>-73.245493882406791</v>
      </c>
      <c r="AC739" t="s">
        <v>93</v>
      </c>
      <c r="AD739">
        <v>1.7</v>
      </c>
      <c r="AE739" t="s">
        <v>95</v>
      </c>
      <c r="AF739" t="s">
        <v>93</v>
      </c>
      <c r="AH739" t="s">
        <v>93</v>
      </c>
      <c r="AI739" t="s">
        <v>93</v>
      </c>
      <c r="AJ739" t="s">
        <v>93</v>
      </c>
      <c r="AK739" t="s">
        <v>93</v>
      </c>
      <c r="AR739">
        <v>0.25</v>
      </c>
      <c r="AT739">
        <v>0.25</v>
      </c>
      <c r="AW739">
        <v>0.5</v>
      </c>
      <c r="CR739">
        <f t="shared" si="104"/>
        <v>0</v>
      </c>
      <c r="CS739">
        <f t="shared" si="105"/>
        <v>0</v>
      </c>
      <c r="CT739">
        <f t="shared" si="106"/>
        <v>-73.245493882406791</v>
      </c>
      <c r="CU739" s="7">
        <f t="shared" si="107"/>
        <v>-73.245493882406791</v>
      </c>
      <c r="CV739" s="9">
        <f t="shared" si="108"/>
        <v>200.69494</v>
      </c>
      <c r="CW739" t="str">
        <f t="shared" si="100"/>
        <v>Co2FeAl</v>
      </c>
    </row>
    <row r="740" spans="1:101" ht="15.75" thickBot="1" x14ac:dyDescent="0.3">
      <c r="A740" t="s">
        <v>91</v>
      </c>
      <c r="B740" t="s">
        <v>2225</v>
      </c>
      <c r="C740" t="s">
        <v>3144</v>
      </c>
      <c r="E740" t="s">
        <v>3145</v>
      </c>
      <c r="F740" t="s">
        <v>93</v>
      </c>
      <c r="G740" t="s">
        <v>2226</v>
      </c>
      <c r="H740">
        <v>922.30849999999998</v>
      </c>
      <c r="I740">
        <v>886</v>
      </c>
      <c r="J740">
        <v>1.3164535399999999</v>
      </c>
      <c r="K740" t="s">
        <v>95</v>
      </c>
      <c r="L740">
        <v>-65.996752779999994</v>
      </c>
      <c r="M740">
        <f t="shared" si="101"/>
        <v>-71.556049608130024</v>
      </c>
      <c r="N740" t="s">
        <v>95</v>
      </c>
      <c r="O740" t="s">
        <v>2227</v>
      </c>
      <c r="P740" t="s">
        <v>93</v>
      </c>
      <c r="Q740">
        <v>1.4817913300000001</v>
      </c>
      <c r="R740" t="s">
        <v>95</v>
      </c>
      <c r="S740">
        <v>-66.124796200000006</v>
      </c>
      <c r="T740">
        <f t="shared" si="102"/>
        <v>-71.69487888271658</v>
      </c>
      <c r="U740" t="s">
        <v>95</v>
      </c>
      <c r="V740">
        <v>20668</v>
      </c>
      <c r="W740" t="s">
        <v>339</v>
      </c>
      <c r="X740">
        <v>298</v>
      </c>
      <c r="Y740" t="s">
        <v>1403</v>
      </c>
      <c r="Z740">
        <v>-70.400000000000006</v>
      </c>
      <c r="AA740" t="s">
        <v>95</v>
      </c>
      <c r="AB740">
        <f t="shared" si="103"/>
        <v>-76.330208384721601</v>
      </c>
      <c r="AC740" t="s">
        <v>93</v>
      </c>
      <c r="AD740">
        <v>2.2999999999999998</v>
      </c>
      <c r="AE740" t="s">
        <v>95</v>
      </c>
      <c r="AF740" t="s">
        <v>93</v>
      </c>
      <c r="AN740">
        <v>0.625</v>
      </c>
      <c r="CA740">
        <v>0.375</v>
      </c>
      <c r="CR740">
        <f t="shared" si="104"/>
        <v>-71.556049608130024</v>
      </c>
      <c r="CS740">
        <f t="shared" si="105"/>
        <v>-71.69487888271658</v>
      </c>
      <c r="CT740">
        <f t="shared" si="106"/>
        <v>-76.330208384721601</v>
      </c>
      <c r="CU740" s="7">
        <f t="shared" si="107"/>
        <v>-73.193712291856073</v>
      </c>
      <c r="CV740" s="9">
        <f t="shared" si="108"/>
        <v>922.30849999999998</v>
      </c>
      <c r="CW740" t="str">
        <f t="shared" si="100"/>
        <v>Pr5Ge3</v>
      </c>
    </row>
    <row r="741" spans="1:101" ht="15.75" thickBot="1" x14ac:dyDescent="0.3">
      <c r="A741" t="s">
        <v>91</v>
      </c>
      <c r="B741" t="s">
        <v>1893</v>
      </c>
      <c r="C741" t="s">
        <v>3144</v>
      </c>
      <c r="E741" t="s">
        <v>3145</v>
      </c>
      <c r="F741" t="s">
        <v>93</v>
      </c>
      <c r="G741" t="s">
        <v>1894</v>
      </c>
      <c r="H741">
        <v>356.643699999999</v>
      </c>
      <c r="I741">
        <v>723</v>
      </c>
      <c r="M741">
        <f t="shared" si="101"/>
        <v>0</v>
      </c>
      <c r="O741" t="s">
        <v>93</v>
      </c>
      <c r="P741" t="s">
        <v>93</v>
      </c>
      <c r="Q741">
        <v>0</v>
      </c>
      <c r="R741" t="s">
        <v>95</v>
      </c>
      <c r="S741">
        <v>-27.436928290000001</v>
      </c>
      <c r="T741">
        <f t="shared" si="102"/>
        <v>-76.930920944348884</v>
      </c>
      <c r="U741" t="s">
        <v>95</v>
      </c>
      <c r="V741">
        <v>27628</v>
      </c>
      <c r="W741" t="s">
        <v>364</v>
      </c>
      <c r="X741">
        <v>298</v>
      </c>
      <c r="Y741" t="s">
        <v>365</v>
      </c>
      <c r="Z741">
        <v>-24.7</v>
      </c>
      <c r="AA741" t="s">
        <v>95</v>
      </c>
      <c r="AB741">
        <f t="shared" si="103"/>
        <v>-69.256796068457319</v>
      </c>
      <c r="AC741" t="s">
        <v>93</v>
      </c>
      <c r="AD741">
        <v>1.6</v>
      </c>
      <c r="AE741" t="s">
        <v>95</v>
      </c>
      <c r="AF741" t="s">
        <v>93</v>
      </c>
      <c r="AH741" t="s">
        <v>93</v>
      </c>
      <c r="AI741" t="s">
        <v>93</v>
      </c>
      <c r="AN741">
        <v>0.33</v>
      </c>
      <c r="CR741">
        <f t="shared" si="104"/>
        <v>0</v>
      </c>
      <c r="CS741">
        <f t="shared" si="105"/>
        <v>-76.930920944348884</v>
      </c>
      <c r="CT741">
        <f t="shared" si="106"/>
        <v>-69.256796068457319</v>
      </c>
      <c r="CU741" s="7">
        <f t="shared" si="107"/>
        <v>-73.093858506403109</v>
      </c>
      <c r="CV741" s="9">
        <f t="shared" si="108"/>
        <v>356.643699999999</v>
      </c>
      <c r="CW741" t="str">
        <f t="shared" si="100"/>
        <v>PrAg2</v>
      </c>
    </row>
    <row r="742" spans="1:101" ht="15.75" thickBot="1" x14ac:dyDescent="0.3">
      <c r="A742" t="s">
        <v>91</v>
      </c>
      <c r="B742" t="s">
        <v>93</v>
      </c>
      <c r="C742" t="s">
        <v>3144</v>
      </c>
      <c r="E742" t="s">
        <v>3145</v>
      </c>
      <c r="F742" t="s">
        <v>93</v>
      </c>
      <c r="G742" t="s">
        <v>981</v>
      </c>
      <c r="H742">
        <v>910.31650000000002</v>
      </c>
      <c r="I742">
        <v>392</v>
      </c>
      <c r="M742">
        <f t="shared" si="101"/>
        <v>0</v>
      </c>
      <c r="O742" t="s">
        <v>93</v>
      </c>
      <c r="P742" t="s">
        <v>93</v>
      </c>
      <c r="T742">
        <f t="shared" si="102"/>
        <v>0</v>
      </c>
      <c r="V742" t="s">
        <v>93</v>
      </c>
      <c r="W742" t="s">
        <v>93</v>
      </c>
      <c r="X742">
        <v>298</v>
      </c>
      <c r="Y742" t="s">
        <v>93</v>
      </c>
      <c r="Z742">
        <v>-66.5</v>
      </c>
      <c r="AA742" t="s">
        <v>95</v>
      </c>
      <c r="AB742">
        <f t="shared" si="103"/>
        <v>-73.05151559924488</v>
      </c>
      <c r="AC742" t="s">
        <v>93</v>
      </c>
      <c r="AD742">
        <v>1</v>
      </c>
      <c r="AE742" t="s">
        <v>95</v>
      </c>
      <c r="AF742" t="s">
        <v>93</v>
      </c>
      <c r="AH742" t="s">
        <v>93</v>
      </c>
      <c r="AI742" t="s">
        <v>93</v>
      </c>
      <c r="AJ742" t="s">
        <v>93</v>
      </c>
      <c r="AK742" t="s">
        <v>93</v>
      </c>
      <c r="BF742">
        <v>0.44</v>
      </c>
      <c r="BN742">
        <v>0.56000000000000005</v>
      </c>
      <c r="CR742">
        <f t="shared" si="104"/>
        <v>0</v>
      </c>
      <c r="CS742">
        <f t="shared" si="105"/>
        <v>0</v>
      </c>
      <c r="CT742">
        <f t="shared" si="106"/>
        <v>-73.05151559924488</v>
      </c>
      <c r="CU742" s="7">
        <f t="shared" si="107"/>
        <v>-73.05151559924488</v>
      </c>
      <c r="CV742" s="9">
        <f t="shared" si="108"/>
        <v>910.31650000000002</v>
      </c>
      <c r="CW742" t="str">
        <f t="shared" si="100"/>
        <v>Rh3Sm4</v>
      </c>
    </row>
    <row r="743" spans="1:101" ht="15.75" thickBot="1" x14ac:dyDescent="0.3">
      <c r="A743" t="s">
        <v>91</v>
      </c>
      <c r="B743" t="s">
        <v>663</v>
      </c>
      <c r="C743" t="s">
        <v>3144</v>
      </c>
      <c r="E743" t="s">
        <v>3145</v>
      </c>
      <c r="F743" t="s">
        <v>93</v>
      </c>
      <c r="G743" t="s">
        <v>664</v>
      </c>
      <c r="H743">
        <v>367.07039999999898</v>
      </c>
      <c r="I743">
        <v>268</v>
      </c>
      <c r="M743">
        <f t="shared" si="101"/>
        <v>0</v>
      </c>
      <c r="O743" t="s">
        <v>93</v>
      </c>
      <c r="P743" t="s">
        <v>93</v>
      </c>
      <c r="T743">
        <f t="shared" si="102"/>
        <v>0</v>
      </c>
      <c r="V743" t="s">
        <v>93</v>
      </c>
      <c r="W743" t="s">
        <v>225</v>
      </c>
      <c r="X743">
        <v>298</v>
      </c>
      <c r="Y743" t="s">
        <v>179</v>
      </c>
      <c r="Z743">
        <v>-26.8</v>
      </c>
      <c r="AA743" t="s">
        <v>95</v>
      </c>
      <c r="AB743">
        <f t="shared" si="103"/>
        <v>-73.010517873410862</v>
      </c>
      <c r="AC743" t="s">
        <v>93</v>
      </c>
      <c r="AD743">
        <v>1.3</v>
      </c>
      <c r="AE743" t="s">
        <v>95</v>
      </c>
      <c r="AF743" t="s">
        <v>93</v>
      </c>
      <c r="AH743" t="s">
        <v>93</v>
      </c>
      <c r="AI743" t="s">
        <v>93</v>
      </c>
      <c r="AJ743" t="s">
        <v>93</v>
      </c>
      <c r="AK743" t="s">
        <v>93</v>
      </c>
      <c r="AV743">
        <v>0.66</v>
      </c>
      <c r="BJ743">
        <v>0.33</v>
      </c>
      <c r="CR743">
        <f t="shared" si="104"/>
        <v>0</v>
      </c>
      <c r="CS743">
        <f t="shared" si="105"/>
        <v>0</v>
      </c>
      <c r="CT743">
        <f t="shared" si="106"/>
        <v>-73.010517873410862</v>
      </c>
      <c r="CU743" s="7">
        <f t="shared" si="107"/>
        <v>-73.010517873410862</v>
      </c>
      <c r="CV743" s="9">
        <f t="shared" si="108"/>
        <v>367.07039999999898</v>
      </c>
      <c r="CW743" t="str">
        <f t="shared" si="100"/>
        <v>HoRu2</v>
      </c>
    </row>
    <row r="744" spans="1:101" ht="15.75" thickBot="1" x14ac:dyDescent="0.3">
      <c r="A744" t="s">
        <v>91</v>
      </c>
      <c r="B744" t="s">
        <v>1400</v>
      </c>
      <c r="C744" t="s">
        <v>3144</v>
      </c>
      <c r="E744" t="s">
        <v>3145</v>
      </c>
      <c r="F744" t="s">
        <v>93</v>
      </c>
      <c r="G744" t="s">
        <v>1401</v>
      </c>
      <c r="H744">
        <v>896.75649999999996</v>
      </c>
      <c r="I744">
        <v>541</v>
      </c>
      <c r="J744">
        <v>0</v>
      </c>
      <c r="K744" t="s">
        <v>95</v>
      </c>
      <c r="L744">
        <v>-66.25839757</v>
      </c>
      <c r="M744">
        <f t="shared" si="101"/>
        <v>-73.886721278295738</v>
      </c>
      <c r="N744" t="s">
        <v>95</v>
      </c>
      <c r="O744" t="s">
        <v>1402</v>
      </c>
      <c r="P744" t="s">
        <v>93</v>
      </c>
      <c r="Q744">
        <v>0</v>
      </c>
      <c r="R744" t="s">
        <v>95</v>
      </c>
      <c r="S744">
        <v>-66.063449689999999</v>
      </c>
      <c r="T744">
        <f t="shared" si="102"/>
        <v>-73.669329065359449</v>
      </c>
      <c r="U744" t="s">
        <v>95</v>
      </c>
      <c r="V744">
        <v>651409</v>
      </c>
      <c r="W744" t="s">
        <v>339</v>
      </c>
      <c r="X744">
        <v>298</v>
      </c>
      <c r="Y744" t="s">
        <v>1403</v>
      </c>
      <c r="Z744">
        <v>-64</v>
      </c>
      <c r="AA744" t="s">
        <v>95</v>
      </c>
      <c r="AB744">
        <f t="shared" si="103"/>
        <v>-71.368314587070188</v>
      </c>
      <c r="AC744" t="s">
        <v>93</v>
      </c>
      <c r="AD744">
        <v>2.1</v>
      </c>
      <c r="AE744" t="s">
        <v>95</v>
      </c>
      <c r="AF744" t="s">
        <v>93</v>
      </c>
      <c r="BG744">
        <v>0.625</v>
      </c>
      <c r="BX744">
        <v>0.375</v>
      </c>
      <c r="CR744">
        <f t="shared" si="104"/>
        <v>-73.886721278295738</v>
      </c>
      <c r="CS744">
        <f t="shared" si="105"/>
        <v>-73.669329065359449</v>
      </c>
      <c r="CT744">
        <f t="shared" si="106"/>
        <v>-71.368314587070188</v>
      </c>
      <c r="CU744" s="7">
        <f t="shared" si="107"/>
        <v>-72.974788310241792</v>
      </c>
      <c r="CV744" s="9">
        <f t="shared" si="108"/>
        <v>896.75649999999996</v>
      </c>
      <c r="CW744" t="str">
        <f t="shared" si="100"/>
        <v>Dy5Si3</v>
      </c>
    </row>
    <row r="745" spans="1:101" ht="15.75" thickBot="1" x14ac:dyDescent="0.3">
      <c r="A745" t="s">
        <v>91</v>
      </c>
      <c r="B745" t="s">
        <v>393</v>
      </c>
      <c r="C745" t="s">
        <v>3144</v>
      </c>
      <c r="E745" t="s">
        <v>3145</v>
      </c>
      <c r="F745" t="s">
        <v>93</v>
      </c>
      <c r="G745" t="s">
        <v>394</v>
      </c>
      <c r="H745">
        <v>682.11950000000002</v>
      </c>
      <c r="I745">
        <v>163</v>
      </c>
      <c r="M745">
        <f t="shared" si="101"/>
        <v>0</v>
      </c>
      <c r="O745" t="s">
        <v>93</v>
      </c>
      <c r="P745" t="s">
        <v>93</v>
      </c>
      <c r="Q745">
        <v>0</v>
      </c>
      <c r="R745" t="s">
        <v>95</v>
      </c>
      <c r="S745">
        <v>-47.997337569999999</v>
      </c>
      <c r="T745">
        <f t="shared" si="102"/>
        <v>-70.364998464345319</v>
      </c>
      <c r="U745" t="s">
        <v>95</v>
      </c>
      <c r="V745">
        <v>28234</v>
      </c>
      <c r="W745" t="s">
        <v>358</v>
      </c>
      <c r="X745">
        <v>298</v>
      </c>
      <c r="Y745" t="s">
        <v>395</v>
      </c>
      <c r="Z745">
        <v>-51.41</v>
      </c>
      <c r="AA745" t="s">
        <v>95</v>
      </c>
      <c r="AB745">
        <f t="shared" si="103"/>
        <v>-75.368025690513164</v>
      </c>
      <c r="AC745" t="s">
        <v>93</v>
      </c>
      <c r="AD745">
        <v>2.93</v>
      </c>
      <c r="AE745" t="s">
        <v>95</v>
      </c>
      <c r="AF745" t="s">
        <v>93</v>
      </c>
      <c r="AH745" t="s">
        <v>93</v>
      </c>
      <c r="AI745" t="s">
        <v>93</v>
      </c>
      <c r="AP745">
        <v>0.25</v>
      </c>
      <c r="BC745">
        <v>0.75</v>
      </c>
      <c r="CR745">
        <f t="shared" si="104"/>
        <v>0</v>
      </c>
      <c r="CS745">
        <f t="shared" si="105"/>
        <v>-70.364998464345319</v>
      </c>
      <c r="CT745">
        <f t="shared" si="106"/>
        <v>-75.368025690513164</v>
      </c>
      <c r="CU745" s="7">
        <f t="shared" si="107"/>
        <v>-72.866512077429235</v>
      </c>
      <c r="CV745" s="9">
        <f t="shared" si="108"/>
        <v>682.11950000000002</v>
      </c>
      <c r="CW745" t="str">
        <f t="shared" si="100"/>
        <v>ZrAu3</v>
      </c>
    </row>
    <row r="746" spans="1:101" ht="15.75" thickBot="1" x14ac:dyDescent="0.3">
      <c r="A746" t="s">
        <v>91</v>
      </c>
      <c r="B746" t="s">
        <v>1530</v>
      </c>
      <c r="C746" t="s">
        <v>3144</v>
      </c>
      <c r="E746" t="s">
        <v>3145</v>
      </c>
      <c r="F746" t="s">
        <v>93</v>
      </c>
      <c r="G746" t="s">
        <v>1531</v>
      </c>
      <c r="H746">
        <v>805.45650000000001</v>
      </c>
      <c r="I746">
        <v>587</v>
      </c>
      <c r="J746">
        <v>0</v>
      </c>
      <c r="K746" t="s">
        <v>95</v>
      </c>
      <c r="L746">
        <v>-56.59512075</v>
      </c>
      <c r="M746">
        <f t="shared" si="101"/>
        <v>-70.264652094805868</v>
      </c>
      <c r="N746" t="s">
        <v>95</v>
      </c>
      <c r="O746" t="s">
        <v>1532</v>
      </c>
      <c r="P746" t="s">
        <v>121</v>
      </c>
      <c r="Q746">
        <v>0</v>
      </c>
      <c r="R746" t="s">
        <v>95</v>
      </c>
      <c r="S746">
        <v>-56.899842749999998</v>
      </c>
      <c r="T746">
        <f t="shared" si="102"/>
        <v>-70.642974201586298</v>
      </c>
      <c r="U746" t="s">
        <v>95</v>
      </c>
      <c r="V746">
        <v>27253</v>
      </c>
      <c r="W746" t="s">
        <v>1362</v>
      </c>
      <c r="X746">
        <v>298</v>
      </c>
      <c r="Y746" t="s">
        <v>480</v>
      </c>
      <c r="Z746">
        <v>-62.3</v>
      </c>
      <c r="AA746" t="s">
        <v>95</v>
      </c>
      <c r="AB746">
        <f t="shared" si="103"/>
        <v>-77.347442102708214</v>
      </c>
      <c r="AC746" t="s">
        <v>93</v>
      </c>
      <c r="AD746">
        <v>1.9</v>
      </c>
      <c r="AE746" t="s">
        <v>95</v>
      </c>
      <c r="AF746" t="s">
        <v>93</v>
      </c>
      <c r="AO746">
        <v>0.625</v>
      </c>
      <c r="BX746">
        <v>0.375</v>
      </c>
      <c r="CR746">
        <f t="shared" si="104"/>
        <v>-70.264652094805868</v>
      </c>
      <c r="CS746">
        <f t="shared" si="105"/>
        <v>-70.642974201586298</v>
      </c>
      <c r="CT746">
        <f t="shared" si="106"/>
        <v>-77.347442102708214</v>
      </c>
      <c r="CU746" s="7">
        <f t="shared" si="107"/>
        <v>-72.751689466366784</v>
      </c>
      <c r="CV746" s="9">
        <f t="shared" si="108"/>
        <v>805.45650000000001</v>
      </c>
      <c r="CW746" t="str">
        <f t="shared" ref="CW746:CW809" si="109">G746</f>
        <v>Nd5Si3</v>
      </c>
    </row>
    <row r="747" spans="1:101" ht="15.75" thickBot="1" x14ac:dyDescent="0.3">
      <c r="A747" t="s">
        <v>91</v>
      </c>
      <c r="B747" t="s">
        <v>1065</v>
      </c>
      <c r="C747" t="s">
        <v>3144</v>
      </c>
      <c r="E747" t="s">
        <v>3145</v>
      </c>
      <c r="F747" t="s">
        <v>93</v>
      </c>
      <c r="G747" t="s">
        <v>1066</v>
      </c>
      <c r="H747">
        <v>156.70153999999999</v>
      </c>
      <c r="I747">
        <v>425</v>
      </c>
      <c r="M747">
        <f t="shared" si="101"/>
        <v>0</v>
      </c>
      <c r="O747" t="s">
        <v>93</v>
      </c>
      <c r="P747" t="s">
        <v>93</v>
      </c>
      <c r="T747">
        <f t="shared" si="102"/>
        <v>0</v>
      </c>
      <c r="V747" t="s">
        <v>93</v>
      </c>
      <c r="W747" t="s">
        <v>1067</v>
      </c>
      <c r="X747">
        <v>298</v>
      </c>
      <c r="Y747" t="s">
        <v>1068</v>
      </c>
      <c r="Z747">
        <v>-11.4</v>
      </c>
      <c r="AA747" t="s">
        <v>95</v>
      </c>
      <c r="AB747">
        <f t="shared" si="103"/>
        <v>-72.749763658991483</v>
      </c>
      <c r="AC747" t="s">
        <v>93</v>
      </c>
      <c r="AD747">
        <v>0.6</v>
      </c>
      <c r="AE747" t="s">
        <v>95</v>
      </c>
      <c r="AF747" t="s">
        <v>93</v>
      </c>
      <c r="AH747" t="s">
        <v>93</v>
      </c>
      <c r="AI747" t="s">
        <v>93</v>
      </c>
      <c r="AJ747" t="s">
        <v>93</v>
      </c>
      <c r="AK747" t="s">
        <v>93</v>
      </c>
      <c r="AR747">
        <v>7.6999999999999999E-2</v>
      </c>
      <c r="BQ747">
        <v>0.92300000000000004</v>
      </c>
      <c r="CR747">
        <f t="shared" si="104"/>
        <v>0</v>
      </c>
      <c r="CS747">
        <f t="shared" si="105"/>
        <v>0</v>
      </c>
      <c r="CT747">
        <f t="shared" si="106"/>
        <v>-72.749763658991483</v>
      </c>
      <c r="CU747" s="7">
        <f t="shared" si="107"/>
        <v>-72.749763658991483</v>
      </c>
      <c r="CV747" s="9">
        <f t="shared" si="108"/>
        <v>156.70153999999999</v>
      </c>
      <c r="CW747" t="str">
        <f t="shared" si="109"/>
        <v>AlB12</v>
      </c>
    </row>
    <row r="748" spans="1:101" ht="15.75" thickBot="1" x14ac:dyDescent="0.3">
      <c r="A748" t="s">
        <v>91</v>
      </c>
      <c r="B748" t="s">
        <v>1127</v>
      </c>
      <c r="C748" t="s">
        <v>3144</v>
      </c>
      <c r="E748" t="s">
        <v>3145</v>
      </c>
      <c r="F748" t="s">
        <v>93</v>
      </c>
      <c r="G748" t="s">
        <v>1128</v>
      </c>
      <c r="H748">
        <v>470.55981999999898</v>
      </c>
      <c r="I748">
        <v>446</v>
      </c>
      <c r="M748">
        <f t="shared" si="101"/>
        <v>0</v>
      </c>
      <c r="O748" t="s">
        <v>93</v>
      </c>
      <c r="P748" t="s">
        <v>93</v>
      </c>
      <c r="T748">
        <f t="shared" si="102"/>
        <v>0</v>
      </c>
      <c r="V748" t="s">
        <v>93</v>
      </c>
      <c r="W748" t="s">
        <v>1129</v>
      </c>
      <c r="X748">
        <v>298</v>
      </c>
      <c r="Y748" t="s">
        <v>1130</v>
      </c>
      <c r="Z748">
        <v>-34</v>
      </c>
      <c r="AA748" t="s">
        <v>95</v>
      </c>
      <c r="AB748">
        <f t="shared" si="103"/>
        <v>-72.2543628990679</v>
      </c>
      <c r="AC748" t="s">
        <v>93</v>
      </c>
      <c r="AD748">
        <v>0.5</v>
      </c>
      <c r="AE748" t="s">
        <v>95</v>
      </c>
      <c r="AF748" t="s">
        <v>93</v>
      </c>
      <c r="AH748" t="s">
        <v>93</v>
      </c>
      <c r="AI748" t="s">
        <v>93</v>
      </c>
      <c r="AJ748" t="s">
        <v>93</v>
      </c>
      <c r="AK748" t="s">
        <v>93</v>
      </c>
      <c r="AR748">
        <v>0.62</v>
      </c>
      <c r="BD748">
        <v>0.38</v>
      </c>
      <c r="CR748">
        <f t="shared" si="104"/>
        <v>0</v>
      </c>
      <c r="CS748">
        <f t="shared" si="105"/>
        <v>0</v>
      </c>
      <c r="CT748">
        <f t="shared" si="106"/>
        <v>-72.2543628990679</v>
      </c>
      <c r="CU748" s="7">
        <f t="shared" si="107"/>
        <v>-72.2543628990679</v>
      </c>
      <c r="CV748" s="9">
        <f t="shared" si="108"/>
        <v>470.55981999999898</v>
      </c>
      <c r="CW748" t="str">
        <f t="shared" si="109"/>
        <v>Al8V5</v>
      </c>
    </row>
    <row r="749" spans="1:101" ht="15.75" thickBot="1" x14ac:dyDescent="0.3">
      <c r="A749" t="s">
        <v>91</v>
      </c>
      <c r="B749" t="s">
        <v>2860</v>
      </c>
      <c r="C749" t="s">
        <v>3144</v>
      </c>
      <c r="E749" t="s">
        <v>3145</v>
      </c>
      <c r="F749" t="s">
        <v>93</v>
      </c>
      <c r="G749" t="s">
        <v>2861</v>
      </c>
      <c r="H749">
        <v>225.5232</v>
      </c>
      <c r="I749">
        <v>1172</v>
      </c>
      <c r="J749">
        <v>64.899962700000003</v>
      </c>
      <c r="K749" t="s">
        <v>95</v>
      </c>
      <c r="L749">
        <v>30.040472279999999</v>
      </c>
      <c r="M749">
        <f t="shared" si="101"/>
        <v>133.20346766984505</v>
      </c>
      <c r="N749" t="s">
        <v>95</v>
      </c>
      <c r="O749" t="s">
        <v>2862</v>
      </c>
      <c r="P749" t="s">
        <v>121</v>
      </c>
      <c r="Q749">
        <v>6.7351377399999999</v>
      </c>
      <c r="R749" t="s">
        <v>95</v>
      </c>
      <c r="S749">
        <v>-36.278030610000002</v>
      </c>
      <c r="T749">
        <f t="shared" si="102"/>
        <v>-160.86163467882685</v>
      </c>
      <c r="U749" t="s">
        <v>95</v>
      </c>
      <c r="V749">
        <v>860363</v>
      </c>
      <c r="W749" t="s">
        <v>1370</v>
      </c>
      <c r="X749">
        <v>298</v>
      </c>
      <c r="Y749" t="s">
        <v>1983</v>
      </c>
      <c r="Z749">
        <v>-42.6</v>
      </c>
      <c r="AA749" t="s">
        <v>95</v>
      </c>
      <c r="AB749">
        <f t="shared" si="103"/>
        <v>-188.89409160565299</v>
      </c>
      <c r="AC749" t="s">
        <v>93</v>
      </c>
      <c r="AD749">
        <v>1.6</v>
      </c>
      <c r="AE749" t="s">
        <v>95</v>
      </c>
      <c r="AF749" t="s">
        <v>93</v>
      </c>
      <c r="AW749">
        <v>0.33300000000000002</v>
      </c>
      <c r="BA749">
        <v>0.33300000000000002</v>
      </c>
      <c r="CF749">
        <v>0.33300000000000002</v>
      </c>
      <c r="CR749">
        <f t="shared" si="104"/>
        <v>133.20346766984505</v>
      </c>
      <c r="CS749">
        <f t="shared" si="105"/>
        <v>-160.86163467882685</v>
      </c>
      <c r="CT749">
        <f t="shared" si="106"/>
        <v>-188.89409160565299</v>
      </c>
      <c r="CU749" s="7">
        <f t="shared" si="107"/>
        <v>-72.184086204878255</v>
      </c>
      <c r="CV749" s="9">
        <f t="shared" si="108"/>
        <v>225.5232</v>
      </c>
      <c r="CW749" t="str">
        <f t="shared" si="109"/>
        <v>TiCoSn</v>
      </c>
    </row>
    <row r="750" spans="1:101" ht="15.75" thickBot="1" x14ac:dyDescent="0.3">
      <c r="A750" t="s">
        <v>91</v>
      </c>
      <c r="B750" t="s">
        <v>1027</v>
      </c>
      <c r="C750" t="s">
        <v>3144</v>
      </c>
      <c r="E750" t="s">
        <v>3145</v>
      </c>
      <c r="F750" t="s">
        <v>93</v>
      </c>
      <c r="G750" t="s">
        <v>1028</v>
      </c>
      <c r="H750">
        <v>156.6499</v>
      </c>
      <c r="I750">
        <v>411</v>
      </c>
      <c r="M750">
        <f t="shared" si="101"/>
        <v>0</v>
      </c>
      <c r="O750" t="s">
        <v>93</v>
      </c>
      <c r="P750" t="s">
        <v>93</v>
      </c>
      <c r="T750">
        <f t="shared" si="102"/>
        <v>0</v>
      </c>
      <c r="V750" t="s">
        <v>93</v>
      </c>
      <c r="W750" t="s">
        <v>225</v>
      </c>
      <c r="X750">
        <v>298</v>
      </c>
      <c r="Y750" t="s">
        <v>179</v>
      </c>
      <c r="Z750">
        <v>-11.2</v>
      </c>
      <c r="AA750" t="s">
        <v>95</v>
      </c>
      <c r="AB750">
        <f t="shared" si="103"/>
        <v>-71.497013403774901</v>
      </c>
      <c r="AC750" t="s">
        <v>93</v>
      </c>
      <c r="AD750">
        <v>1.2</v>
      </c>
      <c r="AE750" t="s">
        <v>95</v>
      </c>
      <c r="AF750" t="s">
        <v>93</v>
      </c>
      <c r="AH750" t="s">
        <v>93</v>
      </c>
      <c r="AI750" t="s">
        <v>93</v>
      </c>
      <c r="AJ750" t="s">
        <v>93</v>
      </c>
      <c r="AK750" t="s">
        <v>93</v>
      </c>
      <c r="AT750">
        <v>0.66</v>
      </c>
      <c r="CR750">
        <f t="shared" si="104"/>
        <v>0</v>
      </c>
      <c r="CS750">
        <f t="shared" si="105"/>
        <v>0</v>
      </c>
      <c r="CT750">
        <f t="shared" si="106"/>
        <v>-71.497013403774901</v>
      </c>
      <c r="CU750" s="7">
        <f t="shared" si="107"/>
        <v>-71.497013403774901</v>
      </c>
      <c r="CV750" s="9">
        <f t="shared" si="108"/>
        <v>156.6499</v>
      </c>
      <c r="CW750" t="str">
        <f t="shared" si="109"/>
        <v>Fe2Sc</v>
      </c>
    </row>
    <row r="751" spans="1:101" ht="15.75" thickBot="1" x14ac:dyDescent="0.3">
      <c r="A751" t="s">
        <v>91</v>
      </c>
      <c r="B751" t="s">
        <v>93</v>
      </c>
      <c r="C751" t="s">
        <v>3144</v>
      </c>
      <c r="E751" t="s">
        <v>3145</v>
      </c>
      <c r="F751" t="s">
        <v>93</v>
      </c>
      <c r="G751" t="s">
        <v>212</v>
      </c>
      <c r="H751">
        <v>416.9957</v>
      </c>
      <c r="I751">
        <v>45</v>
      </c>
      <c r="M751">
        <f t="shared" si="101"/>
        <v>0</v>
      </c>
      <c r="O751" t="s">
        <v>93</v>
      </c>
      <c r="P751" t="s">
        <v>93</v>
      </c>
      <c r="T751">
        <f t="shared" si="102"/>
        <v>0</v>
      </c>
      <c r="V751" t="s">
        <v>93</v>
      </c>
      <c r="W751" t="s">
        <v>102</v>
      </c>
      <c r="X751">
        <v>298</v>
      </c>
      <c r="Y751" t="s">
        <v>103</v>
      </c>
      <c r="Z751">
        <v>-29.8</v>
      </c>
      <c r="AA751" t="s">
        <v>95</v>
      </c>
      <c r="AB751">
        <f t="shared" si="103"/>
        <v>-71.463566650687284</v>
      </c>
      <c r="AC751" t="s">
        <v>93</v>
      </c>
      <c r="AD751">
        <v>1.9</v>
      </c>
      <c r="AE751" t="s">
        <v>95</v>
      </c>
      <c r="AF751" t="s">
        <v>93</v>
      </c>
      <c r="AH751" t="s">
        <v>93</v>
      </c>
      <c r="AI751" t="s">
        <v>93</v>
      </c>
      <c r="AJ751" t="s">
        <v>93</v>
      </c>
      <c r="AK751" t="s">
        <v>93</v>
      </c>
      <c r="AR751">
        <v>0.5</v>
      </c>
      <c r="AS751">
        <v>0.1</v>
      </c>
      <c r="AT751">
        <v>0.4</v>
      </c>
      <c r="CR751">
        <f t="shared" si="104"/>
        <v>0</v>
      </c>
      <c r="CS751">
        <f t="shared" si="105"/>
        <v>0</v>
      </c>
      <c r="CT751">
        <f t="shared" si="106"/>
        <v>-71.463566650687284</v>
      </c>
      <c r="CU751" s="7">
        <f t="shared" si="107"/>
        <v>-71.463566650687284</v>
      </c>
      <c r="CV751" s="9">
        <f t="shared" si="108"/>
        <v>416.9957</v>
      </c>
      <c r="CW751" t="str">
        <f t="shared" si="109"/>
        <v>Al5Fe4Ni</v>
      </c>
    </row>
    <row r="752" spans="1:101" ht="15.75" thickBot="1" x14ac:dyDescent="0.3">
      <c r="A752" t="s">
        <v>91</v>
      </c>
      <c r="B752" t="s">
        <v>93</v>
      </c>
      <c r="C752" t="s">
        <v>3144</v>
      </c>
      <c r="E752" t="s">
        <v>3145</v>
      </c>
      <c r="G752" t="s">
        <v>2001</v>
      </c>
      <c r="H752">
        <v>471.99</v>
      </c>
      <c r="I752">
        <v>781</v>
      </c>
      <c r="J752">
        <v>1.30380875</v>
      </c>
      <c r="K752" t="s">
        <v>95</v>
      </c>
      <c r="L752">
        <v>-33.40499844</v>
      </c>
      <c r="M752">
        <f t="shared" si="101"/>
        <v>-70.774801245789106</v>
      </c>
      <c r="N752" t="s">
        <v>95</v>
      </c>
      <c r="O752" t="s">
        <v>2002</v>
      </c>
      <c r="P752" t="s">
        <v>93</v>
      </c>
      <c r="Q752">
        <v>1.1474275</v>
      </c>
      <c r="R752" t="s">
        <v>95</v>
      </c>
      <c r="S752">
        <v>-33.745135560000001</v>
      </c>
      <c r="T752">
        <f t="shared" si="102"/>
        <v>-71.495446005211974</v>
      </c>
      <c r="U752" t="s">
        <v>95</v>
      </c>
      <c r="V752">
        <v>19424</v>
      </c>
      <c r="W752" t="s">
        <v>159</v>
      </c>
      <c r="X752">
        <v>1323</v>
      </c>
      <c r="Y752" t="s">
        <v>1983</v>
      </c>
      <c r="AB752">
        <f t="shared" si="103"/>
        <v>0</v>
      </c>
      <c r="AC752" t="s">
        <v>93</v>
      </c>
      <c r="AD752">
        <v>3.2</v>
      </c>
      <c r="AE752" t="s">
        <v>95</v>
      </c>
      <c r="AF752" t="s">
        <v>93</v>
      </c>
      <c r="AQ752">
        <v>0.17</v>
      </c>
      <c r="AS752">
        <v>0.83</v>
      </c>
      <c r="CG752">
        <v>-37</v>
      </c>
      <c r="CH752" t="s">
        <v>95</v>
      </c>
      <c r="CI752" t="s">
        <v>93</v>
      </c>
      <c r="CR752">
        <f t="shared" si="104"/>
        <v>-70.774801245789106</v>
      </c>
      <c r="CS752">
        <f t="shared" si="105"/>
        <v>-71.495446005211974</v>
      </c>
      <c r="CT752">
        <f t="shared" si="106"/>
        <v>0</v>
      </c>
      <c r="CU752" s="7">
        <f t="shared" si="107"/>
        <v>-71.13512362550054</v>
      </c>
      <c r="CV752" s="9">
        <f t="shared" si="108"/>
        <v>471.99</v>
      </c>
      <c r="CW752" t="str">
        <f t="shared" si="109"/>
        <v>HfNi5</v>
      </c>
    </row>
    <row r="753" spans="1:101" ht="15.75" thickBot="1" x14ac:dyDescent="0.3">
      <c r="A753" t="s">
        <v>91</v>
      </c>
      <c r="B753" t="s">
        <v>1073</v>
      </c>
      <c r="C753" t="s">
        <v>3144</v>
      </c>
      <c r="E753" t="s">
        <v>3145</v>
      </c>
      <c r="F753" t="s">
        <v>93</v>
      </c>
      <c r="G753" t="s">
        <v>1074</v>
      </c>
      <c r="H753">
        <v>314.80153999999999</v>
      </c>
      <c r="I753">
        <v>427</v>
      </c>
      <c r="J753">
        <v>0</v>
      </c>
      <c r="K753" t="s">
        <v>95</v>
      </c>
      <c r="L753">
        <v>-22.0143922</v>
      </c>
      <c r="M753">
        <f t="shared" si="101"/>
        <v>-69.931018126531399</v>
      </c>
      <c r="N753" t="s">
        <v>95</v>
      </c>
      <c r="O753" t="s">
        <v>1075</v>
      </c>
      <c r="P753" t="s">
        <v>93</v>
      </c>
      <c r="Q753">
        <v>0</v>
      </c>
      <c r="R753" t="s">
        <v>95</v>
      </c>
      <c r="S753">
        <v>-22.70408716</v>
      </c>
      <c r="T753">
        <f t="shared" si="102"/>
        <v>-72.121906265134541</v>
      </c>
      <c r="U753" t="s">
        <v>95</v>
      </c>
      <c r="V753">
        <v>10507</v>
      </c>
      <c r="W753" t="s">
        <v>391</v>
      </c>
      <c r="X753">
        <v>298</v>
      </c>
      <c r="Y753" t="s">
        <v>392</v>
      </c>
      <c r="Z753">
        <v>-22.3</v>
      </c>
      <c r="AA753" t="s">
        <v>95</v>
      </c>
      <c r="AB753">
        <f t="shared" si="103"/>
        <v>-70.838281159615676</v>
      </c>
      <c r="AC753" t="s">
        <v>93</v>
      </c>
      <c r="AD753">
        <v>1.6</v>
      </c>
      <c r="AE753" t="s">
        <v>95</v>
      </c>
      <c r="AF753" t="s">
        <v>93</v>
      </c>
      <c r="AR753">
        <v>0.25</v>
      </c>
      <c r="BS753">
        <v>0.75</v>
      </c>
      <c r="CR753">
        <f t="shared" si="104"/>
        <v>-69.931018126531399</v>
      </c>
      <c r="CS753">
        <f t="shared" si="105"/>
        <v>-72.121906265134541</v>
      </c>
      <c r="CT753">
        <f t="shared" si="106"/>
        <v>-70.838281159615676</v>
      </c>
      <c r="CU753" s="7">
        <f t="shared" si="107"/>
        <v>-70.963735183760548</v>
      </c>
      <c r="CV753" s="9">
        <f t="shared" si="108"/>
        <v>314.80153999999999</v>
      </c>
      <c r="CW753" t="str">
        <f t="shared" si="109"/>
        <v>AlMo3</v>
      </c>
    </row>
    <row r="754" spans="1:101" ht="15.75" thickBot="1" x14ac:dyDescent="0.3">
      <c r="A754" t="s">
        <v>91</v>
      </c>
      <c r="B754" t="s">
        <v>697</v>
      </c>
      <c r="C754" t="s">
        <v>3144</v>
      </c>
      <c r="E754" t="s">
        <v>3145</v>
      </c>
      <c r="F754" t="s">
        <v>93</v>
      </c>
      <c r="G754" t="s">
        <v>698</v>
      </c>
      <c r="H754">
        <v>715.56549999999902</v>
      </c>
      <c r="I754">
        <v>281</v>
      </c>
      <c r="M754">
        <f t="shared" si="101"/>
        <v>0</v>
      </c>
      <c r="O754" t="s">
        <v>93</v>
      </c>
      <c r="P754" t="s">
        <v>93</v>
      </c>
      <c r="Q754">
        <v>1.01312074</v>
      </c>
      <c r="R754" t="s">
        <v>95</v>
      </c>
      <c r="S754">
        <v>-51.605789960000003</v>
      </c>
      <c r="T754">
        <f t="shared" si="102"/>
        <v>-72.118890527841373</v>
      </c>
      <c r="U754" t="s">
        <v>95</v>
      </c>
      <c r="V754">
        <v>30613</v>
      </c>
      <c r="W754" t="s">
        <v>699</v>
      </c>
      <c r="X754">
        <v>298</v>
      </c>
      <c r="Y754" t="s">
        <v>700</v>
      </c>
      <c r="Z754">
        <v>-49.7</v>
      </c>
      <c r="AA754" t="s">
        <v>95</v>
      </c>
      <c r="AB754">
        <f t="shared" si="103"/>
        <v>-69.455556479455851</v>
      </c>
      <c r="AC754" t="s">
        <v>93</v>
      </c>
      <c r="AD754">
        <v>2.2000000000000002</v>
      </c>
      <c r="AE754" t="s">
        <v>95</v>
      </c>
      <c r="AF754" t="s">
        <v>93</v>
      </c>
      <c r="AH754" t="s">
        <v>93</v>
      </c>
      <c r="AI754" t="s">
        <v>93</v>
      </c>
      <c r="AL754">
        <v>0.25</v>
      </c>
      <c r="BB754">
        <v>0.75</v>
      </c>
      <c r="CR754">
        <f t="shared" si="104"/>
        <v>0</v>
      </c>
      <c r="CS754">
        <f t="shared" si="105"/>
        <v>-72.118890527841373</v>
      </c>
      <c r="CT754">
        <f t="shared" si="106"/>
        <v>-69.455556479455851</v>
      </c>
      <c r="CU754" s="7">
        <f t="shared" si="107"/>
        <v>-70.787223503648619</v>
      </c>
      <c r="CV754" s="9">
        <f t="shared" si="108"/>
        <v>715.56549999999902</v>
      </c>
      <c r="CW754" t="str">
        <f t="shared" si="109"/>
        <v>LaIr3</v>
      </c>
    </row>
    <row r="755" spans="1:101" ht="15.75" thickBot="1" x14ac:dyDescent="0.3">
      <c r="A755" t="s">
        <v>91</v>
      </c>
      <c r="B755" t="s">
        <v>93</v>
      </c>
      <c r="C755" t="s">
        <v>3144</v>
      </c>
      <c r="E755" t="s">
        <v>3145</v>
      </c>
      <c r="F755" t="s">
        <v>93</v>
      </c>
      <c r="G755" t="s">
        <v>199</v>
      </c>
      <c r="H755">
        <v>483.28561999999999</v>
      </c>
      <c r="I755">
        <v>33</v>
      </c>
      <c r="M755">
        <f t="shared" si="101"/>
        <v>0</v>
      </c>
      <c r="O755" t="s">
        <v>93</v>
      </c>
      <c r="P755" t="s">
        <v>93</v>
      </c>
      <c r="T755">
        <f t="shared" si="102"/>
        <v>0</v>
      </c>
      <c r="V755" t="s">
        <v>93</v>
      </c>
      <c r="W755" t="s">
        <v>102</v>
      </c>
      <c r="X755">
        <v>298</v>
      </c>
      <c r="Y755" t="s">
        <v>103</v>
      </c>
      <c r="Z755">
        <v>-34.200000000000003</v>
      </c>
      <c r="AA755" t="s">
        <v>95</v>
      </c>
      <c r="AB755">
        <f t="shared" si="103"/>
        <v>-70.765606475110928</v>
      </c>
      <c r="AC755" t="s">
        <v>93</v>
      </c>
      <c r="AD755">
        <v>1.1000000000000001</v>
      </c>
      <c r="AE755" t="s">
        <v>95</v>
      </c>
      <c r="AF755" t="s">
        <v>93</v>
      </c>
      <c r="AH755" t="s">
        <v>93</v>
      </c>
      <c r="AI755" t="s">
        <v>93</v>
      </c>
      <c r="AJ755" t="s">
        <v>93</v>
      </c>
      <c r="AK755" t="s">
        <v>93</v>
      </c>
      <c r="AR755">
        <v>0.3</v>
      </c>
      <c r="AS755">
        <v>0.4</v>
      </c>
      <c r="AT755">
        <v>0.3</v>
      </c>
      <c r="CR755">
        <f t="shared" si="104"/>
        <v>0</v>
      </c>
      <c r="CS755">
        <f t="shared" si="105"/>
        <v>0</v>
      </c>
      <c r="CT755">
        <f t="shared" si="106"/>
        <v>-70.765606475110928</v>
      </c>
      <c r="CU755" s="7">
        <f t="shared" si="107"/>
        <v>-70.765606475110928</v>
      </c>
      <c r="CV755" s="9">
        <f t="shared" si="108"/>
        <v>483.28561999999999</v>
      </c>
      <c r="CW755" t="str">
        <f t="shared" si="109"/>
        <v>Al3Fe3Ni4</v>
      </c>
    </row>
    <row r="756" spans="1:101" ht="15.75" thickBot="1" x14ac:dyDescent="0.3">
      <c r="A756" t="s">
        <v>91</v>
      </c>
      <c r="B756" t="s">
        <v>2574</v>
      </c>
      <c r="C756" t="s">
        <v>3144</v>
      </c>
      <c r="E756" t="s">
        <v>3145</v>
      </c>
      <c r="F756" t="s">
        <v>93</v>
      </c>
      <c r="G756" t="s">
        <v>2575</v>
      </c>
      <c r="H756">
        <v>198.84549999999999</v>
      </c>
      <c r="I756">
        <v>1050</v>
      </c>
      <c r="J756">
        <v>0</v>
      </c>
      <c r="K756" t="s">
        <v>95</v>
      </c>
      <c r="L756">
        <v>-18.39269363</v>
      </c>
      <c r="M756">
        <f t="shared" si="101"/>
        <v>-92.497409446027191</v>
      </c>
      <c r="N756" t="s">
        <v>95</v>
      </c>
      <c r="O756" t="s">
        <v>2576</v>
      </c>
      <c r="P756" t="s">
        <v>93</v>
      </c>
      <c r="Q756">
        <v>0</v>
      </c>
      <c r="R756" t="s">
        <v>95</v>
      </c>
      <c r="S756">
        <v>-19.00808074</v>
      </c>
      <c r="T756">
        <f t="shared" si="102"/>
        <v>-95.592209730670305</v>
      </c>
      <c r="U756" t="s">
        <v>95</v>
      </c>
      <c r="V756">
        <v>18874</v>
      </c>
      <c r="W756" t="s">
        <v>922</v>
      </c>
      <c r="X756">
        <v>298</v>
      </c>
      <c r="Y756" t="s">
        <v>656</v>
      </c>
      <c r="Z756">
        <v>-4.8</v>
      </c>
      <c r="AA756" t="s">
        <v>95</v>
      </c>
      <c r="AB756">
        <f t="shared" si="103"/>
        <v>-24.139344365348979</v>
      </c>
      <c r="AC756" t="s">
        <v>93</v>
      </c>
      <c r="AD756">
        <v>1.8</v>
      </c>
      <c r="AE756" t="s">
        <v>95</v>
      </c>
      <c r="AF756" t="s">
        <v>93</v>
      </c>
      <c r="BF756">
        <v>0.5</v>
      </c>
      <c r="BS756">
        <v>0.5</v>
      </c>
      <c r="CR756">
        <f t="shared" si="104"/>
        <v>-92.497409446027191</v>
      </c>
      <c r="CS756">
        <f t="shared" si="105"/>
        <v>-95.592209730670305</v>
      </c>
      <c r="CT756">
        <f t="shared" si="106"/>
        <v>-24.139344365348979</v>
      </c>
      <c r="CU756" s="7">
        <f t="shared" si="107"/>
        <v>-70.742987847348829</v>
      </c>
      <c r="CV756" s="9">
        <f t="shared" si="108"/>
        <v>198.84549999999999</v>
      </c>
      <c r="CW756" t="str">
        <f t="shared" si="109"/>
        <v>MoRh</v>
      </c>
    </row>
    <row r="757" spans="1:101" ht="15.75" thickBot="1" x14ac:dyDescent="0.3">
      <c r="A757" t="s">
        <v>484</v>
      </c>
      <c r="B757" t="s">
        <v>1504</v>
      </c>
      <c r="C757" t="s">
        <v>3138</v>
      </c>
      <c r="D757" t="s">
        <v>3139</v>
      </c>
      <c r="F757" t="s">
        <v>3140</v>
      </c>
      <c r="G757" t="s">
        <v>1505</v>
      </c>
      <c r="H757">
        <v>959.0915</v>
      </c>
      <c r="I757">
        <v>578</v>
      </c>
      <c r="J757">
        <v>0</v>
      </c>
      <c r="K757" t="s">
        <v>95</v>
      </c>
      <c r="L757">
        <v>-67.785572970000004</v>
      </c>
      <c r="M757">
        <f t="shared" si="101"/>
        <v>-70.676857182031114</v>
      </c>
      <c r="N757" t="s">
        <v>95</v>
      </c>
      <c r="O757" t="s">
        <v>1506</v>
      </c>
      <c r="P757" t="s">
        <v>93</v>
      </c>
      <c r="Q757">
        <v>0</v>
      </c>
      <c r="R757" t="s">
        <v>95</v>
      </c>
      <c r="S757">
        <v>-67.870161640000006</v>
      </c>
      <c r="T757">
        <f t="shared" si="102"/>
        <v>-70.765053845227484</v>
      </c>
      <c r="U757" t="s">
        <v>95</v>
      </c>
      <c r="V757">
        <v>31330</v>
      </c>
      <c r="W757" t="s">
        <v>339</v>
      </c>
      <c r="X757">
        <v>298</v>
      </c>
      <c r="Y757" t="s">
        <v>1403</v>
      </c>
      <c r="Z757">
        <v>-67.8</v>
      </c>
      <c r="AA757" t="s">
        <v>95</v>
      </c>
      <c r="AB757">
        <f t="shared" si="103"/>
        <v>-70.691899573711154</v>
      </c>
      <c r="AC757" t="s">
        <v>93</v>
      </c>
      <c r="AD757">
        <v>3.3</v>
      </c>
      <c r="AE757" t="s">
        <v>95</v>
      </c>
      <c r="AF757" t="s">
        <v>93</v>
      </c>
      <c r="BL757">
        <v>0.625</v>
      </c>
      <c r="BX757">
        <v>0.375</v>
      </c>
      <c r="CR757">
        <f t="shared" si="104"/>
        <v>-70.676857182031114</v>
      </c>
      <c r="CS757">
        <f t="shared" si="105"/>
        <v>-70.765053845227484</v>
      </c>
      <c r="CT757">
        <f t="shared" si="106"/>
        <v>-70.691899573711154</v>
      </c>
      <c r="CU757" s="7">
        <f t="shared" si="107"/>
        <v>-70.711270200323256</v>
      </c>
      <c r="CV757" s="9">
        <f t="shared" si="108"/>
        <v>959.0915</v>
      </c>
      <c r="CW757" t="str">
        <f t="shared" si="109"/>
        <v>Lu5Si3</v>
      </c>
    </row>
    <row r="758" spans="1:101" ht="15.75" thickBot="1" x14ac:dyDescent="0.3">
      <c r="A758" t="s">
        <v>91</v>
      </c>
      <c r="B758" t="s">
        <v>93</v>
      </c>
      <c r="C758" t="s">
        <v>3144</v>
      </c>
      <c r="E758" t="s">
        <v>3145</v>
      </c>
      <c r="F758" t="s">
        <v>93</v>
      </c>
      <c r="G758" t="s">
        <v>2222</v>
      </c>
      <c r="H758">
        <v>918.37</v>
      </c>
      <c r="I758">
        <v>884</v>
      </c>
      <c r="J758">
        <v>0</v>
      </c>
      <c r="K758" t="s">
        <v>95</v>
      </c>
      <c r="L758">
        <v>-57.118633780000003</v>
      </c>
      <c r="M758">
        <f t="shared" si="101"/>
        <v>-62.195665995187127</v>
      </c>
      <c r="N758" t="s">
        <v>95</v>
      </c>
      <c r="O758" t="s">
        <v>2223</v>
      </c>
      <c r="P758" t="s">
        <v>93</v>
      </c>
      <c r="Q758">
        <v>0</v>
      </c>
      <c r="R758" t="s">
        <v>95</v>
      </c>
      <c r="S758">
        <v>-63.667413639999999</v>
      </c>
      <c r="T758">
        <f t="shared" si="102"/>
        <v>-69.326539020220608</v>
      </c>
      <c r="U758" t="s">
        <v>95</v>
      </c>
      <c r="V758">
        <v>662552</v>
      </c>
      <c r="W758" t="s">
        <v>339</v>
      </c>
      <c r="X758">
        <v>298</v>
      </c>
      <c r="Y758" t="s">
        <v>1403</v>
      </c>
      <c r="Z758">
        <v>-73.400000000000006</v>
      </c>
      <c r="AA758" t="s">
        <v>95</v>
      </c>
      <c r="AB758">
        <f t="shared" si="103"/>
        <v>-79.924213552271965</v>
      </c>
      <c r="AC758" t="s">
        <v>93</v>
      </c>
      <c r="AD758">
        <v>2.2999999999999998</v>
      </c>
      <c r="AE758" t="s">
        <v>95</v>
      </c>
      <c r="AF758" t="s">
        <v>93</v>
      </c>
      <c r="AM758">
        <v>0.625</v>
      </c>
      <c r="CA758">
        <v>0.375</v>
      </c>
      <c r="CR758">
        <f t="shared" si="104"/>
        <v>-62.195665995187127</v>
      </c>
      <c r="CS758">
        <f t="shared" si="105"/>
        <v>-69.326539020220608</v>
      </c>
      <c r="CT758">
        <f t="shared" si="106"/>
        <v>-79.924213552271965</v>
      </c>
      <c r="CU758" s="7">
        <f t="shared" si="107"/>
        <v>-70.482139522559905</v>
      </c>
      <c r="CV758" s="9">
        <f t="shared" si="108"/>
        <v>918.37</v>
      </c>
      <c r="CW758" t="str">
        <f t="shared" si="109"/>
        <v>Ce5Ge3</v>
      </c>
    </row>
    <row r="759" spans="1:101" ht="15.75" thickBot="1" x14ac:dyDescent="0.3">
      <c r="A759" t="s">
        <v>91</v>
      </c>
      <c r="B759" t="s">
        <v>431</v>
      </c>
      <c r="C759" t="s">
        <v>3144</v>
      </c>
      <c r="E759" t="s">
        <v>3145</v>
      </c>
      <c r="F759" t="s">
        <v>93</v>
      </c>
      <c r="G759" t="s">
        <v>432</v>
      </c>
      <c r="H759">
        <v>433.62</v>
      </c>
      <c r="I759">
        <v>177</v>
      </c>
      <c r="J759">
        <v>0</v>
      </c>
      <c r="K759" t="s">
        <v>95</v>
      </c>
      <c r="L759">
        <v>-32.973839699999999</v>
      </c>
      <c r="M759">
        <f t="shared" si="101"/>
        <v>-76.043170748581716</v>
      </c>
      <c r="N759" t="s">
        <v>95</v>
      </c>
      <c r="O759" t="s">
        <v>433</v>
      </c>
      <c r="P759" t="s">
        <v>93</v>
      </c>
      <c r="T759">
        <f t="shared" si="102"/>
        <v>0</v>
      </c>
      <c r="V759" t="s">
        <v>93</v>
      </c>
      <c r="W759" t="s">
        <v>172</v>
      </c>
      <c r="X759">
        <v>298</v>
      </c>
      <c r="Y759" t="s">
        <v>170</v>
      </c>
      <c r="Z759">
        <v>-28.1</v>
      </c>
      <c r="AA759" t="s">
        <v>95</v>
      </c>
      <c r="AB759">
        <f t="shared" si="103"/>
        <v>-64.803283981366178</v>
      </c>
      <c r="AC759" t="s">
        <v>93</v>
      </c>
      <c r="AD759">
        <v>1.3</v>
      </c>
      <c r="AE759" t="s">
        <v>95</v>
      </c>
      <c r="AF759" t="s">
        <v>93</v>
      </c>
      <c r="AJ759" t="s">
        <v>93</v>
      </c>
      <c r="AK759" t="s">
        <v>93</v>
      </c>
      <c r="AM759">
        <v>0.17</v>
      </c>
      <c r="AS759">
        <v>0.83</v>
      </c>
      <c r="CR759">
        <f t="shared" si="104"/>
        <v>-76.043170748581716</v>
      </c>
      <c r="CS759">
        <f t="shared" si="105"/>
        <v>0</v>
      </c>
      <c r="CT759">
        <f t="shared" si="106"/>
        <v>-64.803283981366178</v>
      </c>
      <c r="CU759" s="7">
        <f t="shared" si="107"/>
        <v>-70.42322736497394</v>
      </c>
      <c r="CV759" s="9">
        <f t="shared" si="108"/>
        <v>433.62</v>
      </c>
      <c r="CW759" t="str">
        <f t="shared" si="109"/>
        <v>CeNi5</v>
      </c>
    </row>
    <row r="760" spans="1:101" ht="15.75" thickBot="1" x14ac:dyDescent="0.3">
      <c r="A760" t="s">
        <v>91</v>
      </c>
      <c r="B760" t="s">
        <v>393</v>
      </c>
      <c r="C760" t="s">
        <v>3144</v>
      </c>
      <c r="E760" t="s">
        <v>3145</v>
      </c>
      <c r="G760" t="s">
        <v>394</v>
      </c>
      <c r="H760">
        <v>682.11950000000002</v>
      </c>
      <c r="I760">
        <v>806</v>
      </c>
      <c r="M760">
        <f t="shared" si="101"/>
        <v>0</v>
      </c>
      <c r="O760" t="s">
        <v>93</v>
      </c>
      <c r="P760" t="s">
        <v>121</v>
      </c>
      <c r="Q760">
        <v>0</v>
      </c>
      <c r="R760" t="s">
        <v>95</v>
      </c>
      <c r="S760">
        <v>-47.997337569999999</v>
      </c>
      <c r="T760">
        <f t="shared" si="102"/>
        <v>-70.364998464345319</v>
      </c>
      <c r="U760" t="s">
        <v>95</v>
      </c>
      <c r="V760">
        <v>28234</v>
      </c>
      <c r="W760" t="s">
        <v>358</v>
      </c>
      <c r="X760">
        <v>1573</v>
      </c>
      <c r="Y760" t="s">
        <v>395</v>
      </c>
      <c r="AB760">
        <f t="shared" si="103"/>
        <v>0</v>
      </c>
      <c r="AC760" t="s">
        <v>93</v>
      </c>
      <c r="AD760">
        <v>2.6</v>
      </c>
      <c r="AE760" t="s">
        <v>95</v>
      </c>
      <c r="AF760" t="s">
        <v>93</v>
      </c>
      <c r="AH760" t="s">
        <v>93</v>
      </c>
      <c r="AI760" t="s">
        <v>93</v>
      </c>
      <c r="AP760">
        <v>0.25</v>
      </c>
      <c r="BC760">
        <v>0.75</v>
      </c>
      <c r="CG760">
        <v>-54.7</v>
      </c>
      <c r="CH760" t="s">
        <v>95</v>
      </c>
      <c r="CI760" t="s">
        <v>93</v>
      </c>
      <c r="CR760">
        <f t="shared" si="104"/>
        <v>0</v>
      </c>
      <c r="CS760">
        <f t="shared" si="105"/>
        <v>-70.364998464345319</v>
      </c>
      <c r="CT760">
        <f t="shared" si="106"/>
        <v>0</v>
      </c>
      <c r="CU760" s="7">
        <f t="shared" si="107"/>
        <v>-70.364998464345319</v>
      </c>
      <c r="CV760" s="9">
        <f t="shared" si="108"/>
        <v>682.11950000000002</v>
      </c>
      <c r="CW760" t="str">
        <f t="shared" si="109"/>
        <v>ZrAu3</v>
      </c>
    </row>
    <row r="761" spans="1:101" ht="15.75" thickBot="1" x14ac:dyDescent="0.3">
      <c r="A761" t="s">
        <v>91</v>
      </c>
      <c r="B761" t="s">
        <v>403</v>
      </c>
      <c r="C761" t="s">
        <v>3144</v>
      </c>
      <c r="E761" t="s">
        <v>3145</v>
      </c>
      <c r="G761" t="s">
        <v>404</v>
      </c>
      <c r="H761">
        <v>470.626499999999</v>
      </c>
      <c r="I761">
        <v>801</v>
      </c>
      <c r="J761">
        <v>0</v>
      </c>
      <c r="K761" t="s">
        <v>95</v>
      </c>
      <c r="L761">
        <v>-32.867391320000003</v>
      </c>
      <c r="M761">
        <f t="shared" si="101"/>
        <v>-69.837527891013522</v>
      </c>
      <c r="N761" t="s">
        <v>95</v>
      </c>
      <c r="O761" t="s">
        <v>405</v>
      </c>
      <c r="P761" t="s">
        <v>93</v>
      </c>
      <c r="Q761">
        <v>0</v>
      </c>
      <c r="R761" t="s">
        <v>95</v>
      </c>
      <c r="S761">
        <v>-33.258000969999998</v>
      </c>
      <c r="T761">
        <f t="shared" si="102"/>
        <v>-70.667505909675867</v>
      </c>
      <c r="U761" t="s">
        <v>95</v>
      </c>
      <c r="V761">
        <v>10833</v>
      </c>
      <c r="W761" t="s">
        <v>391</v>
      </c>
      <c r="X761">
        <v>1273</v>
      </c>
      <c r="Y761" t="s">
        <v>392</v>
      </c>
      <c r="AB761">
        <f t="shared" si="103"/>
        <v>0</v>
      </c>
      <c r="AC761" t="s">
        <v>93</v>
      </c>
      <c r="AD761">
        <v>1</v>
      </c>
      <c r="AE761" t="s">
        <v>95</v>
      </c>
      <c r="AF761" t="s">
        <v>93</v>
      </c>
      <c r="AP761">
        <v>0.75</v>
      </c>
      <c r="BC761">
        <v>0.25</v>
      </c>
      <c r="CG761">
        <v>-39.700000000000003</v>
      </c>
      <c r="CH761" t="s">
        <v>95</v>
      </c>
      <c r="CI761" t="s">
        <v>93</v>
      </c>
      <c r="CR761">
        <f t="shared" si="104"/>
        <v>-69.837527891013522</v>
      </c>
      <c r="CS761">
        <f t="shared" si="105"/>
        <v>-70.667505909675867</v>
      </c>
      <c r="CT761">
        <f t="shared" si="106"/>
        <v>0</v>
      </c>
      <c r="CU761" s="7">
        <f t="shared" si="107"/>
        <v>-70.252516900344688</v>
      </c>
      <c r="CV761" s="9">
        <f t="shared" si="108"/>
        <v>470.626499999999</v>
      </c>
      <c r="CW761" t="str">
        <f t="shared" si="109"/>
        <v>Zr3Au</v>
      </c>
    </row>
    <row r="762" spans="1:101" ht="15.75" thickBot="1" x14ac:dyDescent="0.3">
      <c r="A762" t="s">
        <v>91</v>
      </c>
      <c r="B762" t="s">
        <v>93</v>
      </c>
      <c r="C762" t="s">
        <v>3144</v>
      </c>
      <c r="E762" t="s">
        <v>3145</v>
      </c>
      <c r="G762" t="s">
        <v>859</v>
      </c>
      <c r="H762">
        <v>593.34</v>
      </c>
      <c r="I762">
        <v>771</v>
      </c>
      <c r="J762">
        <v>0</v>
      </c>
      <c r="K762" t="s">
        <v>95</v>
      </c>
      <c r="L762">
        <v>-41.4095844</v>
      </c>
      <c r="M762">
        <f t="shared" si="101"/>
        <v>-69.790650217413287</v>
      </c>
      <c r="N762" t="s">
        <v>95</v>
      </c>
      <c r="O762" t="s">
        <v>860</v>
      </c>
      <c r="P762" t="s">
        <v>93</v>
      </c>
      <c r="Q762">
        <v>0</v>
      </c>
      <c r="R762" t="s">
        <v>95</v>
      </c>
      <c r="S762">
        <v>-41.505414569999999</v>
      </c>
      <c r="T762">
        <f t="shared" si="102"/>
        <v>-69.952159925169383</v>
      </c>
      <c r="U762" t="s">
        <v>95</v>
      </c>
      <c r="V762">
        <v>2288</v>
      </c>
      <c r="W762" t="s">
        <v>632</v>
      </c>
      <c r="X762">
        <v>1670</v>
      </c>
      <c r="Y762" t="s">
        <v>633</v>
      </c>
      <c r="AB762">
        <f t="shared" si="103"/>
        <v>0</v>
      </c>
      <c r="AC762" t="s">
        <v>93</v>
      </c>
      <c r="AD762">
        <v>0.5</v>
      </c>
      <c r="AE762" t="s">
        <v>95</v>
      </c>
      <c r="AF762" t="s">
        <v>93</v>
      </c>
      <c r="AP762">
        <v>0.22</v>
      </c>
      <c r="AS762">
        <v>0.78</v>
      </c>
      <c r="CG762">
        <v>-39.5</v>
      </c>
      <c r="CH762" t="s">
        <v>95</v>
      </c>
      <c r="CI762" t="s">
        <v>93</v>
      </c>
      <c r="CR762">
        <f t="shared" si="104"/>
        <v>-69.790650217413287</v>
      </c>
      <c r="CS762">
        <f t="shared" si="105"/>
        <v>-69.952159925169383</v>
      </c>
      <c r="CT762">
        <f t="shared" si="106"/>
        <v>0</v>
      </c>
      <c r="CU762" s="7">
        <f t="shared" si="107"/>
        <v>-69.871405071291335</v>
      </c>
      <c r="CV762" s="9">
        <f t="shared" si="108"/>
        <v>593.34</v>
      </c>
      <c r="CW762" t="str">
        <f t="shared" si="109"/>
        <v>Ni7Zr2</v>
      </c>
    </row>
    <row r="763" spans="1:101" ht="15.75" thickBot="1" x14ac:dyDescent="0.3">
      <c r="A763" t="s">
        <v>91</v>
      </c>
      <c r="B763" t="s">
        <v>518</v>
      </c>
      <c r="C763" t="s">
        <v>3144</v>
      </c>
      <c r="E763" t="s">
        <v>3145</v>
      </c>
      <c r="F763" t="s">
        <v>93</v>
      </c>
      <c r="G763" t="s">
        <v>519</v>
      </c>
      <c r="H763">
        <v>271.33199999999999</v>
      </c>
      <c r="I763">
        <v>209</v>
      </c>
      <c r="J763">
        <v>0</v>
      </c>
      <c r="K763" t="s">
        <v>95</v>
      </c>
      <c r="L763">
        <v>-20.079861350000002</v>
      </c>
      <c r="M763">
        <f t="shared" si="101"/>
        <v>-74.004766669615094</v>
      </c>
      <c r="N763" t="s">
        <v>95</v>
      </c>
      <c r="O763" t="s">
        <v>520</v>
      </c>
      <c r="P763" t="s">
        <v>93</v>
      </c>
      <c r="Q763">
        <v>0</v>
      </c>
      <c r="R763" t="s">
        <v>95</v>
      </c>
      <c r="S763">
        <v>-19.83212164</v>
      </c>
      <c r="T763">
        <f t="shared" si="102"/>
        <v>-73.091716568631782</v>
      </c>
      <c r="U763" t="s">
        <v>95</v>
      </c>
      <c r="V763">
        <v>18310</v>
      </c>
      <c r="W763" t="s">
        <v>364</v>
      </c>
      <c r="X763">
        <v>298</v>
      </c>
      <c r="Y763" t="s">
        <v>365</v>
      </c>
      <c r="Z763">
        <v>-16.899999999999999</v>
      </c>
      <c r="AA763" t="s">
        <v>95</v>
      </c>
      <c r="AB763">
        <f t="shared" si="103"/>
        <v>-62.285318355372752</v>
      </c>
      <c r="AC763" t="s">
        <v>93</v>
      </c>
      <c r="AD763">
        <v>2.7</v>
      </c>
      <c r="AE763" t="s">
        <v>95</v>
      </c>
      <c r="AF763" t="s">
        <v>93</v>
      </c>
      <c r="AO763">
        <v>0.33</v>
      </c>
      <c r="AX763">
        <v>0.66</v>
      </c>
      <c r="CR763">
        <f t="shared" si="104"/>
        <v>-74.004766669615094</v>
      </c>
      <c r="CS763">
        <f t="shared" si="105"/>
        <v>-73.091716568631782</v>
      </c>
      <c r="CT763">
        <f t="shared" si="106"/>
        <v>-62.285318355372752</v>
      </c>
      <c r="CU763" s="7">
        <f t="shared" si="107"/>
        <v>-69.793933864539881</v>
      </c>
      <c r="CV763" s="9">
        <f t="shared" si="108"/>
        <v>271.33199999999999</v>
      </c>
      <c r="CW763" t="str">
        <f t="shared" si="109"/>
        <v>NdCu2</v>
      </c>
    </row>
    <row r="764" spans="1:101" ht="15.75" thickBot="1" x14ac:dyDescent="0.3">
      <c r="A764" t="s">
        <v>91</v>
      </c>
      <c r="B764" t="s">
        <v>93</v>
      </c>
      <c r="C764" t="s">
        <v>3144</v>
      </c>
      <c r="E764" t="s">
        <v>3145</v>
      </c>
      <c r="F764" t="s">
        <v>93</v>
      </c>
      <c r="G764" t="s">
        <v>859</v>
      </c>
      <c r="H764">
        <v>593.34</v>
      </c>
      <c r="I764">
        <v>342</v>
      </c>
      <c r="J764">
        <v>0</v>
      </c>
      <c r="K764" t="s">
        <v>95</v>
      </c>
      <c r="L764">
        <v>-41.4095844</v>
      </c>
      <c r="M764">
        <f t="shared" si="101"/>
        <v>-69.790650217413287</v>
      </c>
      <c r="N764" t="s">
        <v>95</v>
      </c>
      <c r="O764" t="s">
        <v>860</v>
      </c>
      <c r="P764" t="s">
        <v>93</v>
      </c>
      <c r="Q764">
        <v>0</v>
      </c>
      <c r="R764" t="s">
        <v>95</v>
      </c>
      <c r="S764">
        <v>-41.505414569999999</v>
      </c>
      <c r="T764">
        <f t="shared" si="102"/>
        <v>-69.952159925169383</v>
      </c>
      <c r="U764" t="s">
        <v>95</v>
      </c>
      <c r="V764">
        <v>2288</v>
      </c>
      <c r="W764" t="s">
        <v>632</v>
      </c>
      <c r="X764">
        <v>298</v>
      </c>
      <c r="Y764" t="s">
        <v>633</v>
      </c>
      <c r="Z764">
        <v>-40.6</v>
      </c>
      <c r="AA764" t="s">
        <v>95</v>
      </c>
      <c r="AB764">
        <f t="shared" si="103"/>
        <v>-68.426197458455519</v>
      </c>
      <c r="AC764" t="s">
        <v>93</v>
      </c>
      <c r="AD764">
        <v>0.7</v>
      </c>
      <c r="AE764" t="s">
        <v>95</v>
      </c>
      <c r="AF764" t="s">
        <v>93</v>
      </c>
      <c r="AP764">
        <v>0.22</v>
      </c>
      <c r="AS764">
        <v>0.78</v>
      </c>
      <c r="CR764">
        <f t="shared" si="104"/>
        <v>-69.790650217413287</v>
      </c>
      <c r="CS764">
        <f t="shared" si="105"/>
        <v>-69.952159925169383</v>
      </c>
      <c r="CT764">
        <f t="shared" si="106"/>
        <v>-68.426197458455519</v>
      </c>
      <c r="CU764" s="7">
        <f t="shared" si="107"/>
        <v>-69.389669200346063</v>
      </c>
      <c r="CV764" s="9">
        <f t="shared" si="108"/>
        <v>593.34</v>
      </c>
      <c r="CW764" t="str">
        <f t="shared" si="109"/>
        <v>Ni7Zr2</v>
      </c>
    </row>
    <row r="765" spans="1:101" ht="15.75" thickBot="1" x14ac:dyDescent="0.3">
      <c r="A765" t="s">
        <v>91</v>
      </c>
      <c r="B765" t="s">
        <v>2905</v>
      </c>
      <c r="C765" t="s">
        <v>3144</v>
      </c>
      <c r="E765" t="s">
        <v>3145</v>
      </c>
      <c r="F765" t="s">
        <v>93</v>
      </c>
      <c r="G765" t="s">
        <v>2906</v>
      </c>
      <c r="H765">
        <v>291.26119999999997</v>
      </c>
      <c r="I765">
        <v>1189</v>
      </c>
      <c r="M765">
        <f t="shared" si="101"/>
        <v>0</v>
      </c>
      <c r="O765" t="s">
        <v>93</v>
      </c>
      <c r="P765" t="s">
        <v>93</v>
      </c>
      <c r="T765">
        <f t="shared" si="102"/>
        <v>0</v>
      </c>
      <c r="V765" t="s">
        <v>93</v>
      </c>
      <c r="W765" t="s">
        <v>184</v>
      </c>
      <c r="X765">
        <v>298</v>
      </c>
      <c r="Y765" t="s">
        <v>185</v>
      </c>
      <c r="Z765">
        <v>-20.2</v>
      </c>
      <c r="AA765" t="s">
        <v>95</v>
      </c>
      <c r="AB765">
        <f t="shared" si="103"/>
        <v>-69.353556189427223</v>
      </c>
      <c r="AC765" t="s">
        <v>93</v>
      </c>
      <c r="AD765">
        <v>3.3</v>
      </c>
      <c r="AE765" t="s">
        <v>95</v>
      </c>
      <c r="AF765" t="s">
        <v>93</v>
      </c>
      <c r="AH765" t="s">
        <v>93</v>
      </c>
      <c r="AI765" t="s">
        <v>93</v>
      </c>
      <c r="AJ765" t="s">
        <v>93</v>
      </c>
      <c r="AK765" t="s">
        <v>93</v>
      </c>
      <c r="AS765">
        <v>0.25</v>
      </c>
      <c r="AW765">
        <v>0.25</v>
      </c>
      <c r="BR765">
        <v>0.25</v>
      </c>
      <c r="CF765">
        <v>0.25</v>
      </c>
      <c r="CR765">
        <f t="shared" si="104"/>
        <v>0</v>
      </c>
      <c r="CS765">
        <f t="shared" si="105"/>
        <v>0</v>
      </c>
      <c r="CT765">
        <f t="shared" si="106"/>
        <v>-69.353556189427223</v>
      </c>
      <c r="CU765" s="7">
        <f t="shared" si="107"/>
        <v>-69.353556189427223</v>
      </c>
      <c r="CV765" s="9">
        <f t="shared" si="108"/>
        <v>291.26119999999997</v>
      </c>
      <c r="CW765" t="str">
        <f t="shared" si="109"/>
        <v>CoNiMnSn</v>
      </c>
    </row>
    <row r="766" spans="1:101" ht="15.75" thickBot="1" x14ac:dyDescent="0.3">
      <c r="A766" t="s">
        <v>91</v>
      </c>
      <c r="B766" t="s">
        <v>567</v>
      </c>
      <c r="C766" t="s">
        <v>3144</v>
      </c>
      <c r="E766" t="s">
        <v>3145</v>
      </c>
      <c r="F766" t="s">
        <v>93</v>
      </c>
      <c r="G766" t="s">
        <v>568</v>
      </c>
      <c r="H766">
        <v>460.76</v>
      </c>
      <c r="I766">
        <v>232</v>
      </c>
      <c r="J766">
        <v>0</v>
      </c>
      <c r="K766" t="s">
        <v>95</v>
      </c>
      <c r="L766">
        <v>-32.79232605</v>
      </c>
      <c r="M766">
        <f t="shared" si="101"/>
        <v>-71.170079976560459</v>
      </c>
      <c r="N766" t="s">
        <v>95</v>
      </c>
      <c r="O766" t="s">
        <v>569</v>
      </c>
      <c r="P766" t="s">
        <v>93</v>
      </c>
      <c r="Q766">
        <v>0</v>
      </c>
      <c r="R766" t="s">
        <v>95</v>
      </c>
      <c r="S766">
        <v>-33.134507020000001</v>
      </c>
      <c r="T766">
        <f t="shared" si="102"/>
        <v>-71.912724672280575</v>
      </c>
      <c r="U766" t="s">
        <v>95</v>
      </c>
      <c r="V766">
        <v>9962</v>
      </c>
      <c r="W766" t="s">
        <v>172</v>
      </c>
      <c r="X766">
        <v>298</v>
      </c>
      <c r="Y766" t="s">
        <v>170</v>
      </c>
      <c r="Z766">
        <v>-29.2</v>
      </c>
      <c r="AA766" t="s">
        <v>95</v>
      </c>
      <c r="AB766">
        <f t="shared" si="103"/>
        <v>-63.373556732355233</v>
      </c>
      <c r="AC766" t="s">
        <v>93</v>
      </c>
      <c r="AD766">
        <v>0.8</v>
      </c>
      <c r="AE766" t="s">
        <v>95</v>
      </c>
      <c r="AF766" t="s">
        <v>93</v>
      </c>
      <c r="AS766">
        <v>0.83</v>
      </c>
      <c r="BH766">
        <v>0.17</v>
      </c>
      <c r="CR766">
        <f t="shared" si="104"/>
        <v>-71.170079976560459</v>
      </c>
      <c r="CS766">
        <f t="shared" si="105"/>
        <v>-71.912724672280575</v>
      </c>
      <c r="CT766">
        <f t="shared" si="106"/>
        <v>-63.373556732355233</v>
      </c>
      <c r="CU766" s="7">
        <f t="shared" si="107"/>
        <v>-68.81878712706542</v>
      </c>
      <c r="CV766" s="9">
        <f t="shared" si="108"/>
        <v>460.76</v>
      </c>
      <c r="CW766" t="str">
        <f t="shared" si="109"/>
        <v>ErNi5</v>
      </c>
    </row>
    <row r="767" spans="1:101" ht="15.75" thickBot="1" x14ac:dyDescent="0.3">
      <c r="A767" t="s">
        <v>91</v>
      </c>
      <c r="B767" t="s">
        <v>853</v>
      </c>
      <c r="C767" t="s">
        <v>3144</v>
      </c>
      <c r="E767" t="s">
        <v>3145</v>
      </c>
      <c r="F767" t="s">
        <v>93</v>
      </c>
      <c r="G767" t="s">
        <v>854</v>
      </c>
      <c r="H767">
        <v>462.43419999999998</v>
      </c>
      <c r="I767">
        <v>339</v>
      </c>
      <c r="J767">
        <v>0</v>
      </c>
      <c r="K767" t="s">
        <v>95</v>
      </c>
      <c r="L767">
        <v>-33.040484120000002</v>
      </c>
      <c r="M767">
        <f t="shared" si="101"/>
        <v>-71.449049659389388</v>
      </c>
      <c r="N767" t="s">
        <v>95</v>
      </c>
      <c r="O767" t="s">
        <v>855</v>
      </c>
      <c r="P767" t="s">
        <v>93</v>
      </c>
      <c r="Q767">
        <v>0</v>
      </c>
      <c r="R767" t="s">
        <v>95</v>
      </c>
      <c r="S767">
        <v>-33.279794099999997</v>
      </c>
      <c r="T767">
        <f t="shared" si="102"/>
        <v>-71.966550268124635</v>
      </c>
      <c r="U767" t="s">
        <v>95</v>
      </c>
      <c r="V767">
        <v>17844</v>
      </c>
      <c r="W767" t="s">
        <v>172</v>
      </c>
      <c r="X767">
        <v>298</v>
      </c>
      <c r="Y767" t="s">
        <v>170</v>
      </c>
      <c r="Z767">
        <v>-29.1</v>
      </c>
      <c r="AA767" t="s">
        <v>95</v>
      </c>
      <c r="AB767">
        <f t="shared" si="103"/>
        <v>-62.927871684230979</v>
      </c>
      <c r="AC767" t="s">
        <v>93</v>
      </c>
      <c r="AD767">
        <v>0.7</v>
      </c>
      <c r="AE767" t="s">
        <v>95</v>
      </c>
      <c r="AF767" t="s">
        <v>93</v>
      </c>
      <c r="AS767">
        <v>0.83</v>
      </c>
      <c r="BO767">
        <v>0.17</v>
      </c>
      <c r="CR767">
        <f t="shared" si="104"/>
        <v>-71.449049659389388</v>
      </c>
      <c r="CS767">
        <f t="shared" si="105"/>
        <v>-71.966550268124635</v>
      </c>
      <c r="CT767">
        <f t="shared" si="106"/>
        <v>-62.927871684230979</v>
      </c>
      <c r="CU767" s="7">
        <f t="shared" si="107"/>
        <v>-68.781157203915001</v>
      </c>
      <c r="CV767" s="9">
        <f t="shared" si="108"/>
        <v>462.43419999999998</v>
      </c>
      <c r="CW767" t="str">
        <f t="shared" si="109"/>
        <v>TmNi5</v>
      </c>
    </row>
    <row r="768" spans="1:101" ht="15.75" thickBot="1" x14ac:dyDescent="0.3">
      <c r="A768" t="s">
        <v>91</v>
      </c>
      <c r="B768" t="s">
        <v>758</v>
      </c>
      <c r="C768" t="s">
        <v>3144</v>
      </c>
      <c r="E768" t="s">
        <v>3145</v>
      </c>
      <c r="F768" t="s">
        <v>93</v>
      </c>
      <c r="G768" t="s">
        <v>759</v>
      </c>
      <c r="H768">
        <v>468.46699999999998</v>
      </c>
      <c r="I768">
        <v>303</v>
      </c>
      <c r="J768">
        <v>0</v>
      </c>
      <c r="K768" t="s">
        <v>95</v>
      </c>
      <c r="L768">
        <v>-33.09193191</v>
      </c>
      <c r="M768">
        <f t="shared" si="101"/>
        <v>-70.638768387100896</v>
      </c>
      <c r="N768" t="s">
        <v>95</v>
      </c>
      <c r="O768" t="s">
        <v>760</v>
      </c>
      <c r="P768" t="s">
        <v>93</v>
      </c>
      <c r="Q768">
        <v>0</v>
      </c>
      <c r="R768" t="s">
        <v>95</v>
      </c>
      <c r="S768">
        <v>-33.31960471</v>
      </c>
      <c r="T768">
        <f t="shared" si="102"/>
        <v>-71.12476377204797</v>
      </c>
      <c r="U768" t="s">
        <v>95</v>
      </c>
      <c r="V768">
        <v>17615</v>
      </c>
      <c r="W768" t="s">
        <v>172</v>
      </c>
      <c r="X768">
        <v>298</v>
      </c>
      <c r="Y768" t="s">
        <v>170</v>
      </c>
      <c r="Z768">
        <v>-30</v>
      </c>
      <c r="AA768" t="s">
        <v>95</v>
      </c>
      <c r="AB768">
        <f t="shared" si="103"/>
        <v>-64.03866227503751</v>
      </c>
      <c r="AC768" t="s">
        <v>93</v>
      </c>
      <c r="AD768">
        <v>0.8</v>
      </c>
      <c r="AE768" t="s">
        <v>95</v>
      </c>
      <c r="AF768" t="s">
        <v>93</v>
      </c>
      <c r="AS768">
        <v>0.83</v>
      </c>
      <c r="BL768">
        <v>0.17</v>
      </c>
      <c r="CR768">
        <f t="shared" si="104"/>
        <v>-70.638768387100896</v>
      </c>
      <c r="CS768">
        <f t="shared" si="105"/>
        <v>-71.12476377204797</v>
      </c>
      <c r="CT768">
        <f t="shared" si="106"/>
        <v>-64.03866227503751</v>
      </c>
      <c r="CU768" s="7">
        <f t="shared" si="107"/>
        <v>-68.60073147806213</v>
      </c>
      <c r="CV768" s="9">
        <f t="shared" si="108"/>
        <v>468.46699999999998</v>
      </c>
      <c r="CW768" t="str">
        <f t="shared" si="109"/>
        <v>LuNi5</v>
      </c>
    </row>
    <row r="769" spans="1:101" ht="15.75" thickBot="1" x14ac:dyDescent="0.3">
      <c r="A769" t="s">
        <v>91</v>
      </c>
      <c r="B769" t="s">
        <v>1895</v>
      </c>
      <c r="C769" t="s">
        <v>3144</v>
      </c>
      <c r="E769" t="s">
        <v>3145</v>
      </c>
      <c r="F769" t="s">
        <v>93</v>
      </c>
      <c r="G769" t="s">
        <v>1896</v>
      </c>
      <c r="H769">
        <v>359.976</v>
      </c>
      <c r="I769">
        <v>724</v>
      </c>
      <c r="M769">
        <f t="shared" si="101"/>
        <v>0</v>
      </c>
      <c r="O769" t="s">
        <v>93</v>
      </c>
      <c r="P769" t="s">
        <v>93</v>
      </c>
      <c r="Q769">
        <v>0</v>
      </c>
      <c r="R769" t="s">
        <v>95</v>
      </c>
      <c r="S769">
        <v>-27.435115329999999</v>
      </c>
      <c r="T769">
        <f t="shared" si="102"/>
        <v>-76.213734610085112</v>
      </c>
      <c r="U769" t="s">
        <v>95</v>
      </c>
      <c r="V769">
        <v>27623</v>
      </c>
      <c r="W769" t="s">
        <v>364</v>
      </c>
      <c r="X769">
        <v>298</v>
      </c>
      <c r="Y769" t="s">
        <v>365</v>
      </c>
      <c r="Z769">
        <v>-21.8</v>
      </c>
      <c r="AA769" t="s">
        <v>95</v>
      </c>
      <c r="AB769">
        <f t="shared" si="103"/>
        <v>-60.559592861746346</v>
      </c>
      <c r="AC769" t="s">
        <v>93</v>
      </c>
      <c r="AD769">
        <v>1.9</v>
      </c>
      <c r="AE769" t="s">
        <v>95</v>
      </c>
      <c r="AF769" t="s">
        <v>93</v>
      </c>
      <c r="AH769" t="s">
        <v>93</v>
      </c>
      <c r="AI769" t="s">
        <v>93</v>
      </c>
      <c r="AO769">
        <v>0.33</v>
      </c>
      <c r="CR769">
        <f t="shared" si="104"/>
        <v>0</v>
      </c>
      <c r="CS769">
        <f t="shared" si="105"/>
        <v>-76.213734610085112</v>
      </c>
      <c r="CT769">
        <f t="shared" si="106"/>
        <v>-60.559592861746346</v>
      </c>
      <c r="CU769" s="7">
        <f t="shared" si="107"/>
        <v>-68.386663735915732</v>
      </c>
      <c r="CV769" s="9">
        <f t="shared" si="108"/>
        <v>359.976</v>
      </c>
      <c r="CW769" t="str">
        <f t="shared" si="109"/>
        <v>NdAg2</v>
      </c>
    </row>
    <row r="770" spans="1:101" ht="15.75" thickBot="1" x14ac:dyDescent="0.3">
      <c r="A770" t="s">
        <v>91</v>
      </c>
      <c r="B770" t="s">
        <v>1860</v>
      </c>
      <c r="C770" t="s">
        <v>3144</v>
      </c>
      <c r="E770" t="s">
        <v>3145</v>
      </c>
      <c r="F770" t="s">
        <v>93</v>
      </c>
      <c r="G770" t="s">
        <v>1861</v>
      </c>
      <c r="H770">
        <v>213.946</v>
      </c>
      <c r="I770">
        <v>710</v>
      </c>
      <c r="J770">
        <v>3.52684145</v>
      </c>
      <c r="K770" t="s">
        <v>95</v>
      </c>
      <c r="L770">
        <v>-16.822918810000001</v>
      </c>
      <c r="M770">
        <f t="shared" ref="M770:M833" si="110">(1000/H770)*L770</f>
        <v>-78.631611761846443</v>
      </c>
      <c r="N770" t="s">
        <v>95</v>
      </c>
      <c r="O770" t="s">
        <v>1862</v>
      </c>
      <c r="P770" t="s">
        <v>93</v>
      </c>
      <c r="T770">
        <f t="shared" ref="T770:T833" si="111">(1000/H770)*S770</f>
        <v>0</v>
      </c>
      <c r="V770" t="s">
        <v>93</v>
      </c>
      <c r="W770" t="s">
        <v>102</v>
      </c>
      <c r="X770">
        <v>298</v>
      </c>
      <c r="Y770" t="s">
        <v>103</v>
      </c>
      <c r="Z770">
        <v>-12.4</v>
      </c>
      <c r="AA770" t="s">
        <v>95</v>
      </c>
      <c r="AB770">
        <f t="shared" ref="AB770:AB833" si="112">(1000/H770)*Z770</f>
        <v>-57.958550288390526</v>
      </c>
      <c r="AC770" t="s">
        <v>93</v>
      </c>
      <c r="AD770">
        <v>1.9</v>
      </c>
      <c r="AE770" t="s">
        <v>95</v>
      </c>
      <c r="AF770" t="s">
        <v>93</v>
      </c>
      <c r="AJ770" t="s">
        <v>93</v>
      </c>
      <c r="AK770" t="s">
        <v>93</v>
      </c>
      <c r="AX770">
        <v>0.5</v>
      </c>
      <c r="BN770">
        <v>0.5</v>
      </c>
      <c r="CR770">
        <f t="shared" ref="CR770:CR833" si="113">VALUE(M770)</f>
        <v>-78.631611761846443</v>
      </c>
      <c r="CS770">
        <f t="shared" ref="CS770:CS833" si="114">VALUE(T770)</f>
        <v>0</v>
      </c>
      <c r="CT770">
        <f t="shared" ref="CT770:CT833" si="115">VALUE(AB770)</f>
        <v>-57.958550288390526</v>
      </c>
      <c r="CU770" s="7">
        <f t="shared" ref="CU770:CU833" si="116">SUM(CR770:CT770)/(COUNTIF(CR770:CT770,"&lt;&gt;0")-COUNTBLANK(CR770:CT770)-(COUNTA(CR770:CT770)-COUNT(CR770:CT770)))</f>
        <v>-68.295081025118492</v>
      </c>
      <c r="CV770" s="9">
        <f t="shared" si="108"/>
        <v>213.946</v>
      </c>
      <c r="CW770" t="str">
        <f t="shared" si="109"/>
        <v>SmCu</v>
      </c>
    </row>
    <row r="771" spans="1:101" ht="15.75" thickBot="1" x14ac:dyDescent="0.3">
      <c r="A771" t="s">
        <v>484</v>
      </c>
      <c r="B771" t="s">
        <v>93</v>
      </c>
      <c r="C771" t="s">
        <v>3138</v>
      </c>
      <c r="D771" t="s">
        <v>3139</v>
      </c>
      <c r="F771" t="s">
        <v>3140</v>
      </c>
      <c r="G771" t="s">
        <v>2319</v>
      </c>
      <c r="H771">
        <v>280.3664</v>
      </c>
      <c r="I771">
        <v>931</v>
      </c>
      <c r="J771">
        <v>0</v>
      </c>
      <c r="K771" t="s">
        <v>95</v>
      </c>
      <c r="L771">
        <v>-19.45319975</v>
      </c>
      <c r="M771">
        <f t="shared" si="110"/>
        <v>-69.384918271233644</v>
      </c>
      <c r="N771" t="s">
        <v>95</v>
      </c>
      <c r="O771" t="s">
        <v>2320</v>
      </c>
      <c r="P771" t="s">
        <v>93</v>
      </c>
      <c r="Q771">
        <v>0</v>
      </c>
      <c r="R771" t="s">
        <v>95</v>
      </c>
      <c r="S771">
        <v>-20.481381070000001</v>
      </c>
      <c r="T771">
        <f t="shared" si="111"/>
        <v>-73.052195519862579</v>
      </c>
      <c r="U771" t="s">
        <v>95</v>
      </c>
      <c r="V771">
        <v>20722</v>
      </c>
      <c r="W771" t="s">
        <v>159</v>
      </c>
      <c r="X771">
        <v>298</v>
      </c>
      <c r="Y771" t="s">
        <v>160</v>
      </c>
      <c r="Z771">
        <v>-17.399999999999999</v>
      </c>
      <c r="AA771" t="s">
        <v>95</v>
      </c>
      <c r="AB771">
        <f t="shared" si="112"/>
        <v>-62.061645047338047</v>
      </c>
      <c r="AC771" t="s">
        <v>93</v>
      </c>
      <c r="AD771">
        <v>1.8</v>
      </c>
      <c r="AE771" t="s">
        <v>95</v>
      </c>
      <c r="AF771" t="s">
        <v>93</v>
      </c>
      <c r="AW771">
        <v>0.67100000000000004</v>
      </c>
      <c r="BG771">
        <v>0.32900000000000001</v>
      </c>
      <c r="CR771">
        <f t="shared" si="113"/>
        <v>-69.384918271233644</v>
      </c>
      <c r="CS771">
        <f t="shared" si="114"/>
        <v>-73.052195519862579</v>
      </c>
      <c r="CT771">
        <f t="shared" si="115"/>
        <v>-62.061645047338047</v>
      </c>
      <c r="CU771" s="7">
        <f t="shared" si="116"/>
        <v>-68.166252946144766</v>
      </c>
      <c r="CV771" s="9">
        <f t="shared" ref="CV771:CV834" si="117">H771</f>
        <v>280.3664</v>
      </c>
      <c r="CW771" t="str">
        <f t="shared" si="109"/>
        <v>Co2Dy</v>
      </c>
    </row>
    <row r="772" spans="1:101" ht="15.75" thickBot="1" x14ac:dyDescent="0.3">
      <c r="A772" t="s">
        <v>91</v>
      </c>
      <c r="B772" t="s">
        <v>403</v>
      </c>
      <c r="C772" t="s">
        <v>3144</v>
      </c>
      <c r="E772" t="s">
        <v>3145</v>
      </c>
      <c r="F772" t="s">
        <v>93</v>
      </c>
      <c r="G772" t="s">
        <v>404</v>
      </c>
      <c r="H772">
        <v>470.626499999999</v>
      </c>
      <c r="I772">
        <v>166</v>
      </c>
      <c r="J772">
        <v>0</v>
      </c>
      <c r="K772" t="s">
        <v>95</v>
      </c>
      <c r="L772">
        <v>-32.867391320000003</v>
      </c>
      <c r="M772">
        <f t="shared" si="110"/>
        <v>-69.837527891013522</v>
      </c>
      <c r="N772" t="s">
        <v>95</v>
      </c>
      <c r="O772" t="s">
        <v>405</v>
      </c>
      <c r="P772" t="s">
        <v>93</v>
      </c>
      <c r="Q772">
        <v>0</v>
      </c>
      <c r="R772" t="s">
        <v>95</v>
      </c>
      <c r="S772">
        <v>-33.258000969999998</v>
      </c>
      <c r="T772">
        <f t="shared" si="111"/>
        <v>-70.667505909675867</v>
      </c>
      <c r="U772" t="s">
        <v>95</v>
      </c>
      <c r="V772">
        <v>10833</v>
      </c>
      <c r="W772" t="s">
        <v>391</v>
      </c>
      <c r="X772">
        <v>298</v>
      </c>
      <c r="Y772" t="s">
        <v>392</v>
      </c>
      <c r="Z772">
        <v>-30.07</v>
      </c>
      <c r="AA772" t="s">
        <v>95</v>
      </c>
      <c r="AB772">
        <f t="shared" si="112"/>
        <v>-63.893554655337226</v>
      </c>
      <c r="AC772" t="s">
        <v>93</v>
      </c>
      <c r="AD772">
        <v>1.92</v>
      </c>
      <c r="AE772" t="s">
        <v>95</v>
      </c>
      <c r="AF772" t="s">
        <v>93</v>
      </c>
      <c r="AP772">
        <v>0.75</v>
      </c>
      <c r="BC772">
        <v>0.25</v>
      </c>
      <c r="CR772">
        <f t="shared" si="113"/>
        <v>-69.837527891013522</v>
      </c>
      <c r="CS772">
        <f t="shared" si="114"/>
        <v>-70.667505909675867</v>
      </c>
      <c r="CT772">
        <f t="shared" si="115"/>
        <v>-63.893554655337226</v>
      </c>
      <c r="CU772" s="7">
        <f t="shared" si="116"/>
        <v>-68.132862818675534</v>
      </c>
      <c r="CV772" s="9">
        <f t="shared" si="117"/>
        <v>470.626499999999</v>
      </c>
      <c r="CW772" t="str">
        <f t="shared" si="109"/>
        <v>Zr3Au</v>
      </c>
    </row>
    <row r="773" spans="1:101" ht="15.75" thickBot="1" x14ac:dyDescent="0.3">
      <c r="A773" t="s">
        <v>91</v>
      </c>
      <c r="B773" t="s">
        <v>660</v>
      </c>
      <c r="C773" t="s">
        <v>3144</v>
      </c>
      <c r="E773" t="s">
        <v>3145</v>
      </c>
      <c r="F773" t="s">
        <v>93</v>
      </c>
      <c r="G773" t="s">
        <v>661</v>
      </c>
      <c r="H773">
        <v>458.430399999999</v>
      </c>
      <c r="I773">
        <v>267</v>
      </c>
      <c r="J773">
        <v>0</v>
      </c>
      <c r="K773" t="s">
        <v>95</v>
      </c>
      <c r="L773">
        <v>-32.521652369999998</v>
      </c>
      <c r="M773">
        <f t="shared" si="110"/>
        <v>-70.941308364366918</v>
      </c>
      <c r="N773" t="s">
        <v>95</v>
      </c>
      <c r="O773" t="s">
        <v>662</v>
      </c>
      <c r="P773" t="s">
        <v>93</v>
      </c>
      <c r="T773">
        <f t="shared" si="111"/>
        <v>0</v>
      </c>
      <c r="V773" t="s">
        <v>93</v>
      </c>
      <c r="W773" t="s">
        <v>172</v>
      </c>
      <c r="X773">
        <v>298</v>
      </c>
      <c r="Y773" t="s">
        <v>170</v>
      </c>
      <c r="Z773">
        <v>-29.9</v>
      </c>
      <c r="AA773" t="s">
        <v>95</v>
      </c>
      <c r="AB773">
        <f t="shared" si="112"/>
        <v>-65.222550685993042</v>
      </c>
      <c r="AC773" t="s">
        <v>93</v>
      </c>
      <c r="AD773">
        <v>0.8</v>
      </c>
      <c r="AE773" t="s">
        <v>95</v>
      </c>
      <c r="AF773" t="s">
        <v>93</v>
      </c>
      <c r="AJ773" t="s">
        <v>93</v>
      </c>
      <c r="AK773" t="s">
        <v>93</v>
      </c>
      <c r="AS773">
        <v>0.83</v>
      </c>
      <c r="BJ773">
        <v>0.17</v>
      </c>
      <c r="CR773">
        <f t="shared" si="113"/>
        <v>-70.941308364366918</v>
      </c>
      <c r="CS773">
        <f t="shared" si="114"/>
        <v>0</v>
      </c>
      <c r="CT773">
        <f t="shared" si="115"/>
        <v>-65.222550685993042</v>
      </c>
      <c r="CU773" s="7">
        <f t="shared" si="116"/>
        <v>-68.081929525179987</v>
      </c>
      <c r="CV773" s="9">
        <f t="shared" si="117"/>
        <v>458.430399999999</v>
      </c>
      <c r="CW773" t="str">
        <f t="shared" si="109"/>
        <v>HoNi5</v>
      </c>
    </row>
    <row r="774" spans="1:101" ht="15.75" thickBot="1" x14ac:dyDescent="0.3">
      <c r="A774" t="s">
        <v>91</v>
      </c>
      <c r="B774" t="s">
        <v>2105</v>
      </c>
      <c r="C774" t="s">
        <v>3144</v>
      </c>
      <c r="E774" t="s">
        <v>3145</v>
      </c>
      <c r="G774" t="s">
        <v>2106</v>
      </c>
      <c r="H774">
        <v>294.79000000000002</v>
      </c>
      <c r="I774">
        <v>836</v>
      </c>
      <c r="J774">
        <v>0</v>
      </c>
      <c r="K774" t="s">
        <v>95</v>
      </c>
      <c r="L774">
        <v>-18.426969270000001</v>
      </c>
      <c r="M774">
        <f t="shared" si="110"/>
        <v>-62.50880040028494</v>
      </c>
      <c r="N774" t="s">
        <v>95</v>
      </c>
      <c r="O774" t="s">
        <v>2107</v>
      </c>
      <c r="P774" t="s">
        <v>93</v>
      </c>
      <c r="Q774">
        <v>0.15216658</v>
      </c>
      <c r="R774" t="s">
        <v>95</v>
      </c>
      <c r="S774">
        <v>-21.480910690000002</v>
      </c>
      <c r="T774">
        <f t="shared" si="111"/>
        <v>-72.868518911767694</v>
      </c>
      <c r="U774" t="s">
        <v>95</v>
      </c>
      <c r="V774">
        <v>17810</v>
      </c>
      <c r="W774" t="s">
        <v>1313</v>
      </c>
      <c r="X774">
        <v>1332</v>
      </c>
      <c r="Y774" t="s">
        <v>179</v>
      </c>
      <c r="AB774">
        <f t="shared" si="112"/>
        <v>0</v>
      </c>
      <c r="AC774" t="s">
        <v>93</v>
      </c>
      <c r="AD774">
        <v>2.4</v>
      </c>
      <c r="AE774" t="s">
        <v>95</v>
      </c>
      <c r="AF774" t="s">
        <v>93</v>
      </c>
      <c r="AS774">
        <v>0.75</v>
      </c>
      <c r="CF774">
        <v>0.25</v>
      </c>
      <c r="CG774">
        <v>-21</v>
      </c>
      <c r="CH774" t="s">
        <v>95</v>
      </c>
      <c r="CI774" t="s">
        <v>93</v>
      </c>
      <c r="CR774">
        <f t="shared" si="113"/>
        <v>-62.50880040028494</v>
      </c>
      <c r="CS774">
        <f t="shared" si="114"/>
        <v>-72.868518911767694</v>
      </c>
      <c r="CT774">
        <f t="shared" si="115"/>
        <v>0</v>
      </c>
      <c r="CU774" s="7">
        <f t="shared" si="116"/>
        <v>-67.688659656026317</v>
      </c>
      <c r="CV774" s="9">
        <f t="shared" si="117"/>
        <v>294.79000000000002</v>
      </c>
      <c r="CW774" t="str">
        <f t="shared" si="109"/>
        <v>Ni3Sn</v>
      </c>
    </row>
    <row r="775" spans="1:101" ht="15.75" thickBot="1" x14ac:dyDescent="0.3">
      <c r="A775" t="s">
        <v>91</v>
      </c>
      <c r="B775" t="s">
        <v>2108</v>
      </c>
      <c r="C775" t="s">
        <v>3144</v>
      </c>
      <c r="E775" t="s">
        <v>3145</v>
      </c>
      <c r="G775" t="s">
        <v>2106</v>
      </c>
      <c r="H775">
        <v>294.79000000000002</v>
      </c>
      <c r="I775">
        <v>838</v>
      </c>
      <c r="J775">
        <v>0</v>
      </c>
      <c r="K775" t="s">
        <v>95</v>
      </c>
      <c r="L775">
        <v>-18.426969270000001</v>
      </c>
      <c r="M775">
        <f t="shared" si="110"/>
        <v>-62.50880040028494</v>
      </c>
      <c r="N775" t="s">
        <v>95</v>
      </c>
      <c r="O775" t="s">
        <v>2107</v>
      </c>
      <c r="P775" t="s">
        <v>93</v>
      </c>
      <c r="Q775">
        <v>0.15216658</v>
      </c>
      <c r="R775" t="s">
        <v>95</v>
      </c>
      <c r="S775">
        <v>-21.480910690000002</v>
      </c>
      <c r="T775">
        <f t="shared" si="111"/>
        <v>-72.868518911767694</v>
      </c>
      <c r="U775" t="s">
        <v>95</v>
      </c>
      <c r="V775">
        <v>17810</v>
      </c>
      <c r="W775" t="s">
        <v>1313</v>
      </c>
      <c r="X775">
        <v>943</v>
      </c>
      <c r="Y775" t="s">
        <v>179</v>
      </c>
      <c r="AB775">
        <f t="shared" si="112"/>
        <v>0</v>
      </c>
      <c r="AC775" t="s">
        <v>93</v>
      </c>
      <c r="AD775">
        <v>1.2</v>
      </c>
      <c r="AE775" t="s">
        <v>95</v>
      </c>
      <c r="AF775" t="s">
        <v>93</v>
      </c>
      <c r="AS775">
        <v>0.75</v>
      </c>
      <c r="CF775">
        <v>0.25</v>
      </c>
      <c r="CG775">
        <v>-24.4</v>
      </c>
      <c r="CH775" t="s">
        <v>95</v>
      </c>
      <c r="CI775" t="s">
        <v>93</v>
      </c>
      <c r="CR775">
        <f t="shared" si="113"/>
        <v>-62.50880040028494</v>
      </c>
      <c r="CS775">
        <f t="shared" si="114"/>
        <v>-72.868518911767694</v>
      </c>
      <c r="CT775">
        <f t="shared" si="115"/>
        <v>0</v>
      </c>
      <c r="CU775" s="7">
        <f t="shared" si="116"/>
        <v>-67.688659656026317</v>
      </c>
      <c r="CV775" s="9">
        <f t="shared" si="117"/>
        <v>294.79000000000002</v>
      </c>
      <c r="CW775" t="str">
        <f t="shared" si="109"/>
        <v>Ni3Sn</v>
      </c>
    </row>
    <row r="776" spans="1:101" ht="15.75" thickBot="1" x14ac:dyDescent="0.3">
      <c r="A776" t="s">
        <v>91</v>
      </c>
      <c r="B776" t="s">
        <v>93</v>
      </c>
      <c r="C776" t="s">
        <v>3144</v>
      </c>
      <c r="E776" t="s">
        <v>3145</v>
      </c>
      <c r="F776" t="s">
        <v>93</v>
      </c>
      <c r="G776" t="s">
        <v>277</v>
      </c>
      <c r="H776">
        <v>442.94569999999999</v>
      </c>
      <c r="I776">
        <v>90</v>
      </c>
      <c r="M776">
        <f t="shared" si="110"/>
        <v>0</v>
      </c>
      <c r="O776" t="s">
        <v>93</v>
      </c>
      <c r="P776" t="s">
        <v>93</v>
      </c>
      <c r="T776">
        <f t="shared" si="111"/>
        <v>0</v>
      </c>
      <c r="V776" t="s">
        <v>93</v>
      </c>
      <c r="W776" t="s">
        <v>102</v>
      </c>
      <c r="X776">
        <v>298</v>
      </c>
      <c r="Y776" t="s">
        <v>103</v>
      </c>
      <c r="Z776">
        <v>-29.97</v>
      </c>
      <c r="AA776" t="s">
        <v>95</v>
      </c>
      <c r="AB776">
        <f t="shared" si="112"/>
        <v>-67.660663598269494</v>
      </c>
      <c r="AC776" t="s">
        <v>93</v>
      </c>
      <c r="AD776">
        <v>2.2599999999999998</v>
      </c>
      <c r="AE776" t="s">
        <v>95</v>
      </c>
      <c r="AF776" t="s">
        <v>93</v>
      </c>
      <c r="AH776" t="s">
        <v>93</v>
      </c>
      <c r="AI776" t="s">
        <v>93</v>
      </c>
      <c r="AJ776" t="s">
        <v>93</v>
      </c>
      <c r="AK776" t="s">
        <v>93</v>
      </c>
      <c r="AR776">
        <v>0.5</v>
      </c>
      <c r="AS776">
        <v>0.2</v>
      </c>
      <c r="AX776">
        <v>0.3</v>
      </c>
      <c r="CR776">
        <f t="shared" si="113"/>
        <v>0</v>
      </c>
      <c r="CS776">
        <f t="shared" si="114"/>
        <v>0</v>
      </c>
      <c r="CT776">
        <f t="shared" si="115"/>
        <v>-67.660663598269494</v>
      </c>
      <c r="CU776" s="7">
        <f t="shared" si="116"/>
        <v>-67.660663598269494</v>
      </c>
      <c r="CV776" s="9">
        <f t="shared" si="117"/>
        <v>442.94569999999999</v>
      </c>
      <c r="CW776" t="str">
        <f t="shared" si="109"/>
        <v>Al5Cu3Ni2</v>
      </c>
    </row>
    <row r="777" spans="1:101" ht="15.75" thickBot="1" x14ac:dyDescent="0.3">
      <c r="A777" t="s">
        <v>91</v>
      </c>
      <c r="B777" t="s">
        <v>1359</v>
      </c>
      <c r="C777" t="s">
        <v>3144</v>
      </c>
      <c r="E777" t="s">
        <v>3145</v>
      </c>
      <c r="F777" t="s">
        <v>93</v>
      </c>
      <c r="G777" t="s">
        <v>1360</v>
      </c>
      <c r="H777">
        <v>784.85649999999998</v>
      </c>
      <c r="I777">
        <v>528</v>
      </c>
      <c r="J777">
        <v>0</v>
      </c>
      <c r="K777" t="s">
        <v>95</v>
      </c>
      <c r="L777">
        <v>-52.740342460000001</v>
      </c>
      <c r="M777">
        <f t="shared" si="110"/>
        <v>-67.197433492619354</v>
      </c>
      <c r="N777" t="s">
        <v>95</v>
      </c>
      <c r="O777" t="s">
        <v>1361</v>
      </c>
      <c r="P777" t="s">
        <v>121</v>
      </c>
      <c r="Q777">
        <v>0.17698955</v>
      </c>
      <c r="R777" t="s">
        <v>95</v>
      </c>
      <c r="S777">
        <v>-53.611704869999997</v>
      </c>
      <c r="T777">
        <f t="shared" si="111"/>
        <v>-68.307652252354401</v>
      </c>
      <c r="U777" t="s">
        <v>95</v>
      </c>
      <c r="V777">
        <v>29191</v>
      </c>
      <c r="W777" t="s">
        <v>1362</v>
      </c>
      <c r="X777">
        <v>298</v>
      </c>
      <c r="Y777" t="s">
        <v>480</v>
      </c>
      <c r="Z777">
        <v>-52.8</v>
      </c>
      <c r="AA777" t="s">
        <v>95</v>
      </c>
      <c r="AB777">
        <f t="shared" si="112"/>
        <v>-67.273444253822191</v>
      </c>
      <c r="AC777" t="s">
        <v>93</v>
      </c>
      <c r="AD777">
        <v>0.6</v>
      </c>
      <c r="AE777" t="s">
        <v>95</v>
      </c>
      <c r="AF777" t="s">
        <v>93</v>
      </c>
      <c r="AM777">
        <v>0.625</v>
      </c>
      <c r="BX777">
        <v>0.375</v>
      </c>
      <c r="CR777">
        <f t="shared" si="113"/>
        <v>-67.197433492619354</v>
      </c>
      <c r="CS777">
        <f t="shared" si="114"/>
        <v>-68.307652252354401</v>
      </c>
      <c r="CT777">
        <f t="shared" si="115"/>
        <v>-67.273444253822191</v>
      </c>
      <c r="CU777" s="7">
        <f t="shared" si="116"/>
        <v>-67.592843332931992</v>
      </c>
      <c r="CV777" s="9">
        <f t="shared" si="117"/>
        <v>784.85649999999998</v>
      </c>
      <c r="CW777" t="str">
        <f t="shared" si="109"/>
        <v>Ce5Si3</v>
      </c>
    </row>
    <row r="778" spans="1:101" ht="15.75" thickBot="1" x14ac:dyDescent="0.3">
      <c r="A778" t="s">
        <v>91</v>
      </c>
      <c r="B778" t="s">
        <v>2151</v>
      </c>
      <c r="C778" t="s">
        <v>3144</v>
      </c>
      <c r="E778" t="s">
        <v>3145</v>
      </c>
      <c r="F778" t="s">
        <v>93</v>
      </c>
      <c r="G778" t="s">
        <v>2152</v>
      </c>
      <c r="H778">
        <v>1108.07</v>
      </c>
      <c r="I778">
        <v>855</v>
      </c>
      <c r="M778">
        <f t="shared" si="110"/>
        <v>0</v>
      </c>
      <c r="O778" t="s">
        <v>93</v>
      </c>
      <c r="P778" t="s">
        <v>93</v>
      </c>
      <c r="Q778">
        <v>0</v>
      </c>
      <c r="R778" t="s">
        <v>95</v>
      </c>
      <c r="S778">
        <v>-71.887094669999996</v>
      </c>
      <c r="T778">
        <f t="shared" si="111"/>
        <v>-64.875950680011186</v>
      </c>
      <c r="U778" t="s">
        <v>95</v>
      </c>
      <c r="V778">
        <v>31076</v>
      </c>
      <c r="W778" t="s">
        <v>339</v>
      </c>
      <c r="X778">
        <v>298</v>
      </c>
      <c r="Y778" t="s">
        <v>1403</v>
      </c>
      <c r="Z778">
        <v>-77.900000000000006</v>
      </c>
      <c r="AA778" t="s">
        <v>95</v>
      </c>
      <c r="AB778">
        <f t="shared" si="112"/>
        <v>-70.302417717292229</v>
      </c>
      <c r="AC778" t="s">
        <v>93</v>
      </c>
      <c r="AD778">
        <v>2</v>
      </c>
      <c r="AE778" t="s">
        <v>95</v>
      </c>
      <c r="AF778" t="s">
        <v>93</v>
      </c>
      <c r="AH778" t="s">
        <v>93</v>
      </c>
      <c r="AI778" t="s">
        <v>93</v>
      </c>
      <c r="BN778">
        <v>0.625</v>
      </c>
      <c r="CF778">
        <v>0.375</v>
      </c>
      <c r="CR778">
        <f t="shared" si="113"/>
        <v>0</v>
      </c>
      <c r="CS778">
        <f t="shared" si="114"/>
        <v>-64.875950680011186</v>
      </c>
      <c r="CT778">
        <f t="shared" si="115"/>
        <v>-70.302417717292229</v>
      </c>
      <c r="CU778" s="7">
        <f t="shared" si="116"/>
        <v>-67.589184198651708</v>
      </c>
      <c r="CV778" s="9">
        <f t="shared" si="117"/>
        <v>1108.07</v>
      </c>
      <c r="CW778" t="str">
        <f t="shared" si="109"/>
        <v>Sm5Sn3</v>
      </c>
    </row>
    <row r="779" spans="1:101" ht="15.75" thickBot="1" x14ac:dyDescent="0.3">
      <c r="A779" t="s">
        <v>91</v>
      </c>
      <c r="B779" t="s">
        <v>1516</v>
      </c>
      <c r="C779" t="s">
        <v>3144</v>
      </c>
      <c r="E779" t="s">
        <v>3145</v>
      </c>
      <c r="F779" t="s">
        <v>93</v>
      </c>
      <c r="G779" t="s">
        <v>1517</v>
      </c>
      <c r="H779">
        <v>563.95650000000001</v>
      </c>
      <c r="I779">
        <v>582</v>
      </c>
      <c r="J779">
        <v>0</v>
      </c>
      <c r="K779" t="s">
        <v>95</v>
      </c>
      <c r="L779">
        <v>-37.612781040000002</v>
      </c>
      <c r="M779">
        <f t="shared" si="110"/>
        <v>-66.694472073643979</v>
      </c>
      <c r="N779" t="s">
        <v>95</v>
      </c>
      <c r="O779" t="s">
        <v>1518</v>
      </c>
      <c r="P779" t="s">
        <v>93</v>
      </c>
      <c r="Q779">
        <v>0</v>
      </c>
      <c r="R779" t="s">
        <v>95</v>
      </c>
      <c r="S779">
        <v>-38.420975489999996</v>
      </c>
      <c r="T779">
        <f t="shared" si="111"/>
        <v>-68.127551486683814</v>
      </c>
      <c r="U779" t="s">
        <v>95</v>
      </c>
      <c r="V779">
        <v>6653</v>
      </c>
      <c r="W779" t="s">
        <v>1362</v>
      </c>
      <c r="X779">
        <v>298</v>
      </c>
      <c r="Y779" t="s">
        <v>480</v>
      </c>
      <c r="Z779">
        <v>-38.200000000000003</v>
      </c>
      <c r="AA779" t="s">
        <v>95</v>
      </c>
      <c r="AB779">
        <f t="shared" si="112"/>
        <v>-67.735720751511863</v>
      </c>
      <c r="AC779" t="s">
        <v>93</v>
      </c>
      <c r="AD779">
        <v>1.6</v>
      </c>
      <c r="AE779" t="s">
        <v>95</v>
      </c>
      <c r="AF779" t="s">
        <v>93</v>
      </c>
      <c r="BS779">
        <v>0.625</v>
      </c>
      <c r="BX779">
        <v>0.375</v>
      </c>
      <c r="CR779">
        <f t="shared" si="113"/>
        <v>-66.694472073643979</v>
      </c>
      <c r="CS779">
        <f t="shared" si="114"/>
        <v>-68.127551486683814</v>
      </c>
      <c r="CT779">
        <f t="shared" si="115"/>
        <v>-67.735720751511863</v>
      </c>
      <c r="CU779" s="7">
        <f t="shared" si="116"/>
        <v>-67.519248103946552</v>
      </c>
      <c r="CV779" s="9">
        <f t="shared" si="117"/>
        <v>563.95650000000001</v>
      </c>
      <c r="CW779" t="str">
        <f t="shared" si="109"/>
        <v>Si3Mo5</v>
      </c>
    </row>
    <row r="780" spans="1:101" ht="15.75" thickBot="1" x14ac:dyDescent="0.3">
      <c r="A780" t="s">
        <v>91</v>
      </c>
      <c r="B780" t="s">
        <v>537</v>
      </c>
      <c r="C780" t="s">
        <v>3144</v>
      </c>
      <c r="E780" t="s">
        <v>3145</v>
      </c>
      <c r="F780" t="s">
        <v>93</v>
      </c>
      <c r="G780" t="s">
        <v>538</v>
      </c>
      <c r="H780">
        <v>456</v>
      </c>
      <c r="I780">
        <v>219</v>
      </c>
      <c r="J780">
        <v>0</v>
      </c>
      <c r="K780" t="s">
        <v>95</v>
      </c>
      <c r="L780">
        <v>-32.258511380000002</v>
      </c>
      <c r="M780">
        <f t="shared" si="110"/>
        <v>-70.742349517543872</v>
      </c>
      <c r="N780" t="s">
        <v>95</v>
      </c>
      <c r="O780" t="s">
        <v>539</v>
      </c>
      <c r="P780" t="s">
        <v>93</v>
      </c>
      <c r="Q780">
        <v>0</v>
      </c>
      <c r="R780" t="s">
        <v>95</v>
      </c>
      <c r="S780">
        <v>-32.457548690000003</v>
      </c>
      <c r="T780">
        <f t="shared" si="111"/>
        <v>-71.178834846491242</v>
      </c>
      <c r="U780" t="s">
        <v>95</v>
      </c>
      <c r="V780">
        <v>29892</v>
      </c>
      <c r="W780" t="s">
        <v>172</v>
      </c>
      <c r="X780">
        <v>298</v>
      </c>
      <c r="Y780" t="s">
        <v>170</v>
      </c>
      <c r="Z780">
        <v>-27.4</v>
      </c>
      <c r="AA780" t="s">
        <v>95</v>
      </c>
      <c r="AB780">
        <f t="shared" si="112"/>
        <v>-60.087719298245617</v>
      </c>
      <c r="AC780" t="s">
        <v>93</v>
      </c>
      <c r="AD780">
        <v>0.7</v>
      </c>
      <c r="AE780" t="s">
        <v>95</v>
      </c>
      <c r="AF780" t="s">
        <v>93</v>
      </c>
      <c r="AS780">
        <v>0.83</v>
      </c>
      <c r="BG780">
        <v>0.17</v>
      </c>
      <c r="CR780">
        <f t="shared" si="113"/>
        <v>-70.742349517543872</v>
      </c>
      <c r="CS780">
        <f t="shared" si="114"/>
        <v>-71.178834846491242</v>
      </c>
      <c r="CT780">
        <f t="shared" si="115"/>
        <v>-60.087719298245617</v>
      </c>
      <c r="CU780" s="7">
        <f t="shared" si="116"/>
        <v>-67.336301220760248</v>
      </c>
      <c r="CV780" s="9">
        <f t="shared" si="117"/>
        <v>456</v>
      </c>
      <c r="CW780" t="str">
        <f t="shared" si="109"/>
        <v>DyNi5</v>
      </c>
    </row>
    <row r="781" spans="1:101" ht="15.75" thickBot="1" x14ac:dyDescent="0.3">
      <c r="A781" t="s">
        <v>91</v>
      </c>
      <c r="B781" t="s">
        <v>608</v>
      </c>
      <c r="C781" t="s">
        <v>3144</v>
      </c>
      <c r="E781" t="s">
        <v>3145</v>
      </c>
      <c r="F781" t="s">
        <v>93</v>
      </c>
      <c r="G781" t="s">
        <v>609</v>
      </c>
      <c r="H781">
        <v>359.39</v>
      </c>
      <c r="I781">
        <v>246</v>
      </c>
      <c r="M781">
        <f t="shared" si="110"/>
        <v>0</v>
      </c>
      <c r="O781" t="s">
        <v>93</v>
      </c>
      <c r="P781" t="s">
        <v>93</v>
      </c>
      <c r="Q781">
        <v>0</v>
      </c>
      <c r="R781" t="s">
        <v>95</v>
      </c>
      <c r="S781">
        <v>-26.296388199999999</v>
      </c>
      <c r="T781">
        <f t="shared" si="111"/>
        <v>-73.16950443807562</v>
      </c>
      <c r="U781" t="s">
        <v>95</v>
      </c>
      <c r="V781">
        <v>19322</v>
      </c>
      <c r="W781" t="s">
        <v>225</v>
      </c>
      <c r="X781">
        <v>298</v>
      </c>
      <c r="Y781" t="s">
        <v>179</v>
      </c>
      <c r="Z781">
        <v>-21.7</v>
      </c>
      <c r="AA781" t="s">
        <v>95</v>
      </c>
      <c r="AB781">
        <f t="shared" si="112"/>
        <v>-60.3800884832633</v>
      </c>
      <c r="AC781" t="s">
        <v>93</v>
      </c>
      <c r="AD781">
        <v>1.9</v>
      </c>
      <c r="AE781" t="s">
        <v>95</v>
      </c>
      <c r="AF781" t="s">
        <v>93</v>
      </c>
      <c r="AH781" t="s">
        <v>93</v>
      </c>
      <c r="AI781" t="s">
        <v>93</v>
      </c>
      <c r="AV781">
        <v>0.66</v>
      </c>
      <c r="BI781">
        <v>0.33</v>
      </c>
      <c r="CR781">
        <f t="shared" si="113"/>
        <v>0</v>
      </c>
      <c r="CS781">
        <f t="shared" si="114"/>
        <v>-73.16950443807562</v>
      </c>
      <c r="CT781">
        <f t="shared" si="115"/>
        <v>-60.3800884832633</v>
      </c>
      <c r="CU781" s="7">
        <f t="shared" si="116"/>
        <v>-66.774796460669464</v>
      </c>
      <c r="CV781" s="9">
        <f t="shared" si="117"/>
        <v>359.39</v>
      </c>
      <c r="CW781" t="str">
        <f t="shared" si="109"/>
        <v>GdRu2</v>
      </c>
    </row>
    <row r="782" spans="1:101" ht="15.75" thickBot="1" x14ac:dyDescent="0.3">
      <c r="A782" t="s">
        <v>91</v>
      </c>
      <c r="B782" t="s">
        <v>1086</v>
      </c>
      <c r="C782" t="s">
        <v>3144</v>
      </c>
      <c r="E782" t="s">
        <v>3145</v>
      </c>
      <c r="F782" t="s">
        <v>93</v>
      </c>
      <c r="G782" t="s">
        <v>1087</v>
      </c>
      <c r="H782">
        <v>399.39553999999998</v>
      </c>
      <c r="I782">
        <v>431</v>
      </c>
      <c r="J782">
        <v>0</v>
      </c>
      <c r="K782" t="s">
        <v>95</v>
      </c>
      <c r="L782">
        <v>-25.585976389999999</v>
      </c>
      <c r="M782">
        <f t="shared" si="110"/>
        <v>-64.06174788531689</v>
      </c>
      <c r="N782" t="s">
        <v>95</v>
      </c>
      <c r="O782" t="s">
        <v>1088</v>
      </c>
      <c r="P782" t="s">
        <v>93</v>
      </c>
      <c r="Q782">
        <v>0</v>
      </c>
      <c r="R782" t="s">
        <v>95</v>
      </c>
      <c r="S782">
        <v>-24.723000290000002</v>
      </c>
      <c r="T782">
        <f t="shared" si="111"/>
        <v>-61.901042485351745</v>
      </c>
      <c r="U782" t="s">
        <v>95</v>
      </c>
      <c r="V782">
        <v>10574</v>
      </c>
      <c r="W782" t="s">
        <v>97</v>
      </c>
      <c r="X782">
        <v>298</v>
      </c>
      <c r="Y782" t="s">
        <v>98</v>
      </c>
      <c r="Z782">
        <v>-29.6</v>
      </c>
      <c r="AA782" t="s">
        <v>95</v>
      </c>
      <c r="AB782">
        <f t="shared" si="112"/>
        <v>-74.111994340247264</v>
      </c>
      <c r="AC782" t="s">
        <v>93</v>
      </c>
      <c r="AD782">
        <v>0.9</v>
      </c>
      <c r="AE782" t="s">
        <v>95</v>
      </c>
      <c r="AF782" t="s">
        <v>93</v>
      </c>
      <c r="AR782">
        <v>0.33</v>
      </c>
      <c r="BT782">
        <v>0.66</v>
      </c>
      <c r="CR782">
        <f t="shared" si="113"/>
        <v>-64.06174788531689</v>
      </c>
      <c r="CS782">
        <f t="shared" si="114"/>
        <v>-61.901042485351745</v>
      </c>
      <c r="CT782">
        <f t="shared" si="115"/>
        <v>-74.111994340247264</v>
      </c>
      <c r="CU782" s="7">
        <f t="shared" si="116"/>
        <v>-66.691594903638631</v>
      </c>
      <c r="CV782" s="9">
        <f t="shared" si="117"/>
        <v>399.39553999999998</v>
      </c>
      <c r="CW782" t="str">
        <f t="shared" si="109"/>
        <v>AlRe2</v>
      </c>
    </row>
    <row r="783" spans="1:101" ht="15.75" thickBot="1" x14ac:dyDescent="0.3">
      <c r="A783" t="s">
        <v>91</v>
      </c>
      <c r="B783" t="s">
        <v>2664</v>
      </c>
      <c r="C783" t="s">
        <v>3144</v>
      </c>
      <c r="E783" t="s">
        <v>3145</v>
      </c>
      <c r="F783" t="s">
        <v>93</v>
      </c>
      <c r="G783" t="s">
        <v>2665</v>
      </c>
      <c r="H783">
        <v>351.76659999999998</v>
      </c>
      <c r="I783">
        <v>1088</v>
      </c>
      <c r="M783">
        <f t="shared" si="110"/>
        <v>0</v>
      </c>
      <c r="O783" t="s">
        <v>93</v>
      </c>
      <c r="P783" t="s">
        <v>93</v>
      </c>
      <c r="Q783">
        <v>0</v>
      </c>
      <c r="R783" t="s">
        <v>95</v>
      </c>
      <c r="S783">
        <v>-23.901064980000001</v>
      </c>
      <c r="T783">
        <f t="shared" si="111"/>
        <v>-67.945805485796555</v>
      </c>
      <c r="U783" t="s">
        <v>95</v>
      </c>
      <c r="V783">
        <v>29389</v>
      </c>
      <c r="W783" t="s">
        <v>2659</v>
      </c>
      <c r="X783">
        <v>298</v>
      </c>
      <c r="Y783" t="s">
        <v>700</v>
      </c>
      <c r="Z783">
        <v>-23</v>
      </c>
      <c r="AA783" t="s">
        <v>95</v>
      </c>
      <c r="AB783">
        <f t="shared" si="112"/>
        <v>-65.384263315505237</v>
      </c>
      <c r="AC783" t="s">
        <v>93</v>
      </c>
      <c r="AD783">
        <v>2.6</v>
      </c>
      <c r="AE783" t="s">
        <v>95</v>
      </c>
      <c r="AF783" t="s">
        <v>93</v>
      </c>
      <c r="AH783" t="s">
        <v>93</v>
      </c>
      <c r="AI783" t="s">
        <v>93</v>
      </c>
      <c r="AW783">
        <v>0.75</v>
      </c>
      <c r="BL783">
        <v>0.25</v>
      </c>
      <c r="CR783">
        <f t="shared" si="113"/>
        <v>0</v>
      </c>
      <c r="CS783">
        <f t="shared" si="114"/>
        <v>-67.945805485796555</v>
      </c>
      <c r="CT783">
        <f t="shared" si="115"/>
        <v>-65.384263315505237</v>
      </c>
      <c r="CU783" s="7">
        <f t="shared" si="116"/>
        <v>-66.665034400650896</v>
      </c>
      <c r="CV783" s="9">
        <f t="shared" si="117"/>
        <v>351.76659999999998</v>
      </c>
      <c r="CW783" t="str">
        <f t="shared" si="109"/>
        <v>Co3Lu</v>
      </c>
    </row>
    <row r="784" spans="1:101" ht="15.75" thickBot="1" x14ac:dyDescent="0.3">
      <c r="A784" t="s">
        <v>91</v>
      </c>
      <c r="B784" t="s">
        <v>2582</v>
      </c>
      <c r="C784" t="s">
        <v>3144</v>
      </c>
      <c r="E784" t="s">
        <v>3145</v>
      </c>
      <c r="F784" t="s">
        <v>93</v>
      </c>
      <c r="G784" t="s">
        <v>2583</v>
      </c>
      <c r="H784">
        <v>290.82389999999998</v>
      </c>
      <c r="I784">
        <v>1053</v>
      </c>
      <c r="J784">
        <v>0</v>
      </c>
      <c r="K784" t="s">
        <v>95</v>
      </c>
      <c r="L784">
        <v>-21.770828850000001</v>
      </c>
      <c r="M784">
        <f t="shared" si="110"/>
        <v>-74.859146204971466</v>
      </c>
      <c r="N784" t="s">
        <v>95</v>
      </c>
      <c r="O784" t="s">
        <v>2584</v>
      </c>
      <c r="P784" t="s">
        <v>93</v>
      </c>
      <c r="Q784">
        <v>0</v>
      </c>
      <c r="R784" t="s">
        <v>95</v>
      </c>
      <c r="S784">
        <v>-21.679979159999998</v>
      </c>
      <c r="T784">
        <f t="shared" si="111"/>
        <v>-74.54675891493099</v>
      </c>
      <c r="U784" t="s">
        <v>95</v>
      </c>
      <c r="V784">
        <v>19153</v>
      </c>
      <c r="W784" t="s">
        <v>225</v>
      </c>
      <c r="X784">
        <v>298</v>
      </c>
      <c r="Y784" t="s">
        <v>179</v>
      </c>
      <c r="Z784">
        <v>-14.5</v>
      </c>
      <c r="AA784" t="s">
        <v>95</v>
      </c>
      <c r="AB784">
        <f t="shared" si="112"/>
        <v>-49.858350706389679</v>
      </c>
      <c r="AC784" t="s">
        <v>93</v>
      </c>
      <c r="AD784">
        <v>2.5</v>
      </c>
      <c r="AE784" t="s">
        <v>95</v>
      </c>
      <c r="AF784" t="s">
        <v>93</v>
      </c>
      <c r="BE784">
        <v>0.33329999999999999</v>
      </c>
      <c r="BR784">
        <v>0.66669999999999996</v>
      </c>
      <c r="CR784">
        <f t="shared" si="113"/>
        <v>-74.859146204971466</v>
      </c>
      <c r="CS784">
        <f t="shared" si="114"/>
        <v>-74.54675891493099</v>
      </c>
      <c r="CT784">
        <f t="shared" si="115"/>
        <v>-49.858350706389679</v>
      </c>
      <c r="CU784" s="7">
        <f t="shared" si="116"/>
        <v>-66.421418608764043</v>
      </c>
      <c r="CV784" s="9">
        <f t="shared" si="117"/>
        <v>290.82389999999998</v>
      </c>
      <c r="CW784" t="str">
        <f t="shared" si="109"/>
        <v>TaMn2</v>
      </c>
    </row>
    <row r="785" spans="1:101" ht="15.75" thickBot="1" x14ac:dyDescent="0.3">
      <c r="A785" t="s">
        <v>91</v>
      </c>
      <c r="B785" t="s">
        <v>2153</v>
      </c>
      <c r="C785" t="s">
        <v>3144</v>
      </c>
      <c r="E785" t="s">
        <v>3145</v>
      </c>
      <c r="F785" t="s">
        <v>93</v>
      </c>
      <c r="G785" t="s">
        <v>2154</v>
      </c>
      <c r="H785">
        <v>1142.32</v>
      </c>
      <c r="I785">
        <v>856</v>
      </c>
      <c r="M785">
        <f t="shared" si="110"/>
        <v>0</v>
      </c>
      <c r="O785" t="s">
        <v>93</v>
      </c>
      <c r="P785" t="s">
        <v>93</v>
      </c>
      <c r="Q785">
        <v>0</v>
      </c>
      <c r="R785" t="s">
        <v>95</v>
      </c>
      <c r="S785">
        <v>-73.177665349999998</v>
      </c>
      <c r="T785">
        <f t="shared" si="111"/>
        <v>-64.060565647104141</v>
      </c>
      <c r="U785" t="s">
        <v>95</v>
      </c>
      <c r="V785">
        <v>30420</v>
      </c>
      <c r="W785" t="s">
        <v>339</v>
      </c>
      <c r="X785">
        <v>298</v>
      </c>
      <c r="Y785" t="s">
        <v>1403</v>
      </c>
      <c r="Z785">
        <v>-78.5</v>
      </c>
      <c r="AA785" t="s">
        <v>95</v>
      </c>
      <c r="AB785">
        <f t="shared" si="112"/>
        <v>-68.719798305203454</v>
      </c>
      <c r="AC785" t="s">
        <v>93</v>
      </c>
      <c r="AD785">
        <v>2.8</v>
      </c>
      <c r="AE785" t="s">
        <v>95</v>
      </c>
      <c r="AF785" t="s">
        <v>93</v>
      </c>
      <c r="AH785" t="s">
        <v>93</v>
      </c>
      <c r="AI785" t="s">
        <v>93</v>
      </c>
      <c r="BI785">
        <v>0.625</v>
      </c>
      <c r="CF785">
        <v>0.375</v>
      </c>
      <c r="CR785">
        <f t="shared" si="113"/>
        <v>0</v>
      </c>
      <c r="CS785">
        <f t="shared" si="114"/>
        <v>-64.060565647104141</v>
      </c>
      <c r="CT785">
        <f t="shared" si="115"/>
        <v>-68.719798305203454</v>
      </c>
      <c r="CU785" s="7">
        <f t="shared" si="116"/>
        <v>-66.390181976153798</v>
      </c>
      <c r="CV785" s="9">
        <f t="shared" si="117"/>
        <v>1142.32</v>
      </c>
      <c r="CW785" t="str">
        <f t="shared" si="109"/>
        <v>Gd5Sn3</v>
      </c>
    </row>
    <row r="786" spans="1:101" ht="15.75" thickBot="1" x14ac:dyDescent="0.3">
      <c r="A786" t="s">
        <v>91</v>
      </c>
      <c r="B786" t="s">
        <v>2101</v>
      </c>
      <c r="C786" t="s">
        <v>3144</v>
      </c>
      <c r="E786" t="s">
        <v>3145</v>
      </c>
      <c r="G786" t="s">
        <v>2103</v>
      </c>
      <c r="H786">
        <v>413.48</v>
      </c>
      <c r="I786">
        <v>835</v>
      </c>
      <c r="J786">
        <v>0</v>
      </c>
      <c r="K786" t="s">
        <v>95</v>
      </c>
      <c r="L786">
        <v>-24.592039920000001</v>
      </c>
      <c r="M786">
        <f t="shared" si="110"/>
        <v>-59.475766469962267</v>
      </c>
      <c r="N786" t="s">
        <v>95</v>
      </c>
      <c r="O786" t="s">
        <v>2104</v>
      </c>
      <c r="P786" t="s">
        <v>93</v>
      </c>
      <c r="Q786">
        <v>0</v>
      </c>
      <c r="R786" t="s">
        <v>95</v>
      </c>
      <c r="S786">
        <v>-30.228538820000001</v>
      </c>
      <c r="T786">
        <f t="shared" si="111"/>
        <v>-73.107620247654054</v>
      </c>
      <c r="U786" t="s">
        <v>95</v>
      </c>
      <c r="V786">
        <v>17811</v>
      </c>
      <c r="W786" t="s">
        <v>2044</v>
      </c>
      <c r="X786">
        <v>728</v>
      </c>
      <c r="Y786" t="s">
        <v>359</v>
      </c>
      <c r="AB786">
        <f t="shared" si="112"/>
        <v>0</v>
      </c>
      <c r="AC786" t="s">
        <v>93</v>
      </c>
      <c r="AD786">
        <v>8.5</v>
      </c>
      <c r="AE786" t="s">
        <v>95</v>
      </c>
      <c r="AF786" t="s">
        <v>93</v>
      </c>
      <c r="AS786">
        <v>0.6</v>
      </c>
      <c r="CF786">
        <v>0.4</v>
      </c>
      <c r="CG786">
        <v>-29</v>
      </c>
      <c r="CH786" t="s">
        <v>95</v>
      </c>
      <c r="CI786" t="s">
        <v>93</v>
      </c>
      <c r="CR786">
        <f t="shared" si="113"/>
        <v>-59.475766469962267</v>
      </c>
      <c r="CS786">
        <f t="shared" si="114"/>
        <v>-73.107620247654054</v>
      </c>
      <c r="CT786">
        <f t="shared" si="115"/>
        <v>0</v>
      </c>
      <c r="CU786" s="7">
        <f t="shared" si="116"/>
        <v>-66.29169335880816</v>
      </c>
      <c r="CV786" s="9">
        <f t="shared" si="117"/>
        <v>413.48</v>
      </c>
      <c r="CW786" t="str">
        <f t="shared" si="109"/>
        <v>Ni3Sn2</v>
      </c>
    </row>
    <row r="787" spans="1:101" ht="15.75" thickBot="1" x14ac:dyDescent="0.3">
      <c r="A787" t="s">
        <v>91</v>
      </c>
      <c r="B787" t="s">
        <v>605</v>
      </c>
      <c r="C787" t="s">
        <v>3144</v>
      </c>
      <c r="E787" t="s">
        <v>3145</v>
      </c>
      <c r="F787" t="s">
        <v>93</v>
      </c>
      <c r="G787" t="s">
        <v>606</v>
      </c>
      <c r="H787">
        <v>450.75</v>
      </c>
      <c r="I787">
        <v>245</v>
      </c>
      <c r="J787">
        <v>0</v>
      </c>
      <c r="K787" t="s">
        <v>95</v>
      </c>
      <c r="L787">
        <v>-30.533601699999998</v>
      </c>
      <c r="M787">
        <f t="shared" si="110"/>
        <v>-67.73954897393233</v>
      </c>
      <c r="N787" t="s">
        <v>95</v>
      </c>
      <c r="O787" t="s">
        <v>607</v>
      </c>
      <c r="P787" t="s">
        <v>93</v>
      </c>
      <c r="Q787">
        <v>0</v>
      </c>
      <c r="R787" t="s">
        <v>95</v>
      </c>
      <c r="S787">
        <v>-31.40319371</v>
      </c>
      <c r="T787">
        <f t="shared" si="111"/>
        <v>-69.668760310593456</v>
      </c>
      <c r="U787" t="s">
        <v>95</v>
      </c>
      <c r="V787">
        <v>18493</v>
      </c>
      <c r="W787" t="s">
        <v>172</v>
      </c>
      <c r="X787">
        <v>298</v>
      </c>
      <c r="Y787" t="s">
        <v>170</v>
      </c>
      <c r="Z787">
        <v>-27.5</v>
      </c>
      <c r="AA787" t="s">
        <v>95</v>
      </c>
      <c r="AB787">
        <f t="shared" si="112"/>
        <v>-61.009428729894616</v>
      </c>
      <c r="AC787" t="s">
        <v>93</v>
      </c>
      <c r="AD787">
        <v>1.2</v>
      </c>
      <c r="AE787" t="s">
        <v>95</v>
      </c>
      <c r="AF787" t="s">
        <v>93</v>
      </c>
      <c r="AS787">
        <v>0.83</v>
      </c>
      <c r="BI787">
        <v>0.17</v>
      </c>
      <c r="CR787">
        <f t="shared" si="113"/>
        <v>-67.73954897393233</v>
      </c>
      <c r="CS787">
        <f t="shared" si="114"/>
        <v>-69.668760310593456</v>
      </c>
      <c r="CT787">
        <f t="shared" si="115"/>
        <v>-61.009428729894616</v>
      </c>
      <c r="CU787" s="7">
        <f t="shared" si="116"/>
        <v>-66.139246004806793</v>
      </c>
      <c r="CV787" s="9">
        <f t="shared" si="117"/>
        <v>450.75</v>
      </c>
      <c r="CW787" t="str">
        <f t="shared" si="109"/>
        <v>GdNi5</v>
      </c>
    </row>
    <row r="788" spans="1:101" ht="15.75" thickBot="1" x14ac:dyDescent="0.3">
      <c r="A788" t="s">
        <v>91</v>
      </c>
      <c r="B788" t="s">
        <v>1717</v>
      </c>
      <c r="C788" t="s">
        <v>3144</v>
      </c>
      <c r="E788" t="s">
        <v>3145</v>
      </c>
      <c r="F788" t="s">
        <v>93</v>
      </c>
      <c r="G788" t="s">
        <v>1718</v>
      </c>
      <c r="H788">
        <v>832.82190000000003</v>
      </c>
      <c r="I788">
        <v>658</v>
      </c>
      <c r="M788">
        <f t="shared" si="110"/>
        <v>0</v>
      </c>
      <c r="O788" t="s">
        <v>93</v>
      </c>
      <c r="P788" t="s">
        <v>93</v>
      </c>
      <c r="Q788">
        <v>0</v>
      </c>
      <c r="R788" t="s">
        <v>95</v>
      </c>
      <c r="S788">
        <v>-52.833769750000002</v>
      </c>
      <c r="T788">
        <f t="shared" si="111"/>
        <v>-63.43945776401894</v>
      </c>
      <c r="U788" t="s">
        <v>95</v>
      </c>
      <c r="V788">
        <v>28212</v>
      </c>
      <c r="W788" t="s">
        <v>1719</v>
      </c>
      <c r="X788">
        <v>298</v>
      </c>
      <c r="Y788" t="s">
        <v>1720</v>
      </c>
      <c r="Z788">
        <v>-57.3</v>
      </c>
      <c r="AA788" t="s">
        <v>95</v>
      </c>
      <c r="AB788">
        <f t="shared" si="112"/>
        <v>-68.80222530171217</v>
      </c>
      <c r="AC788" t="s">
        <v>93</v>
      </c>
      <c r="AD788">
        <v>1.5</v>
      </c>
      <c r="AE788" t="s">
        <v>95</v>
      </c>
      <c r="AF788" t="s">
        <v>93</v>
      </c>
      <c r="AH788" t="s">
        <v>93</v>
      </c>
      <c r="AI788" t="s">
        <v>93</v>
      </c>
      <c r="BC788">
        <v>0.8</v>
      </c>
      <c r="CR788">
        <f t="shared" si="113"/>
        <v>0</v>
      </c>
      <c r="CS788">
        <f t="shared" si="114"/>
        <v>-63.43945776401894</v>
      </c>
      <c r="CT788">
        <f t="shared" si="115"/>
        <v>-68.80222530171217</v>
      </c>
      <c r="CU788" s="7">
        <f t="shared" si="116"/>
        <v>-66.120841532865555</v>
      </c>
      <c r="CV788" s="9">
        <f t="shared" si="117"/>
        <v>832.82190000000003</v>
      </c>
      <c r="CW788" t="str">
        <f t="shared" si="109"/>
        <v>ScAu4</v>
      </c>
    </row>
    <row r="789" spans="1:101" ht="15.75" thickBot="1" x14ac:dyDescent="0.3">
      <c r="A789" t="s">
        <v>91</v>
      </c>
      <c r="B789" t="s">
        <v>2145</v>
      </c>
      <c r="C789" t="s">
        <v>3144</v>
      </c>
      <c r="E789" t="s">
        <v>3145</v>
      </c>
      <c r="F789" t="s">
        <v>93</v>
      </c>
      <c r="G789" t="s">
        <v>2146</v>
      </c>
      <c r="H789">
        <v>1060.6085</v>
      </c>
      <c r="I789">
        <v>853</v>
      </c>
      <c r="J789">
        <v>0</v>
      </c>
      <c r="K789" t="s">
        <v>95</v>
      </c>
      <c r="L789">
        <v>-65.442030520000003</v>
      </c>
      <c r="M789">
        <f t="shared" si="110"/>
        <v>-61.702344003465939</v>
      </c>
      <c r="N789" t="s">
        <v>95</v>
      </c>
      <c r="O789" t="s">
        <v>2147</v>
      </c>
      <c r="P789" t="s">
        <v>93</v>
      </c>
      <c r="Q789">
        <v>0.14684889000000001</v>
      </c>
      <c r="R789" t="s">
        <v>95</v>
      </c>
      <c r="S789">
        <v>-69.06483403</v>
      </c>
      <c r="T789">
        <f t="shared" si="111"/>
        <v>-65.11812231374725</v>
      </c>
      <c r="U789" t="s">
        <v>95</v>
      </c>
      <c r="V789">
        <v>92492</v>
      </c>
      <c r="W789" t="s">
        <v>1362</v>
      </c>
      <c r="X789">
        <v>298</v>
      </c>
      <c r="Y789" t="s">
        <v>480</v>
      </c>
      <c r="Z789">
        <v>-75.3</v>
      </c>
      <c r="AA789" t="s">
        <v>95</v>
      </c>
      <c r="AB789">
        <f t="shared" si="112"/>
        <v>-70.996979564089855</v>
      </c>
      <c r="AC789" t="s">
        <v>93</v>
      </c>
      <c r="AD789">
        <v>1.4</v>
      </c>
      <c r="AE789" t="s">
        <v>95</v>
      </c>
      <c r="AF789" t="s">
        <v>93</v>
      </c>
      <c r="AN789">
        <v>0.625</v>
      </c>
      <c r="CF789">
        <v>0.375</v>
      </c>
      <c r="CR789">
        <f t="shared" si="113"/>
        <v>-61.702344003465939</v>
      </c>
      <c r="CS789">
        <f t="shared" si="114"/>
        <v>-65.11812231374725</v>
      </c>
      <c r="CT789">
        <f t="shared" si="115"/>
        <v>-70.996979564089855</v>
      </c>
      <c r="CU789" s="7">
        <f t="shared" si="116"/>
        <v>-65.939148627101019</v>
      </c>
      <c r="CV789" s="9">
        <f t="shared" si="117"/>
        <v>1060.6085</v>
      </c>
      <c r="CW789" t="str">
        <f t="shared" si="109"/>
        <v>Pr5Sn3</v>
      </c>
    </row>
    <row r="790" spans="1:101" ht="15.75" thickBot="1" x14ac:dyDescent="0.3">
      <c r="A790" t="s">
        <v>484</v>
      </c>
      <c r="B790" t="s">
        <v>93</v>
      </c>
      <c r="C790" t="s">
        <v>3138</v>
      </c>
      <c r="D790" t="s">
        <v>3139</v>
      </c>
      <c r="F790" t="s">
        <v>3140</v>
      </c>
      <c r="G790" t="s">
        <v>2324</v>
      </c>
      <c r="H790">
        <v>285.12639999999999</v>
      </c>
      <c r="I790">
        <v>934</v>
      </c>
      <c r="M790">
        <f t="shared" si="110"/>
        <v>0</v>
      </c>
      <c r="O790" t="s">
        <v>93</v>
      </c>
      <c r="P790" t="s">
        <v>93</v>
      </c>
      <c r="T790">
        <f t="shared" si="111"/>
        <v>0</v>
      </c>
      <c r="V790" t="s">
        <v>93</v>
      </c>
      <c r="W790" t="s">
        <v>159</v>
      </c>
      <c r="X790">
        <v>298</v>
      </c>
      <c r="Y790" t="s">
        <v>160</v>
      </c>
      <c r="Z790">
        <v>-18.8</v>
      </c>
      <c r="AA790" t="s">
        <v>95</v>
      </c>
      <c r="AB790">
        <f t="shared" si="112"/>
        <v>-65.935669233013854</v>
      </c>
      <c r="AC790" t="s">
        <v>93</v>
      </c>
      <c r="AD790">
        <v>1.4</v>
      </c>
      <c r="AE790" t="s">
        <v>95</v>
      </c>
      <c r="AF790" t="s">
        <v>93</v>
      </c>
      <c r="AH790" t="s">
        <v>93</v>
      </c>
      <c r="AI790" t="s">
        <v>93</v>
      </c>
      <c r="AJ790" t="s">
        <v>93</v>
      </c>
      <c r="AK790" t="s">
        <v>93</v>
      </c>
      <c r="AW790">
        <v>0.68</v>
      </c>
      <c r="BH790">
        <v>0.32</v>
      </c>
      <c r="CR790">
        <f t="shared" si="113"/>
        <v>0</v>
      </c>
      <c r="CS790">
        <f t="shared" si="114"/>
        <v>0</v>
      </c>
      <c r="CT790">
        <f t="shared" si="115"/>
        <v>-65.935669233013854</v>
      </c>
      <c r="CU790" s="7">
        <f t="shared" si="116"/>
        <v>-65.935669233013854</v>
      </c>
      <c r="CV790" s="9">
        <f t="shared" si="117"/>
        <v>285.12639999999999</v>
      </c>
      <c r="CW790" t="str">
        <f t="shared" si="109"/>
        <v>Co2Er</v>
      </c>
    </row>
    <row r="791" spans="1:101" ht="15.75" thickBot="1" x14ac:dyDescent="0.3">
      <c r="A791" t="s">
        <v>91</v>
      </c>
      <c r="B791" t="s">
        <v>1870</v>
      </c>
      <c r="C791" t="s">
        <v>3144</v>
      </c>
      <c r="E791" t="s">
        <v>3145</v>
      </c>
      <c r="F791" t="s">
        <v>93</v>
      </c>
      <c r="G791" t="s">
        <v>1871</v>
      </c>
      <c r="H791">
        <v>366.135999999999</v>
      </c>
      <c r="I791">
        <v>714</v>
      </c>
      <c r="M791">
        <f t="shared" si="110"/>
        <v>0</v>
      </c>
      <c r="O791" t="s">
        <v>93</v>
      </c>
      <c r="P791" t="s">
        <v>1872</v>
      </c>
      <c r="T791">
        <f t="shared" si="111"/>
        <v>0</v>
      </c>
      <c r="V791" t="s">
        <v>93</v>
      </c>
      <c r="W791" t="s">
        <v>93</v>
      </c>
      <c r="X791">
        <v>298</v>
      </c>
      <c r="Y791" t="s">
        <v>93</v>
      </c>
      <c r="Z791">
        <v>-24.1</v>
      </c>
      <c r="AA791" t="s">
        <v>95</v>
      </c>
      <c r="AB791">
        <f t="shared" si="112"/>
        <v>-65.822535888303989</v>
      </c>
      <c r="AC791" t="s">
        <v>93</v>
      </c>
      <c r="AD791">
        <v>2.4</v>
      </c>
      <c r="AE791" t="s">
        <v>95</v>
      </c>
      <c r="AF791" t="s">
        <v>93</v>
      </c>
      <c r="AH791" t="s">
        <v>93</v>
      </c>
      <c r="AI791" t="s">
        <v>93</v>
      </c>
      <c r="AJ791" t="s">
        <v>93</v>
      </c>
      <c r="AK791" t="s">
        <v>93</v>
      </c>
      <c r="BN791">
        <v>0.33</v>
      </c>
      <c r="CR791">
        <f t="shared" si="113"/>
        <v>0</v>
      </c>
      <c r="CS791">
        <f t="shared" si="114"/>
        <v>0</v>
      </c>
      <c r="CT791">
        <f t="shared" si="115"/>
        <v>-65.822535888303989</v>
      </c>
      <c r="CU791" s="7">
        <f t="shared" si="116"/>
        <v>-65.822535888303989</v>
      </c>
      <c r="CV791" s="9">
        <f t="shared" si="117"/>
        <v>366.135999999999</v>
      </c>
      <c r="CW791" t="str">
        <f t="shared" si="109"/>
        <v>Ag2Sm</v>
      </c>
    </row>
    <row r="792" spans="1:101" ht="15.75" thickBot="1" x14ac:dyDescent="0.3">
      <c r="A792" t="s">
        <v>91</v>
      </c>
      <c r="B792" t="s">
        <v>1908</v>
      </c>
      <c r="C792" t="s">
        <v>3144</v>
      </c>
      <c r="E792" t="s">
        <v>3145</v>
      </c>
      <c r="F792" t="s">
        <v>93</v>
      </c>
      <c r="G792" t="s">
        <v>1912</v>
      </c>
      <c r="H792">
        <v>384.67020000000002</v>
      </c>
      <c r="I792">
        <v>731</v>
      </c>
      <c r="M792">
        <f t="shared" si="110"/>
        <v>0</v>
      </c>
      <c r="O792" t="s">
        <v>93</v>
      </c>
      <c r="P792" t="s">
        <v>1911</v>
      </c>
      <c r="T792">
        <f t="shared" si="111"/>
        <v>0</v>
      </c>
      <c r="V792" t="s">
        <v>93</v>
      </c>
      <c r="W792" t="s">
        <v>364</v>
      </c>
      <c r="X792">
        <v>298</v>
      </c>
      <c r="Y792" t="s">
        <v>365</v>
      </c>
      <c r="Z792">
        <v>-25.3</v>
      </c>
      <c r="AA792" t="s">
        <v>95</v>
      </c>
      <c r="AB792">
        <f t="shared" si="112"/>
        <v>-65.770626370329708</v>
      </c>
      <c r="AC792" t="s">
        <v>93</v>
      </c>
      <c r="AD792">
        <v>2.4</v>
      </c>
      <c r="AE792" t="s">
        <v>95</v>
      </c>
      <c r="AF792" t="s">
        <v>93</v>
      </c>
      <c r="AH792" t="s">
        <v>93</v>
      </c>
      <c r="AI792" t="s">
        <v>93</v>
      </c>
      <c r="AJ792" t="s">
        <v>93</v>
      </c>
      <c r="AK792" t="s">
        <v>93</v>
      </c>
      <c r="BO792">
        <v>0.33</v>
      </c>
      <c r="CR792">
        <f t="shared" si="113"/>
        <v>0</v>
      </c>
      <c r="CS792">
        <f t="shared" si="114"/>
        <v>0</v>
      </c>
      <c r="CT792">
        <f t="shared" si="115"/>
        <v>-65.770626370329708</v>
      </c>
      <c r="CU792" s="7">
        <f t="shared" si="116"/>
        <v>-65.770626370329708</v>
      </c>
      <c r="CV792" s="9">
        <f t="shared" si="117"/>
        <v>384.67020000000002</v>
      </c>
      <c r="CW792" t="str">
        <f t="shared" si="109"/>
        <v>Ag2Tm</v>
      </c>
    </row>
    <row r="793" spans="1:101" ht="15.75" thickBot="1" x14ac:dyDescent="0.3">
      <c r="A793" t="s">
        <v>91</v>
      </c>
      <c r="B793" t="s">
        <v>1903</v>
      </c>
      <c r="C793" t="s">
        <v>3144</v>
      </c>
      <c r="E793" t="s">
        <v>3145</v>
      </c>
      <c r="F793" t="s">
        <v>93</v>
      </c>
      <c r="G793" t="s">
        <v>1904</v>
      </c>
      <c r="H793">
        <v>380.66639999999899</v>
      </c>
      <c r="I793">
        <v>728</v>
      </c>
      <c r="M793">
        <f t="shared" si="110"/>
        <v>0</v>
      </c>
      <c r="O793" t="s">
        <v>93</v>
      </c>
      <c r="P793" t="s">
        <v>1872</v>
      </c>
      <c r="T793">
        <f t="shared" si="111"/>
        <v>0</v>
      </c>
      <c r="V793" t="s">
        <v>93</v>
      </c>
      <c r="W793" t="s">
        <v>93</v>
      </c>
      <c r="X793">
        <v>298</v>
      </c>
      <c r="Y793" t="s">
        <v>93</v>
      </c>
      <c r="Z793">
        <v>-25</v>
      </c>
      <c r="AA793" t="s">
        <v>95</v>
      </c>
      <c r="AB793">
        <f t="shared" si="112"/>
        <v>-65.674301698285078</v>
      </c>
      <c r="AC793" t="s">
        <v>93</v>
      </c>
      <c r="AD793">
        <v>2.2999999999999998</v>
      </c>
      <c r="AE793" t="s">
        <v>95</v>
      </c>
      <c r="AF793" t="s">
        <v>93</v>
      </c>
      <c r="AH793" t="s">
        <v>93</v>
      </c>
      <c r="AI793" t="s">
        <v>93</v>
      </c>
      <c r="AJ793" t="s">
        <v>93</v>
      </c>
      <c r="AK793" t="s">
        <v>93</v>
      </c>
      <c r="BJ793">
        <v>0.33</v>
      </c>
      <c r="CR793">
        <f t="shared" si="113"/>
        <v>0</v>
      </c>
      <c r="CS793">
        <f t="shared" si="114"/>
        <v>0</v>
      </c>
      <c r="CT793">
        <f t="shared" si="115"/>
        <v>-65.674301698285078</v>
      </c>
      <c r="CU793" s="7">
        <f t="shared" si="116"/>
        <v>-65.674301698285078</v>
      </c>
      <c r="CV793" s="9">
        <f t="shared" si="117"/>
        <v>380.66639999999899</v>
      </c>
      <c r="CW793" t="str">
        <f t="shared" si="109"/>
        <v>HoAg2</v>
      </c>
    </row>
    <row r="794" spans="1:101" ht="15.75" thickBot="1" x14ac:dyDescent="0.3">
      <c r="A794" t="s">
        <v>91</v>
      </c>
      <c r="B794" t="s">
        <v>406</v>
      </c>
      <c r="C794" t="s">
        <v>3144</v>
      </c>
      <c r="E794" t="s">
        <v>3145</v>
      </c>
      <c r="F794" t="s">
        <v>93</v>
      </c>
      <c r="G794" t="s">
        <v>407</v>
      </c>
      <c r="H794">
        <v>769.3895</v>
      </c>
      <c r="I794">
        <v>167</v>
      </c>
      <c r="M794">
        <f t="shared" si="110"/>
        <v>0</v>
      </c>
      <c r="O794" t="s">
        <v>93</v>
      </c>
      <c r="P794" t="s">
        <v>93</v>
      </c>
      <c r="Q794">
        <v>0</v>
      </c>
      <c r="R794" t="s">
        <v>95</v>
      </c>
      <c r="S794">
        <v>-46.255095560000001</v>
      </c>
      <c r="T794">
        <f t="shared" si="111"/>
        <v>-60.119218627236272</v>
      </c>
      <c r="U794" t="s">
        <v>95</v>
      </c>
      <c r="V794">
        <v>28169</v>
      </c>
      <c r="W794" t="s">
        <v>358</v>
      </c>
      <c r="X794">
        <v>298</v>
      </c>
      <c r="Y794" t="s">
        <v>395</v>
      </c>
      <c r="Z794">
        <v>-54.77</v>
      </c>
      <c r="AA794" t="s">
        <v>95</v>
      </c>
      <c r="AB794">
        <f t="shared" si="112"/>
        <v>-71.186310704786067</v>
      </c>
      <c r="AC794" t="s">
        <v>93</v>
      </c>
      <c r="AD794">
        <v>2.64</v>
      </c>
      <c r="AE794" t="s">
        <v>95</v>
      </c>
      <c r="AF794" t="s">
        <v>93</v>
      </c>
      <c r="AH794" t="s">
        <v>93</v>
      </c>
      <c r="AI794" t="s">
        <v>93</v>
      </c>
      <c r="AQ794">
        <v>0.25</v>
      </c>
      <c r="BC794">
        <v>0.75</v>
      </c>
      <c r="CR794">
        <f t="shared" si="113"/>
        <v>0</v>
      </c>
      <c r="CS794">
        <f t="shared" si="114"/>
        <v>-60.119218627236272</v>
      </c>
      <c r="CT794">
        <f t="shared" si="115"/>
        <v>-71.186310704786067</v>
      </c>
      <c r="CU794" s="7">
        <f t="shared" si="116"/>
        <v>-65.652764666011166</v>
      </c>
      <c r="CV794" s="9">
        <f t="shared" si="117"/>
        <v>769.3895</v>
      </c>
      <c r="CW794" t="str">
        <f t="shared" si="109"/>
        <v>HfAu3</v>
      </c>
    </row>
    <row r="795" spans="1:101" ht="15.75" thickBot="1" x14ac:dyDescent="0.3">
      <c r="A795" t="s">
        <v>91</v>
      </c>
      <c r="B795" t="s">
        <v>1151</v>
      </c>
      <c r="C795" t="s">
        <v>3144</v>
      </c>
      <c r="E795" t="s">
        <v>3145</v>
      </c>
      <c r="F795" t="s">
        <v>93</v>
      </c>
      <c r="G795" t="s">
        <v>1152</v>
      </c>
      <c r="H795">
        <v>503.67232000000001</v>
      </c>
      <c r="I795">
        <v>454</v>
      </c>
      <c r="M795">
        <f t="shared" si="110"/>
        <v>0</v>
      </c>
      <c r="O795" t="s">
        <v>93</v>
      </c>
      <c r="P795" t="s">
        <v>93</v>
      </c>
      <c r="T795">
        <f t="shared" si="111"/>
        <v>0</v>
      </c>
      <c r="V795" t="s">
        <v>93</v>
      </c>
      <c r="W795" t="s">
        <v>1153</v>
      </c>
      <c r="X795">
        <v>298</v>
      </c>
      <c r="Y795" t="s">
        <v>633</v>
      </c>
      <c r="Z795">
        <v>-33</v>
      </c>
      <c r="AA795" t="s">
        <v>95</v>
      </c>
      <c r="AB795">
        <f t="shared" si="112"/>
        <v>-65.518788088255477</v>
      </c>
      <c r="AC795" t="s">
        <v>93</v>
      </c>
      <c r="AD795">
        <v>0.7</v>
      </c>
      <c r="AE795" t="s">
        <v>95</v>
      </c>
      <c r="AF795" t="s">
        <v>93</v>
      </c>
      <c r="AH795" t="s">
        <v>93</v>
      </c>
      <c r="AI795" t="s">
        <v>93</v>
      </c>
      <c r="AJ795" t="s">
        <v>93</v>
      </c>
      <c r="AK795" t="s">
        <v>93</v>
      </c>
      <c r="AR795">
        <v>0.73</v>
      </c>
      <c r="BS795">
        <v>0.27</v>
      </c>
      <c r="CR795">
        <f t="shared" si="113"/>
        <v>0</v>
      </c>
      <c r="CS795">
        <f t="shared" si="114"/>
        <v>0</v>
      </c>
      <c r="CT795">
        <f t="shared" si="115"/>
        <v>-65.518788088255477</v>
      </c>
      <c r="CU795" s="7">
        <f t="shared" si="116"/>
        <v>-65.518788088255477</v>
      </c>
      <c r="CV795" s="9">
        <f t="shared" si="117"/>
        <v>503.67232000000001</v>
      </c>
      <c r="CW795" t="str">
        <f t="shared" si="109"/>
        <v>Al8Mo3</v>
      </c>
    </row>
    <row r="796" spans="1:101" ht="15.75" thickBot="1" x14ac:dyDescent="0.3">
      <c r="A796" t="s">
        <v>91</v>
      </c>
      <c r="B796" t="s">
        <v>464</v>
      </c>
      <c r="C796" t="s">
        <v>3144</v>
      </c>
      <c r="E796" t="s">
        <v>3145</v>
      </c>
      <c r="F796" t="s">
        <v>93</v>
      </c>
      <c r="G796" t="s">
        <v>465</v>
      </c>
      <c r="H796">
        <v>267.21199999999999</v>
      </c>
      <c r="I796">
        <v>189</v>
      </c>
      <c r="J796">
        <v>0</v>
      </c>
      <c r="K796" t="s">
        <v>95</v>
      </c>
      <c r="L796">
        <v>-14.476254190000001</v>
      </c>
      <c r="M796">
        <f t="shared" si="110"/>
        <v>-54.175165000074855</v>
      </c>
      <c r="N796" t="s">
        <v>95</v>
      </c>
      <c r="O796" t="s">
        <v>466</v>
      </c>
      <c r="P796" t="s">
        <v>93</v>
      </c>
      <c r="Q796">
        <v>0</v>
      </c>
      <c r="R796" t="s">
        <v>95</v>
      </c>
      <c r="S796">
        <v>-16.749236459999999</v>
      </c>
      <c r="T796">
        <f t="shared" si="111"/>
        <v>-62.681453153301497</v>
      </c>
      <c r="U796" t="s">
        <v>95</v>
      </c>
      <c r="V796">
        <v>29059</v>
      </c>
      <c r="W796" t="s">
        <v>364</v>
      </c>
      <c r="X796">
        <v>298</v>
      </c>
      <c r="Y796" t="s">
        <v>365</v>
      </c>
      <c r="Z796">
        <v>-21.2</v>
      </c>
      <c r="AA796" t="s">
        <v>95</v>
      </c>
      <c r="AB796">
        <f t="shared" si="112"/>
        <v>-79.337754292471899</v>
      </c>
      <c r="AC796" t="s">
        <v>93</v>
      </c>
      <c r="AD796">
        <v>3</v>
      </c>
      <c r="AE796" t="s">
        <v>95</v>
      </c>
      <c r="AF796" t="s">
        <v>93</v>
      </c>
      <c r="AM796">
        <v>0.33</v>
      </c>
      <c r="AX796">
        <v>0.66</v>
      </c>
      <c r="CR796">
        <f t="shared" si="113"/>
        <v>-54.175165000074855</v>
      </c>
      <c r="CS796">
        <f t="shared" si="114"/>
        <v>-62.681453153301497</v>
      </c>
      <c r="CT796">
        <f t="shared" si="115"/>
        <v>-79.337754292471899</v>
      </c>
      <c r="CU796" s="7">
        <f t="shared" si="116"/>
        <v>-65.398124148616091</v>
      </c>
      <c r="CV796" s="9">
        <f t="shared" si="117"/>
        <v>267.21199999999999</v>
      </c>
      <c r="CW796" t="str">
        <f t="shared" si="109"/>
        <v>CeCu2</v>
      </c>
    </row>
    <row r="797" spans="1:101" ht="15.75" thickBot="1" x14ac:dyDescent="0.3">
      <c r="A797" t="s">
        <v>91</v>
      </c>
      <c r="B797" t="s">
        <v>1011</v>
      </c>
      <c r="C797" t="s">
        <v>3144</v>
      </c>
      <c r="E797" t="s">
        <v>3145</v>
      </c>
      <c r="F797" t="s">
        <v>93</v>
      </c>
      <c r="G797" t="s">
        <v>1012</v>
      </c>
      <c r="H797">
        <v>361.06539999999899</v>
      </c>
      <c r="I797">
        <v>404</v>
      </c>
      <c r="M797">
        <f t="shared" si="110"/>
        <v>0</v>
      </c>
      <c r="O797" t="s">
        <v>93</v>
      </c>
      <c r="P797" t="s">
        <v>121</v>
      </c>
      <c r="T797">
        <f t="shared" si="111"/>
        <v>0</v>
      </c>
      <c r="V797" t="s">
        <v>93</v>
      </c>
      <c r="W797" t="s">
        <v>225</v>
      </c>
      <c r="X797">
        <v>298</v>
      </c>
      <c r="Y797" t="s">
        <v>179</v>
      </c>
      <c r="Z797">
        <v>-23.6</v>
      </c>
      <c r="AA797" t="s">
        <v>95</v>
      </c>
      <c r="AB797">
        <f t="shared" si="112"/>
        <v>-65.362119992666337</v>
      </c>
      <c r="AC797" t="s">
        <v>93</v>
      </c>
      <c r="AD797">
        <v>1.7</v>
      </c>
      <c r="AE797" t="s">
        <v>95</v>
      </c>
      <c r="AF797" t="s">
        <v>93</v>
      </c>
      <c r="AH797" t="s">
        <v>93</v>
      </c>
      <c r="AI797" t="s">
        <v>93</v>
      </c>
      <c r="AJ797" t="s">
        <v>93</v>
      </c>
      <c r="AK797" t="s">
        <v>93</v>
      </c>
      <c r="AV797">
        <v>0.66</v>
      </c>
      <c r="BK797">
        <v>0.33</v>
      </c>
      <c r="CR797">
        <f t="shared" si="113"/>
        <v>0</v>
      </c>
      <c r="CS797">
        <f t="shared" si="114"/>
        <v>0</v>
      </c>
      <c r="CT797">
        <f t="shared" si="115"/>
        <v>-65.362119992666337</v>
      </c>
      <c r="CU797" s="7">
        <f t="shared" si="116"/>
        <v>-65.362119992666337</v>
      </c>
      <c r="CV797" s="9">
        <f t="shared" si="117"/>
        <v>361.06539999999899</v>
      </c>
      <c r="CW797" t="str">
        <f t="shared" si="109"/>
        <v>Ru2Tb</v>
      </c>
    </row>
    <row r="798" spans="1:101" ht="15.75" thickBot="1" x14ac:dyDescent="0.3">
      <c r="A798" t="s">
        <v>91</v>
      </c>
      <c r="B798" t="s">
        <v>2148</v>
      </c>
      <c r="C798" t="s">
        <v>3144</v>
      </c>
      <c r="E798" t="s">
        <v>3145</v>
      </c>
      <c r="F798" t="s">
        <v>93</v>
      </c>
      <c r="G798" t="s">
        <v>2149</v>
      </c>
      <c r="H798">
        <v>1077.27</v>
      </c>
      <c r="I798">
        <v>854</v>
      </c>
      <c r="J798">
        <v>0</v>
      </c>
      <c r="K798" t="s">
        <v>95</v>
      </c>
      <c r="L798">
        <v>-66.618461890000006</v>
      </c>
      <c r="M798">
        <f t="shared" si="110"/>
        <v>-61.840078986697861</v>
      </c>
      <c r="N798" t="s">
        <v>95</v>
      </c>
      <c r="O798" t="s">
        <v>2150</v>
      </c>
      <c r="P798" t="s">
        <v>93</v>
      </c>
      <c r="Q798">
        <v>0</v>
      </c>
      <c r="R798" t="s">
        <v>95</v>
      </c>
      <c r="S798">
        <v>-70.239280989999997</v>
      </c>
      <c r="T798">
        <f t="shared" si="111"/>
        <v>-65.201185394562174</v>
      </c>
      <c r="U798" t="s">
        <v>95</v>
      </c>
      <c r="V798">
        <v>647405</v>
      </c>
      <c r="W798" t="s">
        <v>339</v>
      </c>
      <c r="X798">
        <v>298</v>
      </c>
      <c r="Y798" t="s">
        <v>1403</v>
      </c>
      <c r="Z798">
        <v>-74.099999999999994</v>
      </c>
      <c r="AA798" t="s">
        <v>95</v>
      </c>
      <c r="AB798">
        <f t="shared" si="112"/>
        <v>-68.784984265782953</v>
      </c>
      <c r="AC798" t="s">
        <v>93</v>
      </c>
      <c r="AD798">
        <v>1.4</v>
      </c>
      <c r="AE798" t="s">
        <v>95</v>
      </c>
      <c r="AF798" t="s">
        <v>93</v>
      </c>
      <c r="AO798">
        <v>0.625</v>
      </c>
      <c r="CF798">
        <v>0.375</v>
      </c>
      <c r="CR798">
        <f t="shared" si="113"/>
        <v>-61.840078986697861</v>
      </c>
      <c r="CS798">
        <f t="shared" si="114"/>
        <v>-65.201185394562174</v>
      </c>
      <c r="CT798">
        <f t="shared" si="115"/>
        <v>-68.784984265782953</v>
      </c>
      <c r="CU798" s="7">
        <f t="shared" si="116"/>
        <v>-65.275416215680991</v>
      </c>
      <c r="CV798" s="9">
        <f t="shared" si="117"/>
        <v>1077.27</v>
      </c>
      <c r="CW798" t="str">
        <f t="shared" si="109"/>
        <v>Nd5Sn3</v>
      </c>
    </row>
    <row r="799" spans="1:101" ht="15.75" thickBot="1" x14ac:dyDescent="0.3">
      <c r="A799" t="s">
        <v>91</v>
      </c>
      <c r="B799" t="s">
        <v>2662</v>
      </c>
      <c r="C799" t="s">
        <v>3144</v>
      </c>
      <c r="E799" t="s">
        <v>3145</v>
      </c>
      <c r="F799" t="s">
        <v>93</v>
      </c>
      <c r="G799" t="s">
        <v>2663</v>
      </c>
      <c r="H799">
        <v>345.73379999999997</v>
      </c>
      <c r="I799">
        <v>1087</v>
      </c>
      <c r="M799">
        <f t="shared" si="110"/>
        <v>0</v>
      </c>
      <c r="O799" t="s">
        <v>93</v>
      </c>
      <c r="P799" t="s">
        <v>93</v>
      </c>
      <c r="Q799">
        <v>0</v>
      </c>
      <c r="R799" t="s">
        <v>95</v>
      </c>
      <c r="S799">
        <v>-22.183118929999999</v>
      </c>
      <c r="T799">
        <f t="shared" si="111"/>
        <v>-64.162424761478349</v>
      </c>
      <c r="U799" t="s">
        <v>95</v>
      </c>
      <c r="V799">
        <v>29523</v>
      </c>
      <c r="W799" t="s">
        <v>2659</v>
      </c>
      <c r="X799">
        <v>298</v>
      </c>
      <c r="Y799" t="s">
        <v>700</v>
      </c>
      <c r="Z799">
        <v>-22.9</v>
      </c>
      <c r="AA799" t="s">
        <v>95</v>
      </c>
      <c r="AB799">
        <f t="shared" si="112"/>
        <v>-66.23593064953441</v>
      </c>
      <c r="AC799" t="s">
        <v>93</v>
      </c>
      <c r="AD799">
        <v>3</v>
      </c>
      <c r="AE799" t="s">
        <v>95</v>
      </c>
      <c r="AF799" t="s">
        <v>93</v>
      </c>
      <c r="AH799" t="s">
        <v>93</v>
      </c>
      <c r="AI799" t="s">
        <v>93</v>
      </c>
      <c r="AW799">
        <v>0.75</v>
      </c>
      <c r="BO799">
        <v>0.25</v>
      </c>
      <c r="CR799">
        <f t="shared" si="113"/>
        <v>0</v>
      </c>
      <c r="CS799">
        <f t="shared" si="114"/>
        <v>-64.162424761478349</v>
      </c>
      <c r="CT799">
        <f t="shared" si="115"/>
        <v>-66.23593064953441</v>
      </c>
      <c r="CU799" s="7">
        <f t="shared" si="116"/>
        <v>-65.199177705506372</v>
      </c>
      <c r="CV799" s="9">
        <f t="shared" si="117"/>
        <v>345.73379999999997</v>
      </c>
      <c r="CW799" t="str">
        <f t="shared" si="109"/>
        <v>TmCo3</v>
      </c>
    </row>
    <row r="800" spans="1:101" ht="15.75" thickBot="1" x14ac:dyDescent="0.3">
      <c r="A800" t="s">
        <v>91</v>
      </c>
      <c r="B800" t="s">
        <v>840</v>
      </c>
      <c r="C800" t="s">
        <v>3144</v>
      </c>
      <c r="E800" t="s">
        <v>3145</v>
      </c>
      <c r="F800" t="s">
        <v>93</v>
      </c>
      <c r="G800" t="s">
        <v>841</v>
      </c>
      <c r="H800">
        <v>443.9</v>
      </c>
      <c r="I800">
        <v>335</v>
      </c>
      <c r="J800">
        <v>0</v>
      </c>
      <c r="K800" t="s">
        <v>95</v>
      </c>
      <c r="L800">
        <v>-29.117268710000001</v>
      </c>
      <c r="M800">
        <f t="shared" si="110"/>
        <v>-65.594207501689581</v>
      </c>
      <c r="N800" t="s">
        <v>95</v>
      </c>
      <c r="O800" t="s">
        <v>842</v>
      </c>
      <c r="P800" t="s">
        <v>93</v>
      </c>
      <c r="Q800">
        <v>0</v>
      </c>
      <c r="R800" t="s">
        <v>95</v>
      </c>
      <c r="S800">
        <v>-29.30200863</v>
      </c>
      <c r="T800">
        <f t="shared" si="111"/>
        <v>-66.010382135616126</v>
      </c>
      <c r="U800" t="s">
        <v>95</v>
      </c>
      <c r="V800">
        <v>17806</v>
      </c>
      <c r="W800" t="s">
        <v>172</v>
      </c>
      <c r="X800">
        <v>298</v>
      </c>
      <c r="Y800" t="s">
        <v>170</v>
      </c>
      <c r="Z800">
        <v>-27.4</v>
      </c>
      <c r="AA800" t="s">
        <v>95</v>
      </c>
      <c r="AB800">
        <f t="shared" si="112"/>
        <v>-61.725613876999326</v>
      </c>
      <c r="AC800" t="s">
        <v>93</v>
      </c>
      <c r="AD800">
        <v>0.5</v>
      </c>
      <c r="AE800" t="s">
        <v>95</v>
      </c>
      <c r="AF800" t="s">
        <v>93</v>
      </c>
      <c r="AS800">
        <v>0.83</v>
      </c>
      <c r="BN800">
        <v>0.17</v>
      </c>
      <c r="CR800">
        <f t="shared" si="113"/>
        <v>-65.594207501689581</v>
      </c>
      <c r="CS800">
        <f t="shared" si="114"/>
        <v>-66.010382135616126</v>
      </c>
      <c r="CT800">
        <f t="shared" si="115"/>
        <v>-61.725613876999326</v>
      </c>
      <c r="CU800" s="7">
        <f t="shared" si="116"/>
        <v>-64.443401171435013</v>
      </c>
      <c r="CV800" s="9">
        <f t="shared" si="117"/>
        <v>443.9</v>
      </c>
      <c r="CW800" t="str">
        <f t="shared" si="109"/>
        <v>SmNi5</v>
      </c>
    </row>
    <row r="801" spans="1:101" ht="15.75" thickBot="1" x14ac:dyDescent="0.3">
      <c r="A801" t="s">
        <v>91</v>
      </c>
      <c r="B801" t="s">
        <v>2238</v>
      </c>
      <c r="C801" t="s">
        <v>3144</v>
      </c>
      <c r="E801" t="s">
        <v>3145</v>
      </c>
      <c r="F801" t="s">
        <v>93</v>
      </c>
      <c r="G801" t="s">
        <v>2239</v>
      </c>
      <c r="H801">
        <v>1012.39699999999</v>
      </c>
      <c r="I801">
        <v>892</v>
      </c>
      <c r="J801">
        <v>0</v>
      </c>
      <c r="K801" t="s">
        <v>95</v>
      </c>
      <c r="L801">
        <v>-76.443330259999996</v>
      </c>
      <c r="M801">
        <f t="shared" si="110"/>
        <v>-75.507266675030394</v>
      </c>
      <c r="N801" t="s">
        <v>95</v>
      </c>
      <c r="O801" t="s">
        <v>2240</v>
      </c>
      <c r="P801" t="s">
        <v>93</v>
      </c>
      <c r="Q801">
        <v>0</v>
      </c>
      <c r="R801" t="s">
        <v>95</v>
      </c>
      <c r="S801">
        <v>-36.52688019</v>
      </c>
      <c r="T801">
        <f t="shared" si="111"/>
        <v>-36.079601371794226</v>
      </c>
      <c r="U801" t="s">
        <v>95</v>
      </c>
      <c r="V801">
        <v>10064</v>
      </c>
      <c r="W801" t="s">
        <v>339</v>
      </c>
      <c r="X801">
        <v>298</v>
      </c>
      <c r="Y801" t="s">
        <v>1403</v>
      </c>
      <c r="Z801">
        <v>-81.7</v>
      </c>
      <c r="AA801" t="s">
        <v>95</v>
      </c>
      <c r="AB801">
        <f t="shared" si="112"/>
        <v>-80.699567462172254</v>
      </c>
      <c r="AC801" t="s">
        <v>93</v>
      </c>
      <c r="AD801">
        <v>2.7</v>
      </c>
      <c r="AE801" t="s">
        <v>95</v>
      </c>
      <c r="AF801" t="s">
        <v>93</v>
      </c>
      <c r="BK801">
        <v>0.625</v>
      </c>
      <c r="CA801">
        <v>0.375</v>
      </c>
      <c r="CR801">
        <f t="shared" si="113"/>
        <v>-75.507266675030394</v>
      </c>
      <c r="CS801">
        <f t="shared" si="114"/>
        <v>-36.079601371794226</v>
      </c>
      <c r="CT801">
        <f t="shared" si="115"/>
        <v>-80.699567462172254</v>
      </c>
      <c r="CU801" s="7">
        <f t="shared" si="116"/>
        <v>-64.095478502998958</v>
      </c>
      <c r="CV801" s="9">
        <f t="shared" si="117"/>
        <v>1012.39699999999</v>
      </c>
      <c r="CW801" t="str">
        <f t="shared" si="109"/>
        <v>Tb5Ge3</v>
      </c>
    </row>
    <row r="802" spans="1:101" ht="15.75" thickBot="1" x14ac:dyDescent="0.3">
      <c r="A802" t="s">
        <v>91</v>
      </c>
      <c r="B802" t="s">
        <v>1897</v>
      </c>
      <c r="C802" t="s">
        <v>3144</v>
      </c>
      <c r="E802" t="s">
        <v>3145</v>
      </c>
      <c r="F802" t="s">
        <v>93</v>
      </c>
      <c r="G802" t="s">
        <v>1898</v>
      </c>
      <c r="H802">
        <v>372.98599999999999</v>
      </c>
      <c r="I802">
        <v>725</v>
      </c>
      <c r="M802">
        <f t="shared" si="110"/>
        <v>0</v>
      </c>
      <c r="O802" t="s">
        <v>93</v>
      </c>
      <c r="P802" t="s">
        <v>1872</v>
      </c>
      <c r="T802">
        <f t="shared" si="111"/>
        <v>0</v>
      </c>
      <c r="V802" t="s">
        <v>93</v>
      </c>
      <c r="W802" t="s">
        <v>93</v>
      </c>
      <c r="X802">
        <v>298</v>
      </c>
      <c r="Y802" t="s">
        <v>93</v>
      </c>
      <c r="Z802">
        <v>-23.9</v>
      </c>
      <c r="AA802" t="s">
        <v>95</v>
      </c>
      <c r="AB802">
        <f t="shared" si="112"/>
        <v>-64.077472076699934</v>
      </c>
      <c r="AC802" t="s">
        <v>93</v>
      </c>
      <c r="AD802">
        <v>1.6</v>
      </c>
      <c r="AE802" t="s">
        <v>95</v>
      </c>
      <c r="AF802" t="s">
        <v>93</v>
      </c>
      <c r="AH802" t="s">
        <v>93</v>
      </c>
      <c r="AI802" t="s">
        <v>93</v>
      </c>
      <c r="AJ802" t="s">
        <v>93</v>
      </c>
      <c r="AK802" t="s">
        <v>93</v>
      </c>
      <c r="BI802">
        <v>0.33</v>
      </c>
      <c r="CR802">
        <f t="shared" si="113"/>
        <v>0</v>
      </c>
      <c r="CS802">
        <f t="shared" si="114"/>
        <v>0</v>
      </c>
      <c r="CT802">
        <f t="shared" si="115"/>
        <v>-64.077472076699934</v>
      </c>
      <c r="CU802" s="7">
        <f t="shared" si="116"/>
        <v>-64.077472076699934</v>
      </c>
      <c r="CV802" s="9">
        <f t="shared" si="117"/>
        <v>372.98599999999999</v>
      </c>
      <c r="CW802" t="str">
        <f t="shared" si="109"/>
        <v>GdAg2</v>
      </c>
    </row>
    <row r="803" spans="1:101" ht="15.75" thickBot="1" x14ac:dyDescent="0.3">
      <c r="A803" t="s">
        <v>91</v>
      </c>
      <c r="B803" t="s">
        <v>1791</v>
      </c>
      <c r="C803" t="s">
        <v>3144</v>
      </c>
      <c r="E803" t="s">
        <v>3145</v>
      </c>
      <c r="F803" t="s">
        <v>93</v>
      </c>
      <c r="G803" t="s">
        <v>1792</v>
      </c>
      <c r="H803">
        <v>286.01740000000001</v>
      </c>
      <c r="I803">
        <v>683</v>
      </c>
      <c r="J803">
        <v>0</v>
      </c>
      <c r="K803" t="s">
        <v>95</v>
      </c>
      <c r="L803">
        <v>-25.69090628</v>
      </c>
      <c r="M803">
        <f t="shared" si="110"/>
        <v>-89.822878887787937</v>
      </c>
      <c r="N803" t="s">
        <v>95</v>
      </c>
      <c r="O803" t="s">
        <v>1793</v>
      </c>
      <c r="P803" t="s">
        <v>93</v>
      </c>
      <c r="Q803">
        <v>0</v>
      </c>
      <c r="R803" t="s">
        <v>95</v>
      </c>
      <c r="S803">
        <v>-4.4365738500000003</v>
      </c>
      <c r="T803">
        <f t="shared" si="111"/>
        <v>-15.511552269197608</v>
      </c>
      <c r="U803" t="s">
        <v>95</v>
      </c>
      <c r="V803">
        <v>23033</v>
      </c>
      <c r="W803" t="s">
        <v>364</v>
      </c>
      <c r="X803">
        <v>298</v>
      </c>
      <c r="Y803" t="s">
        <v>365</v>
      </c>
      <c r="Z803">
        <v>-24.7</v>
      </c>
      <c r="AA803" t="s">
        <v>95</v>
      </c>
      <c r="AB803">
        <f t="shared" si="112"/>
        <v>-86.358382392120191</v>
      </c>
      <c r="AC803" t="s">
        <v>93</v>
      </c>
      <c r="AD803">
        <v>1.9</v>
      </c>
      <c r="AE803" t="s">
        <v>95</v>
      </c>
      <c r="AF803" t="s">
        <v>93</v>
      </c>
      <c r="AX803">
        <v>0.66</v>
      </c>
      <c r="BK803">
        <v>0.33</v>
      </c>
      <c r="CR803">
        <f t="shared" si="113"/>
        <v>-89.822878887787937</v>
      </c>
      <c r="CS803">
        <f t="shared" si="114"/>
        <v>-15.511552269197608</v>
      </c>
      <c r="CT803">
        <f t="shared" si="115"/>
        <v>-86.358382392120191</v>
      </c>
      <c r="CU803" s="7">
        <f t="shared" si="116"/>
        <v>-63.897604516368574</v>
      </c>
      <c r="CV803" s="9">
        <f t="shared" si="117"/>
        <v>286.01740000000001</v>
      </c>
      <c r="CW803" t="str">
        <f t="shared" si="109"/>
        <v>TbCu2</v>
      </c>
    </row>
    <row r="804" spans="1:101" ht="15.75" thickBot="1" x14ac:dyDescent="0.3">
      <c r="A804" t="s">
        <v>91</v>
      </c>
      <c r="B804" t="s">
        <v>93</v>
      </c>
      <c r="C804" t="s">
        <v>3144</v>
      </c>
      <c r="E804" t="s">
        <v>3145</v>
      </c>
      <c r="F804" t="s">
        <v>93</v>
      </c>
      <c r="G804" t="s">
        <v>207</v>
      </c>
      <c r="H804">
        <v>445.86115999999998</v>
      </c>
      <c r="I804">
        <v>40</v>
      </c>
      <c r="M804">
        <f t="shared" si="110"/>
        <v>0</v>
      </c>
      <c r="O804" t="s">
        <v>93</v>
      </c>
      <c r="P804" t="s">
        <v>93</v>
      </c>
      <c r="T804">
        <f t="shared" si="111"/>
        <v>0</v>
      </c>
      <c r="V804" t="s">
        <v>93</v>
      </c>
      <c r="W804" t="s">
        <v>102</v>
      </c>
      <c r="X804">
        <v>298</v>
      </c>
      <c r="Y804" t="s">
        <v>103</v>
      </c>
      <c r="Z804">
        <v>-28.3</v>
      </c>
      <c r="AA804" t="s">
        <v>95</v>
      </c>
      <c r="AB804">
        <f t="shared" si="112"/>
        <v>-63.472673870045107</v>
      </c>
      <c r="AC804" t="s">
        <v>93</v>
      </c>
      <c r="AD804">
        <v>2.6</v>
      </c>
      <c r="AE804" t="s">
        <v>95</v>
      </c>
      <c r="AF804" t="s">
        <v>93</v>
      </c>
      <c r="AH804" t="s">
        <v>93</v>
      </c>
      <c r="AI804" t="s">
        <v>93</v>
      </c>
      <c r="AJ804" t="s">
        <v>93</v>
      </c>
      <c r="AK804" t="s">
        <v>93</v>
      </c>
      <c r="AR804">
        <v>0.4</v>
      </c>
      <c r="AS804">
        <v>0.1</v>
      </c>
      <c r="AT804">
        <v>0.5</v>
      </c>
      <c r="CR804">
        <f t="shared" si="113"/>
        <v>0</v>
      </c>
      <c r="CS804">
        <f t="shared" si="114"/>
        <v>0</v>
      </c>
      <c r="CT804">
        <f t="shared" si="115"/>
        <v>-63.472673870045107</v>
      </c>
      <c r="CU804" s="7">
        <f t="shared" si="116"/>
        <v>-63.472673870045107</v>
      </c>
      <c r="CV804" s="9">
        <f t="shared" si="117"/>
        <v>445.86115999999998</v>
      </c>
      <c r="CW804" t="str">
        <f t="shared" si="109"/>
        <v>Al4Fe5Ni</v>
      </c>
    </row>
    <row r="805" spans="1:101" ht="15.75" thickBot="1" x14ac:dyDescent="0.3">
      <c r="A805" t="s">
        <v>91</v>
      </c>
      <c r="B805" t="s">
        <v>2760</v>
      </c>
      <c r="C805" t="s">
        <v>3144</v>
      </c>
      <c r="E805" t="s">
        <v>3145</v>
      </c>
      <c r="F805" t="s">
        <v>93</v>
      </c>
      <c r="G805" t="s">
        <v>2761</v>
      </c>
      <c r="H805">
        <v>846.37949999999898</v>
      </c>
      <c r="I805">
        <v>1129</v>
      </c>
      <c r="J805">
        <v>0</v>
      </c>
      <c r="K805" t="s">
        <v>95</v>
      </c>
      <c r="L805">
        <v>-45.795058089999998</v>
      </c>
      <c r="M805">
        <f t="shared" si="110"/>
        <v>-54.107002934263008</v>
      </c>
      <c r="N805" t="s">
        <v>95</v>
      </c>
      <c r="O805" t="s">
        <v>2762</v>
      </c>
      <c r="P805" t="s">
        <v>93</v>
      </c>
      <c r="T805">
        <f t="shared" si="111"/>
        <v>0</v>
      </c>
      <c r="V805" t="s">
        <v>93</v>
      </c>
      <c r="W805" t="s">
        <v>339</v>
      </c>
      <c r="X805">
        <v>298</v>
      </c>
      <c r="Y805" t="s">
        <v>1403</v>
      </c>
      <c r="Z805">
        <v>-61.3</v>
      </c>
      <c r="AA805" t="s">
        <v>95</v>
      </c>
      <c r="AB805">
        <f t="shared" si="112"/>
        <v>-72.426139810805992</v>
      </c>
      <c r="AC805" t="s">
        <v>93</v>
      </c>
      <c r="AD805">
        <v>2.9</v>
      </c>
      <c r="AE805" t="s">
        <v>95</v>
      </c>
      <c r="AF805" t="s">
        <v>93</v>
      </c>
      <c r="AJ805" t="s">
        <v>93</v>
      </c>
      <c r="AK805" t="s">
        <v>93</v>
      </c>
      <c r="CO805">
        <v>0.375</v>
      </c>
      <c r="CR805">
        <f t="shared" si="113"/>
        <v>-54.107002934263008</v>
      </c>
      <c r="CS805">
        <f t="shared" si="114"/>
        <v>0</v>
      </c>
      <c r="CT805">
        <f t="shared" si="115"/>
        <v>-72.426139810805992</v>
      </c>
      <c r="CU805" s="7">
        <f t="shared" si="116"/>
        <v>-63.2665713725345</v>
      </c>
      <c r="CV805" s="9">
        <f t="shared" si="117"/>
        <v>846.37949999999898</v>
      </c>
      <c r="CW805" t="str">
        <f t="shared" si="109"/>
        <v>Sc5Pb3</v>
      </c>
    </row>
    <row r="806" spans="1:101" ht="15.75" thickBot="1" x14ac:dyDescent="0.3">
      <c r="A806" t="s">
        <v>484</v>
      </c>
      <c r="B806" t="s">
        <v>93</v>
      </c>
      <c r="C806" t="s">
        <v>3138</v>
      </c>
      <c r="D806" t="s">
        <v>3139</v>
      </c>
      <c r="F806" t="s">
        <v>3140</v>
      </c>
      <c r="G806" t="s">
        <v>538</v>
      </c>
      <c r="H806">
        <v>456</v>
      </c>
      <c r="I806">
        <v>940</v>
      </c>
      <c r="J806">
        <v>0</v>
      </c>
      <c r="K806" t="s">
        <v>95</v>
      </c>
      <c r="L806">
        <v>-32.258511380000002</v>
      </c>
      <c r="M806">
        <f t="shared" si="110"/>
        <v>-70.742349517543872</v>
      </c>
      <c r="N806" t="s">
        <v>95</v>
      </c>
      <c r="O806" t="s">
        <v>539</v>
      </c>
      <c r="P806" t="s">
        <v>93</v>
      </c>
      <c r="T806">
        <f t="shared" si="111"/>
        <v>0</v>
      </c>
      <c r="V806" t="s">
        <v>93</v>
      </c>
      <c r="W806" t="s">
        <v>172</v>
      </c>
      <c r="X806">
        <v>298</v>
      </c>
      <c r="Y806" t="s">
        <v>170</v>
      </c>
      <c r="Z806">
        <v>-25.1</v>
      </c>
      <c r="AA806" t="s">
        <v>95</v>
      </c>
      <c r="AB806">
        <f t="shared" si="112"/>
        <v>-55.043859649122815</v>
      </c>
      <c r="AC806" t="s">
        <v>93</v>
      </c>
      <c r="AD806">
        <v>0.9</v>
      </c>
      <c r="AE806" t="s">
        <v>95</v>
      </c>
      <c r="AF806" t="s">
        <v>93</v>
      </c>
      <c r="AJ806" t="s">
        <v>93</v>
      </c>
      <c r="AK806" t="s">
        <v>93</v>
      </c>
      <c r="AS806">
        <v>0.83699999999999997</v>
      </c>
      <c r="BG806">
        <v>0.16300000000000001</v>
      </c>
      <c r="CR806">
        <f t="shared" si="113"/>
        <v>-70.742349517543872</v>
      </c>
      <c r="CS806">
        <f t="shared" si="114"/>
        <v>0</v>
      </c>
      <c r="CT806">
        <f t="shared" si="115"/>
        <v>-55.043859649122815</v>
      </c>
      <c r="CU806" s="7">
        <f t="shared" si="116"/>
        <v>-62.89310458333334</v>
      </c>
      <c r="CV806" s="9">
        <f t="shared" si="117"/>
        <v>456</v>
      </c>
      <c r="CW806" t="str">
        <f t="shared" si="109"/>
        <v>DyNi5</v>
      </c>
    </row>
    <row r="807" spans="1:101" ht="15.75" thickBot="1" x14ac:dyDescent="0.3">
      <c r="A807" t="s">
        <v>91</v>
      </c>
      <c r="B807" t="s">
        <v>2157</v>
      </c>
      <c r="C807" t="s">
        <v>3144</v>
      </c>
      <c r="E807" t="s">
        <v>3145</v>
      </c>
      <c r="F807" t="s">
        <v>93</v>
      </c>
      <c r="G807" t="s">
        <v>2158</v>
      </c>
      <c r="H807">
        <v>1168.57</v>
      </c>
      <c r="I807">
        <v>858</v>
      </c>
      <c r="J807">
        <v>0</v>
      </c>
      <c r="K807" t="s">
        <v>95</v>
      </c>
      <c r="L807">
        <v>-69.912796929999999</v>
      </c>
      <c r="M807">
        <f t="shared" si="110"/>
        <v>-59.827649973899732</v>
      </c>
      <c r="N807" t="s">
        <v>95</v>
      </c>
      <c r="O807" t="s">
        <v>2159</v>
      </c>
      <c r="P807" t="s">
        <v>93</v>
      </c>
      <c r="Q807">
        <v>0</v>
      </c>
      <c r="R807" t="s">
        <v>95</v>
      </c>
      <c r="S807">
        <v>-73.059207450000002</v>
      </c>
      <c r="T807">
        <f t="shared" si="111"/>
        <v>-62.520180605355272</v>
      </c>
      <c r="U807" t="s">
        <v>95</v>
      </c>
      <c r="V807">
        <v>31219</v>
      </c>
      <c r="W807" t="s">
        <v>339</v>
      </c>
      <c r="X807">
        <v>298</v>
      </c>
      <c r="Y807" t="s">
        <v>1403</v>
      </c>
      <c r="Z807">
        <v>-75.099999999999994</v>
      </c>
      <c r="AA807" t="s">
        <v>95</v>
      </c>
      <c r="AB807">
        <f t="shared" si="112"/>
        <v>-64.266582232985613</v>
      </c>
      <c r="AC807" t="s">
        <v>93</v>
      </c>
      <c r="AD807">
        <v>2.1</v>
      </c>
      <c r="AE807" t="s">
        <v>95</v>
      </c>
      <c r="AF807" t="s">
        <v>93</v>
      </c>
      <c r="BG807">
        <v>0.625</v>
      </c>
      <c r="CF807">
        <v>0.375</v>
      </c>
      <c r="CR807">
        <f t="shared" si="113"/>
        <v>-59.827649973899732</v>
      </c>
      <c r="CS807">
        <f t="shared" si="114"/>
        <v>-62.520180605355272</v>
      </c>
      <c r="CT807">
        <f t="shared" si="115"/>
        <v>-64.266582232985613</v>
      </c>
      <c r="CU807" s="7">
        <f t="shared" si="116"/>
        <v>-62.204804270746877</v>
      </c>
      <c r="CV807" s="9">
        <f t="shared" si="117"/>
        <v>1168.57</v>
      </c>
      <c r="CW807" t="str">
        <f t="shared" si="109"/>
        <v>Dy5Sn3</v>
      </c>
    </row>
    <row r="808" spans="1:101" ht="15.75" thickBot="1" x14ac:dyDescent="0.3">
      <c r="A808" t="s">
        <v>91</v>
      </c>
      <c r="B808" t="s">
        <v>2571</v>
      </c>
      <c r="C808" t="s">
        <v>3144</v>
      </c>
      <c r="E808" t="s">
        <v>3145</v>
      </c>
      <c r="F808" t="s">
        <v>93</v>
      </c>
      <c r="G808" t="s">
        <v>2572</v>
      </c>
      <c r="H808">
        <v>202.7824</v>
      </c>
      <c r="I808">
        <v>1049</v>
      </c>
      <c r="J808">
        <v>0</v>
      </c>
      <c r="K808" t="s">
        <v>95</v>
      </c>
      <c r="L808">
        <v>-13.305591870000001</v>
      </c>
      <c r="M808">
        <f t="shared" si="110"/>
        <v>-65.61512177585432</v>
      </c>
      <c r="N808" t="s">
        <v>95</v>
      </c>
      <c r="O808" t="s">
        <v>2573</v>
      </c>
      <c r="P808" t="s">
        <v>93</v>
      </c>
      <c r="Q808">
        <v>0</v>
      </c>
      <c r="R808" t="s">
        <v>95</v>
      </c>
      <c r="S808">
        <v>-13.909050110000001</v>
      </c>
      <c r="T808">
        <f t="shared" si="111"/>
        <v>-68.591012385690291</v>
      </c>
      <c r="U808" t="s">
        <v>95</v>
      </c>
      <c r="V808">
        <v>19107</v>
      </c>
      <c r="W808" t="s">
        <v>225</v>
      </c>
      <c r="X808">
        <v>298</v>
      </c>
      <c r="Y808" t="s">
        <v>179</v>
      </c>
      <c r="Z808">
        <v>-10.4</v>
      </c>
      <c r="AA808" t="s">
        <v>95</v>
      </c>
      <c r="AB808">
        <f t="shared" si="112"/>
        <v>-51.286502181648906</v>
      </c>
      <c r="AC808" t="s">
        <v>93</v>
      </c>
      <c r="AD808">
        <v>2.7</v>
      </c>
      <c r="AE808" t="s">
        <v>95</v>
      </c>
      <c r="AF808" t="s">
        <v>93</v>
      </c>
      <c r="AU808">
        <v>0.33329999999999999</v>
      </c>
      <c r="BR808">
        <v>0.66669999999999996</v>
      </c>
      <c r="CR808">
        <f t="shared" si="113"/>
        <v>-65.61512177585432</v>
      </c>
      <c r="CS808">
        <f t="shared" si="114"/>
        <v>-68.591012385690291</v>
      </c>
      <c r="CT808">
        <f t="shared" si="115"/>
        <v>-51.286502181648906</v>
      </c>
      <c r="CU808" s="7">
        <f t="shared" si="116"/>
        <v>-61.830878781064506</v>
      </c>
      <c r="CV808" s="9">
        <f t="shared" si="117"/>
        <v>202.7824</v>
      </c>
      <c r="CW808" t="str">
        <f t="shared" si="109"/>
        <v>Mn2Nb</v>
      </c>
    </row>
    <row r="809" spans="1:101" ht="15.75" thickBot="1" x14ac:dyDescent="0.3">
      <c r="A809" t="s">
        <v>91</v>
      </c>
      <c r="B809" t="s">
        <v>2232</v>
      </c>
      <c r="C809" t="s">
        <v>3144</v>
      </c>
      <c r="E809" t="s">
        <v>3145</v>
      </c>
      <c r="F809" t="s">
        <v>93</v>
      </c>
      <c r="G809" t="s">
        <v>2233</v>
      </c>
      <c r="H809">
        <v>1301.92</v>
      </c>
      <c r="I809">
        <v>889</v>
      </c>
      <c r="M809">
        <f t="shared" si="110"/>
        <v>0</v>
      </c>
      <c r="O809" t="s">
        <v>93</v>
      </c>
      <c r="P809" t="s">
        <v>93</v>
      </c>
      <c r="T809">
        <f t="shared" si="111"/>
        <v>0</v>
      </c>
      <c r="V809" t="s">
        <v>93</v>
      </c>
      <c r="W809" t="s">
        <v>479</v>
      </c>
      <c r="X809">
        <v>298</v>
      </c>
      <c r="Y809" t="s">
        <v>2093</v>
      </c>
      <c r="Z809">
        <v>-80.2</v>
      </c>
      <c r="AA809" t="s">
        <v>95</v>
      </c>
      <c r="AB809">
        <f t="shared" si="112"/>
        <v>-61.60132727049281</v>
      </c>
      <c r="AC809" t="s">
        <v>93</v>
      </c>
      <c r="AD809">
        <v>1.9</v>
      </c>
      <c r="AE809" t="s">
        <v>95</v>
      </c>
      <c r="AF809" t="s">
        <v>93</v>
      </c>
      <c r="AH809" t="s">
        <v>93</v>
      </c>
      <c r="AI809" t="s">
        <v>93</v>
      </c>
      <c r="AJ809" t="s">
        <v>93</v>
      </c>
      <c r="AK809" t="s">
        <v>93</v>
      </c>
      <c r="AO809">
        <v>0.38</v>
      </c>
      <c r="CA809">
        <v>0.62</v>
      </c>
      <c r="CR809">
        <f t="shared" si="113"/>
        <v>0</v>
      </c>
      <c r="CS809">
        <f t="shared" si="114"/>
        <v>0</v>
      </c>
      <c r="CT809">
        <f t="shared" si="115"/>
        <v>-61.60132727049281</v>
      </c>
      <c r="CU809" s="7">
        <f t="shared" si="116"/>
        <v>-61.60132727049281</v>
      </c>
      <c r="CV809" s="9">
        <f t="shared" si="117"/>
        <v>1301.92</v>
      </c>
      <c r="CW809" t="str">
        <f t="shared" si="109"/>
        <v>Ge8Nd5</v>
      </c>
    </row>
    <row r="810" spans="1:101" ht="15.75" thickBot="1" x14ac:dyDescent="0.3">
      <c r="A810" t="s">
        <v>91</v>
      </c>
      <c r="B810" t="s">
        <v>1069</v>
      </c>
      <c r="C810" t="s">
        <v>3144</v>
      </c>
      <c r="E810" t="s">
        <v>3145</v>
      </c>
      <c r="F810" t="s">
        <v>93</v>
      </c>
      <c r="G810" t="s">
        <v>1070</v>
      </c>
      <c r="H810">
        <v>246.73354</v>
      </c>
      <c r="I810">
        <v>426</v>
      </c>
      <c r="M810">
        <f t="shared" si="110"/>
        <v>0</v>
      </c>
      <c r="O810" t="s">
        <v>93</v>
      </c>
      <c r="P810" t="s">
        <v>93</v>
      </c>
      <c r="T810">
        <f t="shared" si="111"/>
        <v>0</v>
      </c>
      <c r="V810" t="s">
        <v>93</v>
      </c>
      <c r="W810" t="s">
        <v>1071</v>
      </c>
      <c r="X810">
        <v>298</v>
      </c>
      <c r="Y810" t="s">
        <v>1072</v>
      </c>
      <c r="Z810">
        <v>-15.1</v>
      </c>
      <c r="AA810" t="s">
        <v>95</v>
      </c>
      <c r="AB810">
        <f t="shared" si="112"/>
        <v>-61.199624501800599</v>
      </c>
      <c r="AC810" t="s">
        <v>93</v>
      </c>
      <c r="AD810">
        <v>1</v>
      </c>
      <c r="AE810" t="s">
        <v>95</v>
      </c>
      <c r="AF810" t="s">
        <v>93</v>
      </c>
      <c r="AH810" t="s">
        <v>93</v>
      </c>
      <c r="AI810" t="s">
        <v>93</v>
      </c>
      <c r="AJ810" t="s">
        <v>93</v>
      </c>
      <c r="AK810" t="s">
        <v>93</v>
      </c>
      <c r="AR810">
        <v>0.2</v>
      </c>
      <c r="BR810">
        <v>0.8</v>
      </c>
      <c r="CR810">
        <f t="shared" si="113"/>
        <v>0</v>
      </c>
      <c r="CS810">
        <f t="shared" si="114"/>
        <v>0</v>
      </c>
      <c r="CT810">
        <f t="shared" si="115"/>
        <v>-61.199624501800599</v>
      </c>
      <c r="CU810" s="7">
        <f t="shared" si="116"/>
        <v>-61.199624501800599</v>
      </c>
      <c r="CV810" s="9">
        <f t="shared" si="117"/>
        <v>246.73354</v>
      </c>
      <c r="CW810" t="str">
        <f t="shared" ref="CW810:CW873" si="118">G810</f>
        <v>AlMn4</v>
      </c>
    </row>
    <row r="811" spans="1:101" ht="15.75" thickBot="1" x14ac:dyDescent="0.3">
      <c r="A811" t="s">
        <v>91</v>
      </c>
      <c r="B811" t="s">
        <v>1942</v>
      </c>
      <c r="C811" t="s">
        <v>3144</v>
      </c>
      <c r="E811" t="s">
        <v>3145</v>
      </c>
      <c r="F811" t="s">
        <v>93</v>
      </c>
      <c r="G811" t="s">
        <v>1943</v>
      </c>
      <c r="H811">
        <v>511.27</v>
      </c>
      <c r="I811">
        <v>747</v>
      </c>
      <c r="M811">
        <f t="shared" si="110"/>
        <v>0</v>
      </c>
      <c r="O811" t="s">
        <v>93</v>
      </c>
      <c r="P811" t="s">
        <v>93</v>
      </c>
      <c r="T811">
        <f t="shared" si="111"/>
        <v>0</v>
      </c>
      <c r="V811" t="s">
        <v>93</v>
      </c>
      <c r="W811" t="s">
        <v>172</v>
      </c>
      <c r="X811">
        <v>298</v>
      </c>
      <c r="Y811" t="s">
        <v>179</v>
      </c>
      <c r="Z811">
        <v>-31.09</v>
      </c>
      <c r="AA811" t="s">
        <v>95</v>
      </c>
      <c r="AB811">
        <f t="shared" si="112"/>
        <v>-60.80935709116514</v>
      </c>
      <c r="AC811" t="s">
        <v>93</v>
      </c>
      <c r="AD811">
        <v>0.62</v>
      </c>
      <c r="AE811" t="s">
        <v>95</v>
      </c>
      <c r="AF811" t="s">
        <v>93</v>
      </c>
      <c r="AH811" t="s">
        <v>93</v>
      </c>
      <c r="AI811" t="s">
        <v>93</v>
      </c>
      <c r="AJ811" t="s">
        <v>93</v>
      </c>
      <c r="AK811" t="s">
        <v>93</v>
      </c>
      <c r="AS811">
        <v>0.625</v>
      </c>
      <c r="CA811">
        <v>0.375</v>
      </c>
      <c r="CR811">
        <f t="shared" si="113"/>
        <v>0</v>
      </c>
      <c r="CS811">
        <f t="shared" si="114"/>
        <v>0</v>
      </c>
      <c r="CT811">
        <f t="shared" si="115"/>
        <v>-60.80935709116514</v>
      </c>
      <c r="CU811" s="7">
        <f t="shared" si="116"/>
        <v>-60.80935709116514</v>
      </c>
      <c r="CV811" s="9">
        <f t="shared" si="117"/>
        <v>511.27</v>
      </c>
      <c r="CW811" t="str">
        <f t="shared" si="118"/>
        <v>Ni5Ge3</v>
      </c>
    </row>
    <row r="812" spans="1:101" ht="15.75" thickBot="1" x14ac:dyDescent="0.3">
      <c r="A812" t="s">
        <v>91</v>
      </c>
      <c r="B812" t="s">
        <v>2454</v>
      </c>
      <c r="C812" t="s">
        <v>3144</v>
      </c>
      <c r="E812" t="s">
        <v>3145</v>
      </c>
      <c r="F812" t="s">
        <v>93</v>
      </c>
      <c r="G812" t="s">
        <v>2479</v>
      </c>
      <c r="H812">
        <v>240.11399999999901</v>
      </c>
      <c r="I812">
        <v>1008</v>
      </c>
      <c r="M812">
        <f t="shared" si="110"/>
        <v>0</v>
      </c>
      <c r="O812" t="s">
        <v>93</v>
      </c>
      <c r="P812" t="s">
        <v>93</v>
      </c>
      <c r="T812">
        <f t="shared" si="111"/>
        <v>0</v>
      </c>
      <c r="V812" t="s">
        <v>93</v>
      </c>
      <c r="W812" t="s">
        <v>102</v>
      </c>
      <c r="X812">
        <v>298</v>
      </c>
      <c r="Y812" t="s">
        <v>103</v>
      </c>
      <c r="Z812">
        <v>-14.6</v>
      </c>
      <c r="AA812" t="s">
        <v>95</v>
      </c>
      <c r="AB812">
        <f t="shared" si="112"/>
        <v>-60.804451219004548</v>
      </c>
      <c r="AC812" t="s">
        <v>93</v>
      </c>
      <c r="AD812">
        <v>0.6</v>
      </c>
      <c r="AE812" t="s">
        <v>95</v>
      </c>
      <c r="AF812" t="s">
        <v>93</v>
      </c>
      <c r="AH812" t="s">
        <v>93</v>
      </c>
      <c r="AI812" t="s">
        <v>93</v>
      </c>
      <c r="AJ812" t="s">
        <v>93</v>
      </c>
      <c r="AK812" t="s">
        <v>93</v>
      </c>
      <c r="AS812">
        <v>0.25</v>
      </c>
      <c r="AT812">
        <v>0.5</v>
      </c>
      <c r="BY812">
        <v>0.25</v>
      </c>
      <c r="CR812">
        <f t="shared" si="113"/>
        <v>0</v>
      </c>
      <c r="CS812">
        <f t="shared" si="114"/>
        <v>0</v>
      </c>
      <c r="CT812">
        <f t="shared" si="115"/>
        <v>-60.804451219004548</v>
      </c>
      <c r="CU812" s="7">
        <f t="shared" si="116"/>
        <v>-60.804451219004548</v>
      </c>
      <c r="CV812" s="9">
        <f t="shared" si="117"/>
        <v>240.11399999999901</v>
      </c>
      <c r="CW812" t="str">
        <f t="shared" si="118"/>
        <v>Fe2GaNi</v>
      </c>
    </row>
    <row r="813" spans="1:101" ht="15.75" thickBot="1" x14ac:dyDescent="0.3">
      <c r="A813" t="s">
        <v>91</v>
      </c>
      <c r="B813" t="s">
        <v>2454</v>
      </c>
      <c r="C813" t="s">
        <v>3144</v>
      </c>
      <c r="E813" t="s">
        <v>3145</v>
      </c>
      <c r="F813" t="s">
        <v>93</v>
      </c>
      <c r="G813" t="s">
        <v>2455</v>
      </c>
      <c r="H813">
        <v>240.114</v>
      </c>
      <c r="I813">
        <v>996</v>
      </c>
      <c r="M813">
        <f t="shared" si="110"/>
        <v>0</v>
      </c>
      <c r="O813" t="s">
        <v>93</v>
      </c>
      <c r="P813" t="s">
        <v>93</v>
      </c>
      <c r="T813">
        <f t="shared" si="111"/>
        <v>0</v>
      </c>
      <c r="V813" t="s">
        <v>93</v>
      </c>
      <c r="W813" t="s">
        <v>102</v>
      </c>
      <c r="X813">
        <v>298</v>
      </c>
      <c r="Y813" t="s">
        <v>103</v>
      </c>
      <c r="Z813">
        <v>-14.6</v>
      </c>
      <c r="AA813" t="s">
        <v>95</v>
      </c>
      <c r="AB813">
        <f t="shared" si="112"/>
        <v>-60.804451219004306</v>
      </c>
      <c r="AC813" t="s">
        <v>93</v>
      </c>
      <c r="AD813">
        <v>0.4</v>
      </c>
      <c r="AE813" t="s">
        <v>95</v>
      </c>
      <c r="AF813" t="s">
        <v>93</v>
      </c>
      <c r="AH813" t="s">
        <v>93</v>
      </c>
      <c r="AI813" t="s">
        <v>93</v>
      </c>
      <c r="AJ813" t="s">
        <v>93</v>
      </c>
      <c r="AK813" t="s">
        <v>93</v>
      </c>
      <c r="AS813">
        <v>0.25</v>
      </c>
      <c r="AT813">
        <v>0.5</v>
      </c>
      <c r="BY813">
        <v>0.25</v>
      </c>
      <c r="CR813">
        <f t="shared" si="113"/>
        <v>0</v>
      </c>
      <c r="CS813">
        <f t="shared" si="114"/>
        <v>0</v>
      </c>
      <c r="CT813">
        <f t="shared" si="115"/>
        <v>-60.804451219004306</v>
      </c>
      <c r="CU813" s="7">
        <f t="shared" si="116"/>
        <v>-60.804451219004306</v>
      </c>
      <c r="CV813" s="9">
        <f t="shared" si="117"/>
        <v>240.114</v>
      </c>
      <c r="CW813" t="str">
        <f t="shared" si="118"/>
        <v>Fe2NiGa</v>
      </c>
    </row>
    <row r="814" spans="1:101" ht="15.75" thickBot="1" x14ac:dyDescent="0.3">
      <c r="A814" t="s">
        <v>91</v>
      </c>
      <c r="B814" t="s">
        <v>2160</v>
      </c>
      <c r="C814" t="s">
        <v>3144</v>
      </c>
      <c r="E814" t="s">
        <v>3145</v>
      </c>
      <c r="F814" t="s">
        <v>93</v>
      </c>
      <c r="G814" t="s">
        <v>2161</v>
      </c>
      <c r="H814">
        <v>1180.722</v>
      </c>
      <c r="I814">
        <v>859</v>
      </c>
      <c r="J814">
        <v>0</v>
      </c>
      <c r="K814" t="s">
        <v>95</v>
      </c>
      <c r="L814">
        <v>-69.085735740000004</v>
      </c>
      <c r="M814">
        <f t="shared" si="110"/>
        <v>-58.511432614959325</v>
      </c>
      <c r="N814" t="s">
        <v>95</v>
      </c>
      <c r="O814" t="s">
        <v>2162</v>
      </c>
      <c r="P814" t="s">
        <v>93</v>
      </c>
      <c r="Q814">
        <v>0</v>
      </c>
      <c r="R814" t="s">
        <v>95</v>
      </c>
      <c r="S814">
        <v>-72.62781579</v>
      </c>
      <c r="T814">
        <f t="shared" si="111"/>
        <v>-61.511359820516603</v>
      </c>
      <c r="U814" t="s">
        <v>95</v>
      </c>
      <c r="V814">
        <v>17478</v>
      </c>
      <c r="W814" t="s">
        <v>339</v>
      </c>
      <c r="X814">
        <v>298</v>
      </c>
      <c r="Y814" t="s">
        <v>1403</v>
      </c>
      <c r="Z814">
        <v>-73.5</v>
      </c>
      <c r="AA814" t="s">
        <v>95</v>
      </c>
      <c r="AB814">
        <f t="shared" si="112"/>
        <v>-62.250047005137539</v>
      </c>
      <c r="AC814" t="s">
        <v>93</v>
      </c>
      <c r="AD814">
        <v>2.2999999999999998</v>
      </c>
      <c r="AE814" t="s">
        <v>95</v>
      </c>
      <c r="AF814" t="s">
        <v>93</v>
      </c>
      <c r="BJ814">
        <v>0.625</v>
      </c>
      <c r="CF814">
        <v>0.375</v>
      </c>
      <c r="CR814">
        <f t="shared" si="113"/>
        <v>-58.511432614959325</v>
      </c>
      <c r="CS814">
        <f t="shared" si="114"/>
        <v>-61.511359820516603</v>
      </c>
      <c r="CT814">
        <f t="shared" si="115"/>
        <v>-62.250047005137539</v>
      </c>
      <c r="CU814" s="7">
        <f t="shared" si="116"/>
        <v>-60.757613146871158</v>
      </c>
      <c r="CV814" s="9">
        <f t="shared" si="117"/>
        <v>1180.722</v>
      </c>
      <c r="CW814" t="str">
        <f t="shared" si="118"/>
        <v>Ho5Sn3</v>
      </c>
    </row>
    <row r="815" spans="1:101" ht="15.75" thickBot="1" x14ac:dyDescent="0.3">
      <c r="A815" t="s">
        <v>91</v>
      </c>
      <c r="B815" t="s">
        <v>786</v>
      </c>
      <c r="C815" t="s">
        <v>3144</v>
      </c>
      <c r="E815" t="s">
        <v>3145</v>
      </c>
      <c r="F815" t="s">
        <v>93</v>
      </c>
      <c r="G815" t="s">
        <v>787</v>
      </c>
      <c r="H815">
        <v>437.74</v>
      </c>
      <c r="I815">
        <v>316</v>
      </c>
      <c r="J815">
        <v>0</v>
      </c>
      <c r="K815" t="s">
        <v>95</v>
      </c>
      <c r="L815">
        <v>-26.958370949999999</v>
      </c>
      <c r="M815">
        <f t="shared" si="110"/>
        <v>-61.58534963677068</v>
      </c>
      <c r="N815" t="s">
        <v>95</v>
      </c>
      <c r="O815" t="s">
        <v>788</v>
      </c>
      <c r="P815" t="s">
        <v>121</v>
      </c>
      <c r="T815">
        <f t="shared" si="111"/>
        <v>0</v>
      </c>
      <c r="V815" t="s">
        <v>93</v>
      </c>
      <c r="W815" t="s">
        <v>172</v>
      </c>
      <c r="X815">
        <v>298</v>
      </c>
      <c r="Y815" t="s">
        <v>170</v>
      </c>
      <c r="Z815">
        <v>-26.2</v>
      </c>
      <c r="AA815" t="s">
        <v>95</v>
      </c>
      <c r="AB815">
        <f t="shared" si="112"/>
        <v>-59.852880705441578</v>
      </c>
      <c r="AC815" t="s">
        <v>93</v>
      </c>
      <c r="AD815">
        <v>1.1000000000000001</v>
      </c>
      <c r="AE815" t="s">
        <v>95</v>
      </c>
      <c r="AF815" t="s">
        <v>93</v>
      </c>
      <c r="AJ815" t="s">
        <v>93</v>
      </c>
      <c r="AK815" t="s">
        <v>93</v>
      </c>
      <c r="AO815">
        <v>0.17</v>
      </c>
      <c r="AS815">
        <v>0.83</v>
      </c>
      <c r="CR815">
        <f t="shared" si="113"/>
        <v>-61.58534963677068</v>
      </c>
      <c r="CS815">
        <f t="shared" si="114"/>
        <v>0</v>
      </c>
      <c r="CT815">
        <f t="shared" si="115"/>
        <v>-59.852880705441578</v>
      </c>
      <c r="CU815" s="7">
        <f t="shared" si="116"/>
        <v>-60.719115171106125</v>
      </c>
      <c r="CV815" s="9">
        <f t="shared" si="117"/>
        <v>437.74</v>
      </c>
      <c r="CW815" t="str">
        <f t="shared" si="118"/>
        <v>NdNi5</v>
      </c>
    </row>
    <row r="816" spans="1:101" ht="15.75" thickBot="1" x14ac:dyDescent="0.3">
      <c r="A816" t="s">
        <v>91</v>
      </c>
      <c r="B816" t="s">
        <v>1899</v>
      </c>
      <c r="C816" t="s">
        <v>3144</v>
      </c>
      <c r="E816" t="s">
        <v>3145</v>
      </c>
      <c r="F816" t="s">
        <v>93</v>
      </c>
      <c r="G816" t="s">
        <v>1900</v>
      </c>
      <c r="H816">
        <v>374.66139999999899</v>
      </c>
      <c r="I816">
        <v>726</v>
      </c>
      <c r="M816">
        <f t="shared" si="110"/>
        <v>0</v>
      </c>
      <c r="O816" t="s">
        <v>93</v>
      </c>
      <c r="P816" t="s">
        <v>1872</v>
      </c>
      <c r="T816">
        <f t="shared" si="111"/>
        <v>0</v>
      </c>
      <c r="V816" t="s">
        <v>93</v>
      </c>
      <c r="W816" t="s">
        <v>93</v>
      </c>
      <c r="X816">
        <v>298</v>
      </c>
      <c r="Y816" t="s">
        <v>93</v>
      </c>
      <c r="Z816">
        <v>-22.7</v>
      </c>
      <c r="AA816" t="s">
        <v>95</v>
      </c>
      <c r="AB816">
        <f t="shared" si="112"/>
        <v>-60.588040294516752</v>
      </c>
      <c r="AC816" t="s">
        <v>93</v>
      </c>
      <c r="AD816">
        <v>1.8</v>
      </c>
      <c r="AE816" t="s">
        <v>95</v>
      </c>
      <c r="AF816" t="s">
        <v>93</v>
      </c>
      <c r="AH816" t="s">
        <v>93</v>
      </c>
      <c r="AI816" t="s">
        <v>93</v>
      </c>
      <c r="AJ816" t="s">
        <v>93</v>
      </c>
      <c r="AK816" t="s">
        <v>93</v>
      </c>
      <c r="BK816">
        <v>0.33</v>
      </c>
      <c r="CR816">
        <f t="shared" si="113"/>
        <v>0</v>
      </c>
      <c r="CS816">
        <f t="shared" si="114"/>
        <v>0</v>
      </c>
      <c r="CT816">
        <f t="shared" si="115"/>
        <v>-60.588040294516752</v>
      </c>
      <c r="CU816" s="7">
        <f t="shared" si="116"/>
        <v>-60.588040294516752</v>
      </c>
      <c r="CV816" s="9">
        <f t="shared" si="117"/>
        <v>374.66139999999899</v>
      </c>
      <c r="CW816" t="str">
        <f t="shared" si="118"/>
        <v>TbAg2</v>
      </c>
    </row>
    <row r="817" spans="1:101" ht="15.75" thickBot="1" x14ac:dyDescent="0.3">
      <c r="A817" t="s">
        <v>91</v>
      </c>
      <c r="B817" t="s">
        <v>1863</v>
      </c>
      <c r="C817" t="s">
        <v>3144</v>
      </c>
      <c r="E817" t="s">
        <v>3145</v>
      </c>
      <c r="F817" t="s">
        <v>93</v>
      </c>
      <c r="G817" t="s">
        <v>1864</v>
      </c>
      <c r="H817">
        <v>277.49200000000002</v>
      </c>
      <c r="I817">
        <v>711</v>
      </c>
      <c r="M817">
        <f t="shared" si="110"/>
        <v>0</v>
      </c>
      <c r="O817" t="s">
        <v>93</v>
      </c>
      <c r="P817" t="s">
        <v>93</v>
      </c>
      <c r="T817">
        <f t="shared" si="111"/>
        <v>0</v>
      </c>
      <c r="V817" t="s">
        <v>93</v>
      </c>
      <c r="W817" t="s">
        <v>364</v>
      </c>
      <c r="X817">
        <v>298</v>
      </c>
      <c r="Y817" t="s">
        <v>365</v>
      </c>
      <c r="Z817">
        <v>-16.7</v>
      </c>
      <c r="AA817" t="s">
        <v>95</v>
      </c>
      <c r="AB817">
        <f t="shared" si="112"/>
        <v>-60.181915154310751</v>
      </c>
      <c r="AC817" t="s">
        <v>93</v>
      </c>
      <c r="AD817">
        <v>2.1</v>
      </c>
      <c r="AE817" t="s">
        <v>95</v>
      </c>
      <c r="AF817" t="s">
        <v>93</v>
      </c>
      <c r="AH817" t="s">
        <v>93</v>
      </c>
      <c r="AI817" t="s">
        <v>93</v>
      </c>
      <c r="AJ817" t="s">
        <v>93</v>
      </c>
      <c r="AK817" t="s">
        <v>93</v>
      </c>
      <c r="AX817">
        <v>0.66</v>
      </c>
      <c r="BN817">
        <v>0.33</v>
      </c>
      <c r="CR817">
        <f t="shared" si="113"/>
        <v>0</v>
      </c>
      <c r="CS817">
        <f t="shared" si="114"/>
        <v>0</v>
      </c>
      <c r="CT817">
        <f t="shared" si="115"/>
        <v>-60.181915154310751</v>
      </c>
      <c r="CU817" s="7">
        <f t="shared" si="116"/>
        <v>-60.181915154310751</v>
      </c>
      <c r="CV817" s="9">
        <f t="shared" si="117"/>
        <v>277.49200000000002</v>
      </c>
      <c r="CW817" t="str">
        <f t="shared" si="118"/>
        <v>Cu2Sm</v>
      </c>
    </row>
    <row r="818" spans="1:101" ht="15.75" thickBot="1" x14ac:dyDescent="0.3">
      <c r="A818" t="s">
        <v>91</v>
      </c>
      <c r="B818" t="s">
        <v>964</v>
      </c>
      <c r="C818" t="s">
        <v>3144</v>
      </c>
      <c r="E818" t="s">
        <v>3145</v>
      </c>
      <c r="F818" t="s">
        <v>93</v>
      </c>
      <c r="G818" t="s">
        <v>965</v>
      </c>
      <c r="H818">
        <v>636.2115</v>
      </c>
      <c r="I818">
        <v>385</v>
      </c>
      <c r="J818">
        <v>0</v>
      </c>
      <c r="K818" t="s">
        <v>95</v>
      </c>
      <c r="L818">
        <v>-44.30119964</v>
      </c>
      <c r="M818">
        <f t="shared" si="110"/>
        <v>-69.632818080151011</v>
      </c>
      <c r="N818" t="s">
        <v>95</v>
      </c>
      <c r="O818" t="s">
        <v>966</v>
      </c>
      <c r="P818" t="s">
        <v>93</v>
      </c>
      <c r="Q818">
        <v>0</v>
      </c>
      <c r="R818" t="s">
        <v>95</v>
      </c>
      <c r="S818">
        <v>-42.65455575</v>
      </c>
      <c r="T818">
        <f t="shared" si="111"/>
        <v>-67.044616059282177</v>
      </c>
      <c r="U818" t="s">
        <v>95</v>
      </c>
      <c r="V818">
        <v>18028</v>
      </c>
      <c r="W818" t="s">
        <v>870</v>
      </c>
      <c r="X818">
        <v>298</v>
      </c>
      <c r="Y818" t="s">
        <v>98</v>
      </c>
      <c r="Z818">
        <v>-27.4</v>
      </c>
      <c r="AA818" t="s">
        <v>95</v>
      </c>
      <c r="AB818">
        <f t="shared" si="112"/>
        <v>-43.067439051321763</v>
      </c>
      <c r="AC818" t="s">
        <v>93</v>
      </c>
      <c r="AD818">
        <v>3</v>
      </c>
      <c r="AE818" t="s">
        <v>95</v>
      </c>
      <c r="AF818" t="s">
        <v>93</v>
      </c>
      <c r="AY818">
        <v>0.75</v>
      </c>
      <c r="BD818">
        <v>0.25</v>
      </c>
      <c r="CR818">
        <f t="shared" si="113"/>
        <v>-69.632818080151011</v>
      </c>
      <c r="CS818">
        <f t="shared" si="114"/>
        <v>-67.044616059282177</v>
      </c>
      <c r="CT818">
        <f t="shared" si="115"/>
        <v>-43.067439051321763</v>
      </c>
      <c r="CU818" s="7">
        <f t="shared" si="116"/>
        <v>-59.914957730251651</v>
      </c>
      <c r="CV818" s="9">
        <f t="shared" si="117"/>
        <v>636.2115</v>
      </c>
      <c r="CW818" t="str">
        <f t="shared" si="118"/>
        <v>VPt3</v>
      </c>
    </row>
    <row r="819" spans="1:101" ht="15.75" thickBot="1" x14ac:dyDescent="0.3">
      <c r="A819" t="s">
        <v>91</v>
      </c>
      <c r="B819" t="s">
        <v>2166</v>
      </c>
      <c r="C819" t="s">
        <v>3144</v>
      </c>
      <c r="E819" t="s">
        <v>3145</v>
      </c>
      <c r="F819" t="s">
        <v>93</v>
      </c>
      <c r="G819" t="s">
        <v>2167</v>
      </c>
      <c r="H819">
        <v>1200.741</v>
      </c>
      <c r="I819">
        <v>861</v>
      </c>
      <c r="M819">
        <f t="shared" si="110"/>
        <v>0</v>
      </c>
      <c r="O819" t="s">
        <v>93</v>
      </c>
      <c r="P819" t="s">
        <v>93</v>
      </c>
      <c r="Q819">
        <v>0</v>
      </c>
      <c r="R819" t="s">
        <v>95</v>
      </c>
      <c r="S819">
        <v>-70.540370019999997</v>
      </c>
      <c r="T819">
        <f t="shared" si="111"/>
        <v>-58.74736518533139</v>
      </c>
      <c r="U819" t="s">
        <v>95</v>
      </c>
      <c r="V819">
        <v>31088</v>
      </c>
      <c r="W819" t="s">
        <v>339</v>
      </c>
      <c r="X819">
        <v>298</v>
      </c>
      <c r="Y819" t="s">
        <v>1403</v>
      </c>
      <c r="Z819">
        <v>-72.8</v>
      </c>
      <c r="AA819" t="s">
        <v>95</v>
      </c>
      <c r="AB819">
        <f t="shared" si="112"/>
        <v>-60.629228118303615</v>
      </c>
      <c r="AC819" t="s">
        <v>93</v>
      </c>
      <c r="AD819">
        <v>2.1</v>
      </c>
      <c r="AE819" t="s">
        <v>95</v>
      </c>
      <c r="AF819" t="s">
        <v>93</v>
      </c>
      <c r="AH819" t="s">
        <v>93</v>
      </c>
      <c r="AI819" t="s">
        <v>93</v>
      </c>
      <c r="BO819">
        <v>0.625</v>
      </c>
      <c r="CF819">
        <v>0.375</v>
      </c>
      <c r="CR819">
        <f t="shared" si="113"/>
        <v>0</v>
      </c>
      <c r="CS819">
        <f t="shared" si="114"/>
        <v>-58.74736518533139</v>
      </c>
      <c r="CT819">
        <f t="shared" si="115"/>
        <v>-60.629228118303615</v>
      </c>
      <c r="CU819" s="7">
        <f t="shared" si="116"/>
        <v>-59.688296651817502</v>
      </c>
      <c r="CV819" s="9">
        <f t="shared" si="117"/>
        <v>1200.741</v>
      </c>
      <c r="CW819" t="str">
        <f t="shared" si="118"/>
        <v>Tm5Sn3</v>
      </c>
    </row>
    <row r="820" spans="1:101" ht="15.75" thickBot="1" x14ac:dyDescent="0.3">
      <c r="A820" t="s">
        <v>91</v>
      </c>
      <c r="B820" t="s">
        <v>874</v>
      </c>
      <c r="C820" t="s">
        <v>3144</v>
      </c>
      <c r="E820" t="s">
        <v>3145</v>
      </c>
      <c r="F820" t="s">
        <v>93</v>
      </c>
      <c r="G820" t="s">
        <v>875</v>
      </c>
      <c r="H820">
        <v>469.30589999999899</v>
      </c>
      <c r="I820">
        <v>347</v>
      </c>
      <c r="J820">
        <v>0</v>
      </c>
      <c r="K820" t="s">
        <v>95</v>
      </c>
      <c r="L820">
        <v>-29.804334449999999</v>
      </c>
      <c r="M820">
        <f t="shared" si="110"/>
        <v>-63.507265623551859</v>
      </c>
      <c r="N820" t="s">
        <v>95</v>
      </c>
      <c r="O820" t="s">
        <v>876</v>
      </c>
      <c r="P820" t="s">
        <v>121</v>
      </c>
      <c r="Q820">
        <v>0</v>
      </c>
      <c r="R820" t="s">
        <v>95</v>
      </c>
      <c r="S820">
        <v>-29.28654435</v>
      </c>
      <c r="T820">
        <f t="shared" si="111"/>
        <v>-62.403955181471325</v>
      </c>
      <c r="U820" t="s">
        <v>95</v>
      </c>
      <c r="V820">
        <v>19318</v>
      </c>
      <c r="W820" t="s">
        <v>225</v>
      </c>
      <c r="X820">
        <v>298</v>
      </c>
      <c r="Y820" t="s">
        <v>179</v>
      </c>
      <c r="Z820">
        <v>-24.8</v>
      </c>
      <c r="AA820" t="s">
        <v>95</v>
      </c>
      <c r="AB820">
        <f t="shared" si="112"/>
        <v>-52.843997912662203</v>
      </c>
      <c r="AC820" t="s">
        <v>93</v>
      </c>
      <c r="AD820">
        <v>2.8</v>
      </c>
      <c r="AE820" t="s">
        <v>95</v>
      </c>
      <c r="AF820" t="s">
        <v>93</v>
      </c>
      <c r="AG820">
        <v>0.33</v>
      </c>
      <c r="BM820">
        <v>0.66</v>
      </c>
      <c r="CR820">
        <f t="shared" si="113"/>
        <v>-63.507265623551859</v>
      </c>
      <c r="CS820">
        <f t="shared" si="114"/>
        <v>-62.403955181471325</v>
      </c>
      <c r="CT820">
        <f t="shared" si="115"/>
        <v>-52.843997912662203</v>
      </c>
      <c r="CU820" s="7">
        <f t="shared" si="116"/>
        <v>-59.585072905895139</v>
      </c>
      <c r="CV820" s="9">
        <f t="shared" si="117"/>
        <v>469.30589999999899</v>
      </c>
      <c r="CW820" t="str">
        <f t="shared" si="118"/>
        <v>YOs2</v>
      </c>
    </row>
    <row r="821" spans="1:101" ht="15.75" thickBot="1" x14ac:dyDescent="0.3">
      <c r="A821" t="s">
        <v>91</v>
      </c>
      <c r="B821" t="s">
        <v>2163</v>
      </c>
      <c r="C821" t="s">
        <v>3144</v>
      </c>
      <c r="E821" t="s">
        <v>3145</v>
      </c>
      <c r="F821" t="s">
        <v>93</v>
      </c>
      <c r="G821" t="s">
        <v>2164</v>
      </c>
      <c r="H821">
        <v>1192.3699999999999</v>
      </c>
      <c r="I821">
        <v>860</v>
      </c>
      <c r="J821">
        <v>0</v>
      </c>
      <c r="K821" t="s">
        <v>95</v>
      </c>
      <c r="L821">
        <v>-68.151447160000004</v>
      </c>
      <c r="M821">
        <f t="shared" si="110"/>
        <v>-57.15629138606306</v>
      </c>
      <c r="N821" t="s">
        <v>95</v>
      </c>
      <c r="O821" t="s">
        <v>2165</v>
      </c>
      <c r="P821" t="s">
        <v>93</v>
      </c>
      <c r="Q821">
        <v>0</v>
      </c>
      <c r="R821" t="s">
        <v>95</v>
      </c>
      <c r="S821">
        <v>-71.880639700000003</v>
      </c>
      <c r="T821">
        <f t="shared" si="111"/>
        <v>-60.283837818797871</v>
      </c>
      <c r="U821" t="s">
        <v>95</v>
      </c>
      <c r="V821">
        <v>647468</v>
      </c>
      <c r="W821" t="s">
        <v>339</v>
      </c>
      <c r="X821">
        <v>298</v>
      </c>
      <c r="Y821" t="s">
        <v>1403</v>
      </c>
      <c r="Z821">
        <v>-72.3</v>
      </c>
      <c r="AA821" t="s">
        <v>95</v>
      </c>
      <c r="AB821">
        <f t="shared" si="112"/>
        <v>-60.635540981406784</v>
      </c>
      <c r="AC821" t="s">
        <v>93</v>
      </c>
      <c r="AD821">
        <v>2.1</v>
      </c>
      <c r="AE821" t="s">
        <v>95</v>
      </c>
      <c r="AF821" t="s">
        <v>93</v>
      </c>
      <c r="BH821">
        <v>0.625</v>
      </c>
      <c r="CF821">
        <v>0.375</v>
      </c>
      <c r="CR821">
        <f t="shared" si="113"/>
        <v>-57.15629138606306</v>
      </c>
      <c r="CS821">
        <f t="shared" si="114"/>
        <v>-60.283837818797871</v>
      </c>
      <c r="CT821">
        <f t="shared" si="115"/>
        <v>-60.635540981406784</v>
      </c>
      <c r="CU821" s="7">
        <f t="shared" si="116"/>
        <v>-59.358556728755907</v>
      </c>
      <c r="CV821" s="9">
        <f t="shared" si="117"/>
        <v>1192.3699999999999</v>
      </c>
      <c r="CW821" t="str">
        <f t="shared" si="118"/>
        <v>Er5Sn3</v>
      </c>
    </row>
    <row r="822" spans="1:101" ht="15.75" thickBot="1" x14ac:dyDescent="0.3">
      <c r="A822" t="s">
        <v>91</v>
      </c>
      <c r="B822" t="s">
        <v>2596</v>
      </c>
      <c r="C822" t="s">
        <v>3144</v>
      </c>
      <c r="E822" t="s">
        <v>3145</v>
      </c>
      <c r="F822" t="s">
        <v>93</v>
      </c>
      <c r="G822" t="s">
        <v>2597</v>
      </c>
      <c r="H822">
        <v>766.21789999999999</v>
      </c>
      <c r="I822">
        <v>1058</v>
      </c>
      <c r="J822">
        <v>0</v>
      </c>
      <c r="K822" t="s">
        <v>95</v>
      </c>
      <c r="L822">
        <v>-69.692293090000007</v>
      </c>
      <c r="M822">
        <f t="shared" si="110"/>
        <v>-90.956232019638293</v>
      </c>
      <c r="N822" t="s">
        <v>95</v>
      </c>
      <c r="O822" t="s">
        <v>2598</v>
      </c>
      <c r="P822" t="s">
        <v>93</v>
      </c>
      <c r="T822">
        <f t="shared" si="111"/>
        <v>0</v>
      </c>
      <c r="V822" t="s">
        <v>93</v>
      </c>
      <c r="W822" t="s">
        <v>781</v>
      </c>
      <c r="X822">
        <v>298</v>
      </c>
      <c r="Y822" t="s">
        <v>782</v>
      </c>
      <c r="Z822">
        <v>-21.1</v>
      </c>
      <c r="AA822" t="s">
        <v>95</v>
      </c>
      <c r="AB822">
        <f t="shared" si="112"/>
        <v>-27.537858355958537</v>
      </c>
      <c r="AC822" t="s">
        <v>93</v>
      </c>
      <c r="AD822">
        <v>2.4</v>
      </c>
      <c r="AE822" t="s">
        <v>95</v>
      </c>
      <c r="AF822" t="s">
        <v>93</v>
      </c>
      <c r="AJ822" t="s">
        <v>93</v>
      </c>
      <c r="AK822" t="s">
        <v>93</v>
      </c>
      <c r="AY822">
        <v>0.75</v>
      </c>
      <c r="BE822">
        <v>0.25</v>
      </c>
      <c r="CR822">
        <f t="shared" si="113"/>
        <v>-90.956232019638293</v>
      </c>
      <c r="CS822">
        <f t="shared" si="114"/>
        <v>0</v>
      </c>
      <c r="CT822">
        <f t="shared" si="115"/>
        <v>-27.537858355958537</v>
      </c>
      <c r="CU822" s="7">
        <f t="shared" si="116"/>
        <v>-59.247045187798413</v>
      </c>
      <c r="CV822" s="9">
        <f t="shared" si="117"/>
        <v>766.21789999999999</v>
      </c>
      <c r="CW822" t="str">
        <f t="shared" si="118"/>
        <v>TaPt3</v>
      </c>
    </row>
    <row r="823" spans="1:101" ht="15.75" thickBot="1" x14ac:dyDescent="0.3">
      <c r="A823" t="s">
        <v>91</v>
      </c>
      <c r="B823" t="s">
        <v>1765</v>
      </c>
      <c r="C823" t="s">
        <v>3144</v>
      </c>
      <c r="E823" t="s">
        <v>3145</v>
      </c>
      <c r="F823" t="s">
        <v>93</v>
      </c>
      <c r="G823" t="s">
        <v>1766</v>
      </c>
      <c r="H823">
        <v>227.74109999999999</v>
      </c>
      <c r="I823">
        <v>674</v>
      </c>
      <c r="J823">
        <v>0</v>
      </c>
      <c r="K823" t="s">
        <v>95</v>
      </c>
      <c r="L823">
        <v>-16.49723625</v>
      </c>
      <c r="M823">
        <f t="shared" si="110"/>
        <v>-72.438555227844262</v>
      </c>
      <c r="N823" t="s">
        <v>95</v>
      </c>
      <c r="O823" t="s">
        <v>1767</v>
      </c>
      <c r="P823" t="s">
        <v>121</v>
      </c>
      <c r="Q823">
        <v>0</v>
      </c>
      <c r="R823" t="s">
        <v>95</v>
      </c>
      <c r="S823">
        <v>-17.442394960000001</v>
      </c>
      <c r="T823">
        <f t="shared" si="111"/>
        <v>-76.588700765913586</v>
      </c>
      <c r="U823" t="s">
        <v>95</v>
      </c>
      <c r="V823">
        <v>31151</v>
      </c>
      <c r="W823" t="s">
        <v>178</v>
      </c>
      <c r="X823">
        <v>298</v>
      </c>
      <c r="Y823" t="s">
        <v>179</v>
      </c>
      <c r="Z823">
        <v>-6.5</v>
      </c>
      <c r="AA823" t="s">
        <v>95</v>
      </c>
      <c r="AB823">
        <f t="shared" si="112"/>
        <v>-28.541181192151967</v>
      </c>
      <c r="AC823" t="s">
        <v>93</v>
      </c>
      <c r="AD823">
        <v>1.4</v>
      </c>
      <c r="AE823" t="s">
        <v>95</v>
      </c>
      <c r="AF823" t="s">
        <v>93</v>
      </c>
      <c r="AW823">
        <v>0.75</v>
      </c>
      <c r="BD823">
        <v>0.25</v>
      </c>
      <c r="CR823">
        <f t="shared" si="113"/>
        <v>-72.438555227844262</v>
      </c>
      <c r="CS823">
        <f t="shared" si="114"/>
        <v>-76.588700765913586</v>
      </c>
      <c r="CT823">
        <f t="shared" si="115"/>
        <v>-28.541181192151967</v>
      </c>
      <c r="CU823" s="7">
        <f t="shared" si="116"/>
        <v>-59.189479061969941</v>
      </c>
      <c r="CV823" s="9">
        <f t="shared" si="117"/>
        <v>227.74109999999999</v>
      </c>
      <c r="CW823" t="str">
        <f t="shared" si="118"/>
        <v>VCo3</v>
      </c>
    </row>
    <row r="824" spans="1:101" ht="15.75" thickBot="1" x14ac:dyDescent="0.3">
      <c r="A824" t="s">
        <v>91</v>
      </c>
      <c r="B824" t="s">
        <v>93</v>
      </c>
      <c r="C824" t="s">
        <v>3144</v>
      </c>
      <c r="E824" t="s">
        <v>3145</v>
      </c>
      <c r="F824" t="s">
        <v>93</v>
      </c>
      <c r="G824" t="s">
        <v>2220</v>
      </c>
      <c r="H824">
        <v>1275.2474999999999</v>
      </c>
      <c r="I824">
        <v>883</v>
      </c>
      <c r="M824">
        <f t="shared" si="110"/>
        <v>0</v>
      </c>
      <c r="O824" t="s">
        <v>93</v>
      </c>
      <c r="P824" t="s">
        <v>2221</v>
      </c>
      <c r="T824">
        <f t="shared" si="111"/>
        <v>0</v>
      </c>
      <c r="V824" t="s">
        <v>93</v>
      </c>
      <c r="W824" t="s">
        <v>93</v>
      </c>
      <c r="X824">
        <v>298</v>
      </c>
      <c r="Y824" t="s">
        <v>93</v>
      </c>
      <c r="Z824">
        <v>-75.400000000000006</v>
      </c>
      <c r="AA824" t="s">
        <v>95</v>
      </c>
      <c r="AB824">
        <f t="shared" si="112"/>
        <v>-59.125777545143208</v>
      </c>
      <c r="AC824" t="s">
        <v>93</v>
      </c>
      <c r="AD824">
        <v>2.2000000000000002</v>
      </c>
      <c r="AE824" t="s">
        <v>95</v>
      </c>
      <c r="AF824" t="s">
        <v>93</v>
      </c>
      <c r="AH824" t="s">
        <v>93</v>
      </c>
      <c r="AI824" t="s">
        <v>93</v>
      </c>
      <c r="AJ824" t="s">
        <v>93</v>
      </c>
      <c r="AK824" t="s">
        <v>93</v>
      </c>
      <c r="AL824">
        <v>0.38</v>
      </c>
      <c r="CA824">
        <v>0.62</v>
      </c>
      <c r="CR824">
        <f t="shared" si="113"/>
        <v>0</v>
      </c>
      <c r="CS824">
        <f t="shared" si="114"/>
        <v>0</v>
      </c>
      <c r="CT824">
        <f t="shared" si="115"/>
        <v>-59.125777545143208</v>
      </c>
      <c r="CU824" s="7">
        <f t="shared" si="116"/>
        <v>-59.125777545143208</v>
      </c>
      <c r="CV824" s="9">
        <f t="shared" si="117"/>
        <v>1275.2474999999999</v>
      </c>
      <c r="CW824" t="str">
        <f t="shared" si="118"/>
        <v>Ge8La5</v>
      </c>
    </row>
    <row r="825" spans="1:101" ht="15.75" thickBot="1" x14ac:dyDescent="0.3">
      <c r="A825" t="s">
        <v>91</v>
      </c>
      <c r="B825" t="s">
        <v>1901</v>
      </c>
      <c r="C825" t="s">
        <v>3144</v>
      </c>
      <c r="E825" t="s">
        <v>3145</v>
      </c>
      <c r="F825" t="s">
        <v>93</v>
      </c>
      <c r="G825" t="s">
        <v>1902</v>
      </c>
      <c r="H825">
        <v>378.23599999999999</v>
      </c>
      <c r="I825">
        <v>727</v>
      </c>
      <c r="M825">
        <f t="shared" si="110"/>
        <v>0</v>
      </c>
      <c r="O825" t="s">
        <v>93</v>
      </c>
      <c r="P825" t="s">
        <v>1872</v>
      </c>
      <c r="T825">
        <f t="shared" si="111"/>
        <v>0</v>
      </c>
      <c r="V825" t="s">
        <v>93</v>
      </c>
      <c r="W825" t="s">
        <v>93</v>
      </c>
      <c r="X825">
        <v>298</v>
      </c>
      <c r="Y825" t="s">
        <v>93</v>
      </c>
      <c r="Z825">
        <v>-22.3</v>
      </c>
      <c r="AA825" t="s">
        <v>95</v>
      </c>
      <c r="AB825">
        <f t="shared" si="112"/>
        <v>-58.957899300965543</v>
      </c>
      <c r="AC825" t="s">
        <v>93</v>
      </c>
      <c r="AD825">
        <v>2.2999999999999998</v>
      </c>
      <c r="AE825" t="s">
        <v>95</v>
      </c>
      <c r="AF825" t="s">
        <v>93</v>
      </c>
      <c r="AH825" t="s">
        <v>93</v>
      </c>
      <c r="AI825" t="s">
        <v>93</v>
      </c>
      <c r="AJ825" t="s">
        <v>93</v>
      </c>
      <c r="AK825" t="s">
        <v>93</v>
      </c>
      <c r="BG825">
        <v>0.33</v>
      </c>
      <c r="CR825">
        <f t="shared" si="113"/>
        <v>0</v>
      </c>
      <c r="CS825">
        <f t="shared" si="114"/>
        <v>0</v>
      </c>
      <c r="CT825">
        <f t="shared" si="115"/>
        <v>-58.957899300965543</v>
      </c>
      <c r="CU825" s="7">
        <f t="shared" si="116"/>
        <v>-58.957899300965543</v>
      </c>
      <c r="CV825" s="9">
        <f t="shared" si="117"/>
        <v>378.23599999999999</v>
      </c>
      <c r="CW825" t="str">
        <f t="shared" si="118"/>
        <v>DyAg2</v>
      </c>
    </row>
    <row r="826" spans="1:101" ht="15.75" thickBot="1" x14ac:dyDescent="0.3">
      <c r="A826" t="s">
        <v>91</v>
      </c>
      <c r="B826" t="s">
        <v>847</v>
      </c>
      <c r="C826" t="s">
        <v>3144</v>
      </c>
      <c r="E826" t="s">
        <v>3145</v>
      </c>
      <c r="F826" t="s">
        <v>93</v>
      </c>
      <c r="G826" t="s">
        <v>848</v>
      </c>
      <c r="H826">
        <v>452.425399999999</v>
      </c>
      <c r="I826">
        <v>337</v>
      </c>
      <c r="J826">
        <v>0</v>
      </c>
      <c r="K826" t="s">
        <v>95</v>
      </c>
      <c r="L826">
        <v>-31.056522220000002</v>
      </c>
      <c r="M826">
        <f t="shared" si="110"/>
        <v>-68.64451513995472</v>
      </c>
      <c r="N826" t="s">
        <v>95</v>
      </c>
      <c r="O826" t="s">
        <v>849</v>
      </c>
      <c r="P826" t="s">
        <v>93</v>
      </c>
      <c r="Q826">
        <v>0</v>
      </c>
      <c r="R826" t="s">
        <v>95</v>
      </c>
      <c r="S826">
        <v>-21.46584249</v>
      </c>
      <c r="T826">
        <f t="shared" si="111"/>
        <v>-47.446148005837088</v>
      </c>
      <c r="U826" t="s">
        <v>95</v>
      </c>
      <c r="V826">
        <v>17834</v>
      </c>
      <c r="W826" t="s">
        <v>172</v>
      </c>
      <c r="X826">
        <v>298</v>
      </c>
      <c r="Y826" t="s">
        <v>170</v>
      </c>
      <c r="Z826">
        <v>-27.4</v>
      </c>
      <c r="AA826" t="s">
        <v>95</v>
      </c>
      <c r="AB826">
        <f t="shared" si="112"/>
        <v>-60.562470630517332</v>
      </c>
      <c r="AC826" t="s">
        <v>93</v>
      </c>
      <c r="AD826">
        <v>0.9</v>
      </c>
      <c r="AE826" t="s">
        <v>95</v>
      </c>
      <c r="AF826" t="s">
        <v>93</v>
      </c>
      <c r="AS826">
        <v>0.83</v>
      </c>
      <c r="BK826">
        <v>0.17</v>
      </c>
      <c r="CR826">
        <f t="shared" si="113"/>
        <v>-68.64451513995472</v>
      </c>
      <c r="CS826">
        <f t="shared" si="114"/>
        <v>-47.446148005837088</v>
      </c>
      <c r="CT826">
        <f t="shared" si="115"/>
        <v>-60.562470630517332</v>
      </c>
      <c r="CU826" s="7">
        <f t="shared" si="116"/>
        <v>-58.884377925436382</v>
      </c>
      <c r="CV826" s="9">
        <f t="shared" si="117"/>
        <v>452.425399999999</v>
      </c>
      <c r="CW826" t="str">
        <f t="shared" si="118"/>
        <v>TbNi5</v>
      </c>
    </row>
    <row r="827" spans="1:101" ht="15.75" thickBot="1" x14ac:dyDescent="0.3">
      <c r="A827" t="s">
        <v>91</v>
      </c>
      <c r="B827" t="s">
        <v>2408</v>
      </c>
      <c r="C827" t="s">
        <v>3144</v>
      </c>
      <c r="E827" t="s">
        <v>3145</v>
      </c>
      <c r="F827" t="s">
        <v>93</v>
      </c>
      <c r="G827" t="s">
        <v>2409</v>
      </c>
      <c r="H827">
        <v>246.30340000000001</v>
      </c>
      <c r="I827">
        <v>979</v>
      </c>
      <c r="J827">
        <v>0</v>
      </c>
      <c r="K827" t="s">
        <v>95</v>
      </c>
      <c r="L827">
        <v>-15.30063752</v>
      </c>
      <c r="M827">
        <f t="shared" si="110"/>
        <v>-62.121097475714905</v>
      </c>
      <c r="N827" t="s">
        <v>95</v>
      </c>
      <c r="O827" t="s">
        <v>2410</v>
      </c>
      <c r="P827" t="s">
        <v>93</v>
      </c>
      <c r="Q827">
        <v>5.0197350000000002E-2</v>
      </c>
      <c r="R827" t="s">
        <v>95</v>
      </c>
      <c r="S827">
        <v>-16.594919130000001</v>
      </c>
      <c r="T827">
        <f t="shared" si="111"/>
        <v>-67.375923880872122</v>
      </c>
      <c r="U827" t="s">
        <v>95</v>
      </c>
      <c r="V827">
        <v>29249</v>
      </c>
      <c r="W827" t="s">
        <v>184</v>
      </c>
      <c r="X827">
        <v>298</v>
      </c>
      <c r="Y827" t="s">
        <v>185</v>
      </c>
      <c r="Z827">
        <v>-11.6</v>
      </c>
      <c r="AA827" t="s">
        <v>95</v>
      </c>
      <c r="AB827">
        <f t="shared" si="112"/>
        <v>-47.096386001979667</v>
      </c>
      <c r="AC827" t="s">
        <v>93</v>
      </c>
      <c r="AD827">
        <v>2.1</v>
      </c>
      <c r="AE827" t="s">
        <v>95</v>
      </c>
      <c r="AF827" t="s">
        <v>93</v>
      </c>
      <c r="AT827">
        <v>0.25</v>
      </c>
      <c r="AW827">
        <v>0.5</v>
      </c>
      <c r="CA827">
        <v>0.25</v>
      </c>
      <c r="CR827">
        <f t="shared" si="113"/>
        <v>-62.121097475714905</v>
      </c>
      <c r="CS827">
        <f t="shared" si="114"/>
        <v>-67.375923880872122</v>
      </c>
      <c r="CT827">
        <f t="shared" si="115"/>
        <v>-47.096386001979667</v>
      </c>
      <c r="CU827" s="7">
        <f t="shared" si="116"/>
        <v>-58.864469119522234</v>
      </c>
      <c r="CV827" s="9">
        <f t="shared" si="117"/>
        <v>246.30340000000001</v>
      </c>
      <c r="CW827" t="str">
        <f t="shared" si="118"/>
        <v>FeCo2Ge</v>
      </c>
    </row>
    <row r="828" spans="1:101" ht="15.75" thickBot="1" x14ac:dyDescent="0.3">
      <c r="A828" t="s">
        <v>91</v>
      </c>
      <c r="B828" t="s">
        <v>93</v>
      </c>
      <c r="C828" t="s">
        <v>3144</v>
      </c>
      <c r="E828" t="s">
        <v>3145</v>
      </c>
      <c r="F828" t="s">
        <v>93</v>
      </c>
      <c r="G828" t="s">
        <v>835</v>
      </c>
      <c r="H828">
        <v>434.40769999999998</v>
      </c>
      <c r="I828">
        <v>333</v>
      </c>
      <c r="J828">
        <v>0</v>
      </c>
      <c r="K828" t="s">
        <v>95</v>
      </c>
      <c r="L828">
        <v>-25.477576119999998</v>
      </c>
      <c r="M828">
        <f t="shared" si="110"/>
        <v>-58.648997520071582</v>
      </c>
      <c r="N828" t="s">
        <v>95</v>
      </c>
      <c r="O828" t="s">
        <v>836</v>
      </c>
      <c r="P828" t="s">
        <v>121</v>
      </c>
      <c r="Q828">
        <v>0</v>
      </c>
      <c r="R828" t="s">
        <v>95</v>
      </c>
      <c r="S828">
        <v>-25.5976046</v>
      </c>
      <c r="T828">
        <f t="shared" si="111"/>
        <v>-58.925301278039043</v>
      </c>
      <c r="U828" t="s">
        <v>95</v>
      </c>
      <c r="V828">
        <v>17787</v>
      </c>
      <c r="W828" t="s">
        <v>172</v>
      </c>
      <c r="X828">
        <v>298</v>
      </c>
      <c r="Y828" t="s">
        <v>170</v>
      </c>
      <c r="Z828">
        <v>-25.6</v>
      </c>
      <c r="AA828" t="s">
        <v>95</v>
      </c>
      <c r="AB828">
        <f t="shared" si="112"/>
        <v>-58.930815452856848</v>
      </c>
      <c r="AC828" t="s">
        <v>93</v>
      </c>
      <c r="AD828">
        <v>1</v>
      </c>
      <c r="AE828" t="s">
        <v>95</v>
      </c>
      <c r="AF828" t="s">
        <v>93</v>
      </c>
      <c r="AN828">
        <v>0.17</v>
      </c>
      <c r="AS828">
        <v>0.83</v>
      </c>
      <c r="CR828">
        <f t="shared" si="113"/>
        <v>-58.648997520071582</v>
      </c>
      <c r="CS828">
        <f t="shared" si="114"/>
        <v>-58.925301278039043</v>
      </c>
      <c r="CT828">
        <f t="shared" si="115"/>
        <v>-58.930815452856848</v>
      </c>
      <c r="CU828" s="7">
        <f t="shared" si="116"/>
        <v>-58.835038083655824</v>
      </c>
      <c r="CV828" s="9">
        <f t="shared" si="117"/>
        <v>434.40769999999998</v>
      </c>
      <c r="CW828" t="str">
        <f t="shared" si="118"/>
        <v>PrNi5</v>
      </c>
    </row>
    <row r="829" spans="1:101" ht="15.75" thickBot="1" x14ac:dyDescent="0.3">
      <c r="A829" t="s">
        <v>91</v>
      </c>
      <c r="B829" t="s">
        <v>2445</v>
      </c>
      <c r="C829" t="s">
        <v>3144</v>
      </c>
      <c r="E829" t="s">
        <v>3145</v>
      </c>
      <c r="F829" t="s">
        <v>93</v>
      </c>
      <c r="G829" t="s">
        <v>2446</v>
      </c>
      <c r="H829">
        <v>240.34719999999999</v>
      </c>
      <c r="I829">
        <v>992</v>
      </c>
      <c r="M829">
        <f t="shared" si="110"/>
        <v>0</v>
      </c>
      <c r="O829" t="s">
        <v>93</v>
      </c>
      <c r="P829" t="s">
        <v>93</v>
      </c>
      <c r="T829">
        <f t="shared" si="111"/>
        <v>0</v>
      </c>
      <c r="V829" t="s">
        <v>93</v>
      </c>
      <c r="W829" t="s">
        <v>184</v>
      </c>
      <c r="X829">
        <v>298</v>
      </c>
      <c r="Y829" t="s">
        <v>1983</v>
      </c>
      <c r="Z829">
        <v>-14.1</v>
      </c>
      <c r="AA829" t="s">
        <v>95</v>
      </c>
      <c r="AB829">
        <f t="shared" si="112"/>
        <v>-58.665131110327067</v>
      </c>
      <c r="AC829" t="s">
        <v>93</v>
      </c>
      <c r="AD829">
        <v>1.9</v>
      </c>
      <c r="AE829" t="s">
        <v>95</v>
      </c>
      <c r="AF829" t="s">
        <v>93</v>
      </c>
      <c r="AH829" t="s">
        <v>93</v>
      </c>
      <c r="AI829" t="s">
        <v>93</v>
      </c>
      <c r="AJ829" t="s">
        <v>93</v>
      </c>
      <c r="AK829" t="s">
        <v>93</v>
      </c>
      <c r="AT829">
        <v>0.5</v>
      </c>
      <c r="AW829">
        <v>0.25</v>
      </c>
      <c r="BY829">
        <v>0.25</v>
      </c>
      <c r="CR829">
        <f t="shared" si="113"/>
        <v>0</v>
      </c>
      <c r="CS829">
        <f t="shared" si="114"/>
        <v>0</v>
      </c>
      <c r="CT829">
        <f t="shared" si="115"/>
        <v>-58.665131110327067</v>
      </c>
      <c r="CU829" s="7">
        <f t="shared" si="116"/>
        <v>-58.665131110327067</v>
      </c>
      <c r="CV829" s="9">
        <f t="shared" si="117"/>
        <v>240.34719999999999</v>
      </c>
      <c r="CW829" t="str">
        <f t="shared" si="118"/>
        <v>Fe2CoGa</v>
      </c>
    </row>
    <row r="830" spans="1:101" ht="15.75" thickBot="1" x14ac:dyDescent="0.3">
      <c r="A830" t="s">
        <v>91</v>
      </c>
      <c r="B830" t="s">
        <v>526</v>
      </c>
      <c r="C830" t="s">
        <v>3144</v>
      </c>
      <c r="E830" t="s">
        <v>3145</v>
      </c>
      <c r="F830" t="s">
        <v>93</v>
      </c>
      <c r="G830" t="s">
        <v>527</v>
      </c>
      <c r="H830">
        <v>154.76599999999999</v>
      </c>
      <c r="I830">
        <v>213</v>
      </c>
      <c r="M830">
        <f t="shared" si="110"/>
        <v>0</v>
      </c>
      <c r="O830" t="s">
        <v>93</v>
      </c>
      <c r="P830" t="s">
        <v>93</v>
      </c>
      <c r="T830">
        <f t="shared" si="111"/>
        <v>0</v>
      </c>
      <c r="V830" t="s">
        <v>93</v>
      </c>
      <c r="W830" t="s">
        <v>93</v>
      </c>
      <c r="X830">
        <v>298</v>
      </c>
      <c r="Y830" t="s">
        <v>93</v>
      </c>
      <c r="Z830">
        <v>-9.0500000000000007</v>
      </c>
      <c r="AA830" t="s">
        <v>95</v>
      </c>
      <c r="AB830">
        <f t="shared" si="112"/>
        <v>-58.47537572851919</v>
      </c>
      <c r="AC830" t="s">
        <v>93</v>
      </c>
      <c r="AD830">
        <v>1.18</v>
      </c>
      <c r="AE830" t="s">
        <v>95</v>
      </c>
      <c r="AF830" t="s">
        <v>93</v>
      </c>
      <c r="AH830" t="s">
        <v>93</v>
      </c>
      <c r="AI830" t="s">
        <v>93</v>
      </c>
      <c r="AJ830" t="s">
        <v>93</v>
      </c>
      <c r="AK830" t="s">
        <v>93</v>
      </c>
      <c r="AP830">
        <v>0.5</v>
      </c>
      <c r="AX830">
        <v>0.5</v>
      </c>
      <c r="CR830">
        <f t="shared" si="113"/>
        <v>0</v>
      </c>
      <c r="CS830">
        <f t="shared" si="114"/>
        <v>0</v>
      </c>
      <c r="CT830">
        <f t="shared" si="115"/>
        <v>-58.47537572851919</v>
      </c>
      <c r="CU830" s="7">
        <f t="shared" si="116"/>
        <v>-58.47537572851919</v>
      </c>
      <c r="CV830" s="9">
        <f t="shared" si="117"/>
        <v>154.76599999999999</v>
      </c>
      <c r="CW830" t="str">
        <f t="shared" si="118"/>
        <v>CuZr</v>
      </c>
    </row>
    <row r="831" spans="1:101" ht="15.75" thickBot="1" x14ac:dyDescent="0.3">
      <c r="A831" t="s">
        <v>91</v>
      </c>
      <c r="B831" t="s">
        <v>2660</v>
      </c>
      <c r="C831" t="s">
        <v>3144</v>
      </c>
      <c r="E831" t="s">
        <v>3145</v>
      </c>
      <c r="F831" t="s">
        <v>93</v>
      </c>
      <c r="G831" t="s">
        <v>2661</v>
      </c>
      <c r="H831">
        <v>344.05959999999999</v>
      </c>
      <c r="I831">
        <v>1086</v>
      </c>
      <c r="J831">
        <v>0</v>
      </c>
      <c r="K831" t="s">
        <v>95</v>
      </c>
      <c r="L831">
        <v>-19.83839811</v>
      </c>
      <c r="M831">
        <f t="shared" si="110"/>
        <v>-57.659772056934322</v>
      </c>
      <c r="N831" t="s">
        <v>95</v>
      </c>
      <c r="O831" t="s">
        <v>2323</v>
      </c>
      <c r="P831" t="s">
        <v>93</v>
      </c>
      <c r="Q831">
        <v>0</v>
      </c>
      <c r="R831" t="s">
        <v>95</v>
      </c>
      <c r="S831">
        <v>-20.70922088</v>
      </c>
      <c r="T831">
        <f t="shared" si="111"/>
        <v>-60.190795083177456</v>
      </c>
      <c r="U831" t="s">
        <v>95</v>
      </c>
      <c r="V831">
        <v>113163</v>
      </c>
      <c r="W831" t="s">
        <v>2659</v>
      </c>
      <c r="X831">
        <v>298</v>
      </c>
      <c r="Y831" t="s">
        <v>700</v>
      </c>
      <c r="Z831">
        <v>-19.7</v>
      </c>
      <c r="AA831" t="s">
        <v>95</v>
      </c>
      <c r="AB831">
        <f t="shared" si="112"/>
        <v>-57.257521661944615</v>
      </c>
      <c r="AC831" t="s">
        <v>93</v>
      </c>
      <c r="AD831">
        <v>3.6</v>
      </c>
      <c r="AE831" t="s">
        <v>95</v>
      </c>
      <c r="AF831" t="s">
        <v>93</v>
      </c>
      <c r="AW831">
        <v>0.75</v>
      </c>
      <c r="BH831">
        <v>0.25</v>
      </c>
      <c r="CR831">
        <f t="shared" si="113"/>
        <v>-57.659772056934322</v>
      </c>
      <c r="CS831">
        <f t="shared" si="114"/>
        <v>-60.190795083177456</v>
      </c>
      <c r="CT831">
        <f t="shared" si="115"/>
        <v>-57.257521661944615</v>
      </c>
      <c r="CU831" s="7">
        <f t="shared" si="116"/>
        <v>-58.369362934018795</v>
      </c>
      <c r="CV831" s="9">
        <f t="shared" si="117"/>
        <v>344.05959999999999</v>
      </c>
      <c r="CW831" t="str">
        <f t="shared" si="118"/>
        <v>Co3Er</v>
      </c>
    </row>
    <row r="832" spans="1:101" ht="15.75" thickBot="1" x14ac:dyDescent="0.3">
      <c r="A832" t="s">
        <v>91</v>
      </c>
      <c r="B832" t="s">
        <v>93</v>
      </c>
      <c r="C832" t="s">
        <v>3144</v>
      </c>
      <c r="E832" t="s">
        <v>3145</v>
      </c>
      <c r="F832" t="s">
        <v>93</v>
      </c>
      <c r="G832" t="s">
        <v>2856</v>
      </c>
      <c r="H832">
        <v>384.17700000000002</v>
      </c>
      <c r="I832">
        <v>1170</v>
      </c>
      <c r="M832">
        <f t="shared" si="110"/>
        <v>0</v>
      </c>
      <c r="O832" t="s">
        <v>93</v>
      </c>
      <c r="P832" t="s">
        <v>121</v>
      </c>
      <c r="T832">
        <f t="shared" si="111"/>
        <v>0</v>
      </c>
      <c r="V832" t="s">
        <v>93</v>
      </c>
      <c r="W832" t="s">
        <v>102</v>
      </c>
      <c r="X832">
        <v>298</v>
      </c>
      <c r="Y832" t="s">
        <v>103</v>
      </c>
      <c r="Z832">
        <v>-22.4</v>
      </c>
      <c r="AA832" t="s">
        <v>95</v>
      </c>
      <c r="AB832">
        <f t="shared" si="112"/>
        <v>-58.306457700487009</v>
      </c>
      <c r="AC832" t="s">
        <v>93</v>
      </c>
      <c r="AD832">
        <v>2.7</v>
      </c>
      <c r="AE832" t="s">
        <v>95</v>
      </c>
      <c r="AF832" t="s">
        <v>93</v>
      </c>
      <c r="AH832" t="s">
        <v>93</v>
      </c>
      <c r="AI832" t="s">
        <v>93</v>
      </c>
      <c r="AJ832" t="s">
        <v>93</v>
      </c>
      <c r="AK832" t="s">
        <v>93</v>
      </c>
      <c r="AX832">
        <v>0.25</v>
      </c>
      <c r="BF832">
        <v>0.5</v>
      </c>
      <c r="BZ832">
        <v>0.25</v>
      </c>
      <c r="CR832">
        <f t="shared" si="113"/>
        <v>0</v>
      </c>
      <c r="CS832">
        <f t="shared" si="114"/>
        <v>0</v>
      </c>
      <c r="CT832">
        <f t="shared" si="115"/>
        <v>-58.306457700487009</v>
      </c>
      <c r="CU832" s="7">
        <f t="shared" si="116"/>
        <v>-58.306457700487009</v>
      </c>
      <c r="CV832" s="9">
        <f t="shared" si="117"/>
        <v>384.17700000000002</v>
      </c>
      <c r="CW832" t="str">
        <f t="shared" si="118"/>
        <v>CuInRh2</v>
      </c>
    </row>
    <row r="833" spans="1:101" ht="15.75" thickBot="1" x14ac:dyDescent="0.3">
      <c r="A833" t="s">
        <v>91</v>
      </c>
      <c r="B833" t="s">
        <v>2956</v>
      </c>
      <c r="C833" t="s">
        <v>3144</v>
      </c>
      <c r="E833" t="s">
        <v>3145</v>
      </c>
      <c r="F833" t="s">
        <v>93</v>
      </c>
      <c r="G833" t="s">
        <v>2957</v>
      </c>
      <c r="H833">
        <v>1326.1385</v>
      </c>
      <c r="I833">
        <v>1236</v>
      </c>
      <c r="M833">
        <f t="shared" si="110"/>
        <v>0</v>
      </c>
      <c r="O833" t="s">
        <v>93</v>
      </c>
      <c r="P833" t="s">
        <v>93</v>
      </c>
      <c r="T833">
        <f t="shared" si="111"/>
        <v>0</v>
      </c>
      <c r="V833" t="s">
        <v>93</v>
      </c>
      <c r="W833" t="s">
        <v>339</v>
      </c>
      <c r="X833">
        <v>298</v>
      </c>
      <c r="Y833" t="s">
        <v>1403</v>
      </c>
      <c r="Z833">
        <v>-77.2</v>
      </c>
      <c r="AA833" t="s">
        <v>95</v>
      </c>
      <c r="AB833">
        <f t="shared" si="112"/>
        <v>-58.214130726164726</v>
      </c>
      <c r="AC833" t="s">
        <v>93</v>
      </c>
      <c r="AD833">
        <v>3.2</v>
      </c>
      <c r="AE833" t="s">
        <v>95</v>
      </c>
      <c r="AF833" t="s">
        <v>93</v>
      </c>
      <c r="AH833" t="s">
        <v>93</v>
      </c>
      <c r="AI833" t="s">
        <v>93</v>
      </c>
      <c r="AJ833" t="s">
        <v>93</v>
      </c>
      <c r="AK833" t="s">
        <v>93</v>
      </c>
      <c r="AN833">
        <v>0.625</v>
      </c>
      <c r="CO833">
        <v>0.375</v>
      </c>
      <c r="CR833">
        <f t="shared" si="113"/>
        <v>0</v>
      </c>
      <c r="CS833">
        <f t="shared" si="114"/>
        <v>0</v>
      </c>
      <c r="CT833">
        <f t="shared" si="115"/>
        <v>-58.214130726164726</v>
      </c>
      <c r="CU833" s="7">
        <f t="shared" si="116"/>
        <v>-58.214130726164726</v>
      </c>
      <c r="CV833" s="9">
        <f t="shared" si="117"/>
        <v>1326.1385</v>
      </c>
      <c r="CW833" t="str">
        <f t="shared" si="118"/>
        <v>Pr5Pb3</v>
      </c>
    </row>
    <row r="834" spans="1:101" ht="15.75" thickBot="1" x14ac:dyDescent="0.3">
      <c r="A834" t="s">
        <v>91</v>
      </c>
      <c r="B834" t="s">
        <v>2168</v>
      </c>
      <c r="C834" t="s">
        <v>3144</v>
      </c>
      <c r="E834" t="s">
        <v>3145</v>
      </c>
      <c r="F834" t="s">
        <v>93</v>
      </c>
      <c r="G834" t="s">
        <v>2169</v>
      </c>
      <c r="H834">
        <v>1230.905</v>
      </c>
      <c r="I834">
        <v>862</v>
      </c>
      <c r="M834">
        <f t="shared" ref="M834:M897" si="119">(1000/H834)*L834</f>
        <v>0</v>
      </c>
      <c r="O834" t="s">
        <v>93</v>
      </c>
      <c r="P834" t="s">
        <v>93</v>
      </c>
      <c r="Q834">
        <v>0</v>
      </c>
      <c r="R834" t="s">
        <v>95</v>
      </c>
      <c r="S834">
        <v>-67.923275349999997</v>
      </c>
      <c r="T834">
        <f t="shared" ref="T834:T897" si="120">(1000/H834)*S834</f>
        <v>-55.181574004492632</v>
      </c>
      <c r="U834" t="s">
        <v>95</v>
      </c>
      <c r="V834">
        <v>30711</v>
      </c>
      <c r="W834" t="s">
        <v>339</v>
      </c>
      <c r="X834">
        <v>298</v>
      </c>
      <c r="Y834" t="s">
        <v>1403</v>
      </c>
      <c r="Z834">
        <v>-75.099999999999994</v>
      </c>
      <c r="AA834" t="s">
        <v>95</v>
      </c>
      <c r="AB834">
        <f t="shared" ref="AB834:AB897" si="121">(1000/H834)*Z834</f>
        <v>-61.012019611586595</v>
      </c>
      <c r="AC834" t="s">
        <v>93</v>
      </c>
      <c r="AD834">
        <v>2.7</v>
      </c>
      <c r="AE834" t="s">
        <v>95</v>
      </c>
      <c r="AF834" t="s">
        <v>93</v>
      </c>
      <c r="AH834" t="s">
        <v>93</v>
      </c>
      <c r="AI834" t="s">
        <v>93</v>
      </c>
      <c r="BL834">
        <v>0.625</v>
      </c>
      <c r="CF834">
        <v>0.375</v>
      </c>
      <c r="CR834">
        <f t="shared" ref="CR834:CR897" si="122">VALUE(M834)</f>
        <v>0</v>
      </c>
      <c r="CS834">
        <f t="shared" ref="CS834:CS897" si="123">VALUE(T834)</f>
        <v>-55.181574004492632</v>
      </c>
      <c r="CT834">
        <f t="shared" ref="CT834:CT897" si="124">VALUE(AB834)</f>
        <v>-61.012019611586595</v>
      </c>
      <c r="CU834" s="7">
        <f t="shared" ref="CU834:CU897" si="125">SUM(CR834:CT834)/(COUNTIF(CR834:CT834,"&lt;&gt;0")-COUNTBLANK(CR834:CT834)-(COUNTA(CR834:CT834)-COUNT(CR834:CT834)))</f>
        <v>-58.096796808039613</v>
      </c>
      <c r="CV834" s="9">
        <f t="shared" si="117"/>
        <v>1230.905</v>
      </c>
      <c r="CW834" t="str">
        <f t="shared" si="118"/>
        <v>Lu5Sn3</v>
      </c>
    </row>
    <row r="835" spans="1:101" ht="15.75" thickBot="1" x14ac:dyDescent="0.3">
      <c r="A835" t="s">
        <v>91</v>
      </c>
      <c r="B835" t="s">
        <v>2139</v>
      </c>
      <c r="C835" t="s">
        <v>3144</v>
      </c>
      <c r="E835" t="s">
        <v>3145</v>
      </c>
      <c r="F835" t="s">
        <v>93</v>
      </c>
      <c r="G835" t="s">
        <v>2140</v>
      </c>
      <c r="H835">
        <v>429.6</v>
      </c>
      <c r="I835">
        <v>851</v>
      </c>
      <c r="J835">
        <v>0</v>
      </c>
      <c r="K835" t="s">
        <v>95</v>
      </c>
      <c r="L835">
        <v>-27.524127750000002</v>
      </c>
      <c r="M835">
        <f t="shared" si="119"/>
        <v>-64.06919867318436</v>
      </c>
      <c r="N835" t="s">
        <v>95</v>
      </c>
      <c r="O835" t="s">
        <v>2141</v>
      </c>
      <c r="P835" t="s">
        <v>121</v>
      </c>
      <c r="Q835">
        <v>0</v>
      </c>
      <c r="R835" t="s">
        <v>95</v>
      </c>
      <c r="S835">
        <v>-33.922784299999996</v>
      </c>
      <c r="T835">
        <f t="shared" si="120"/>
        <v>-78.963650605214141</v>
      </c>
      <c r="U835" t="s">
        <v>95</v>
      </c>
      <c r="V835">
        <v>19398</v>
      </c>
      <c r="W835" t="s">
        <v>1370</v>
      </c>
      <c r="X835">
        <v>298</v>
      </c>
      <c r="Y835" t="s">
        <v>185</v>
      </c>
      <c r="Z835">
        <v>-12.9</v>
      </c>
      <c r="AA835" t="s">
        <v>95</v>
      </c>
      <c r="AB835">
        <f t="shared" si="121"/>
        <v>-30.027932960893857</v>
      </c>
      <c r="AC835" t="s">
        <v>93</v>
      </c>
      <c r="AD835">
        <v>1.6</v>
      </c>
      <c r="AE835" t="s">
        <v>95</v>
      </c>
      <c r="AF835" t="s">
        <v>93</v>
      </c>
      <c r="BB835">
        <v>0.33</v>
      </c>
      <c r="CF835">
        <v>0.66</v>
      </c>
      <c r="CR835">
        <f t="shared" si="122"/>
        <v>-64.06919867318436</v>
      </c>
      <c r="CS835">
        <f t="shared" si="123"/>
        <v>-78.963650605214141</v>
      </c>
      <c r="CT835">
        <f t="shared" si="124"/>
        <v>-30.027932960893857</v>
      </c>
      <c r="CU835" s="7">
        <f t="shared" si="125"/>
        <v>-57.686927413097443</v>
      </c>
      <c r="CV835" s="9">
        <f t="shared" ref="CV835:CV898" si="126">H835</f>
        <v>429.6</v>
      </c>
      <c r="CW835" t="str">
        <f t="shared" si="118"/>
        <v>Sn2Ir</v>
      </c>
    </row>
    <row r="836" spans="1:101" ht="15.75" thickBot="1" x14ac:dyDescent="0.3">
      <c r="A836" t="s">
        <v>91</v>
      </c>
      <c r="B836" t="s">
        <v>1021</v>
      </c>
      <c r="C836" t="s">
        <v>3144</v>
      </c>
      <c r="E836" t="s">
        <v>3145</v>
      </c>
      <c r="F836" t="s">
        <v>93</v>
      </c>
      <c r="G836" t="s">
        <v>1022</v>
      </c>
      <c r="H836">
        <v>541.23900000000003</v>
      </c>
      <c r="I836">
        <v>409</v>
      </c>
      <c r="J836">
        <v>0</v>
      </c>
      <c r="K836" t="s">
        <v>95</v>
      </c>
      <c r="L836">
        <v>-31.385995879999999</v>
      </c>
      <c r="M836">
        <f t="shared" si="119"/>
        <v>-57.989161682731655</v>
      </c>
      <c r="N836" t="s">
        <v>95</v>
      </c>
      <c r="O836" t="s">
        <v>1023</v>
      </c>
      <c r="P836" t="s">
        <v>93</v>
      </c>
      <c r="Q836">
        <v>0</v>
      </c>
      <c r="R836" t="s">
        <v>95</v>
      </c>
      <c r="S836">
        <v>-31.246826540000001</v>
      </c>
      <c r="T836">
        <f t="shared" si="120"/>
        <v>-57.732030655588375</v>
      </c>
      <c r="U836" t="s">
        <v>95</v>
      </c>
      <c r="V836">
        <v>18098</v>
      </c>
      <c r="W836" t="s">
        <v>194</v>
      </c>
      <c r="X836">
        <v>298</v>
      </c>
      <c r="Y836" t="s">
        <v>103</v>
      </c>
      <c r="Z836">
        <v>-31</v>
      </c>
      <c r="AA836" t="s">
        <v>95</v>
      </c>
      <c r="AB836">
        <f t="shared" si="121"/>
        <v>-57.275990828451015</v>
      </c>
      <c r="AC836" t="s">
        <v>93</v>
      </c>
      <c r="AD836">
        <v>1.2</v>
      </c>
      <c r="AE836" t="s">
        <v>95</v>
      </c>
      <c r="AF836" t="s">
        <v>93</v>
      </c>
      <c r="AV836">
        <v>0.75</v>
      </c>
      <c r="BP836">
        <v>0.25</v>
      </c>
      <c r="CR836">
        <f t="shared" si="122"/>
        <v>-57.989161682731655</v>
      </c>
      <c r="CS836">
        <f t="shared" si="123"/>
        <v>-57.732030655588375</v>
      </c>
      <c r="CT836">
        <f t="shared" si="124"/>
        <v>-57.275990828451015</v>
      </c>
      <c r="CU836" s="7">
        <f t="shared" si="125"/>
        <v>-57.66572772225701</v>
      </c>
      <c r="CV836" s="9">
        <f t="shared" si="126"/>
        <v>541.23900000000003</v>
      </c>
      <c r="CW836" t="str">
        <f t="shared" si="118"/>
        <v>URu3</v>
      </c>
    </row>
    <row r="837" spans="1:101" ht="15.75" thickBot="1" x14ac:dyDescent="0.3">
      <c r="A837" t="s">
        <v>91</v>
      </c>
      <c r="B837" t="s">
        <v>2168</v>
      </c>
      <c r="C837" t="s">
        <v>3144</v>
      </c>
      <c r="E837" t="s">
        <v>3145</v>
      </c>
      <c r="F837" t="s">
        <v>93</v>
      </c>
      <c r="G837" t="s">
        <v>2169</v>
      </c>
      <c r="H837">
        <v>1230.905</v>
      </c>
      <c r="I837">
        <v>863</v>
      </c>
      <c r="M837">
        <f t="shared" si="119"/>
        <v>0</v>
      </c>
      <c r="O837" t="s">
        <v>93</v>
      </c>
      <c r="P837" t="s">
        <v>93</v>
      </c>
      <c r="Q837">
        <v>0</v>
      </c>
      <c r="R837" t="s">
        <v>95</v>
      </c>
      <c r="S837">
        <v>-67.923275349999997</v>
      </c>
      <c r="T837">
        <f t="shared" si="120"/>
        <v>-55.181574004492632</v>
      </c>
      <c r="U837" t="s">
        <v>95</v>
      </c>
      <c r="V837">
        <v>30711</v>
      </c>
      <c r="W837" t="s">
        <v>339</v>
      </c>
      <c r="X837">
        <v>298</v>
      </c>
      <c r="Y837" t="s">
        <v>1403</v>
      </c>
      <c r="Z837">
        <v>-73.599999999999994</v>
      </c>
      <c r="AA837" t="s">
        <v>95</v>
      </c>
      <c r="AB837">
        <f t="shared" si="121"/>
        <v>-59.793404040116819</v>
      </c>
      <c r="AC837" t="s">
        <v>93</v>
      </c>
      <c r="AD837">
        <v>1.4</v>
      </c>
      <c r="AE837" t="s">
        <v>95</v>
      </c>
      <c r="AF837" t="s">
        <v>93</v>
      </c>
      <c r="AH837" t="s">
        <v>93</v>
      </c>
      <c r="AI837" t="s">
        <v>93</v>
      </c>
      <c r="BL837">
        <v>0.625</v>
      </c>
      <c r="CF837">
        <v>0.375</v>
      </c>
      <c r="CR837">
        <f t="shared" si="122"/>
        <v>0</v>
      </c>
      <c r="CS837">
        <f t="shared" si="123"/>
        <v>-55.181574004492632</v>
      </c>
      <c r="CT837">
        <f t="shared" si="124"/>
        <v>-59.793404040116819</v>
      </c>
      <c r="CU837" s="7">
        <f t="shared" si="125"/>
        <v>-57.487489022304729</v>
      </c>
      <c r="CV837" s="9">
        <f t="shared" si="126"/>
        <v>1230.905</v>
      </c>
      <c r="CW837" t="str">
        <f t="shared" si="118"/>
        <v>Lu5Sn3</v>
      </c>
    </row>
    <row r="838" spans="1:101" ht="15.75" thickBot="1" x14ac:dyDescent="0.3">
      <c r="A838" t="s">
        <v>91</v>
      </c>
      <c r="B838" t="s">
        <v>93</v>
      </c>
      <c r="C838" t="s">
        <v>3144</v>
      </c>
      <c r="E838" t="s">
        <v>3145</v>
      </c>
      <c r="F838" t="s">
        <v>93</v>
      </c>
      <c r="G838" t="s">
        <v>631</v>
      </c>
      <c r="H838">
        <v>767.88</v>
      </c>
      <c r="I838">
        <v>255</v>
      </c>
      <c r="M838">
        <f t="shared" si="119"/>
        <v>0</v>
      </c>
      <c r="O838" t="s">
        <v>93</v>
      </c>
      <c r="P838" t="s">
        <v>93</v>
      </c>
      <c r="T838">
        <f t="shared" si="120"/>
        <v>0</v>
      </c>
      <c r="V838" t="s">
        <v>93</v>
      </c>
      <c r="W838" t="s">
        <v>632</v>
      </c>
      <c r="X838">
        <v>298</v>
      </c>
      <c r="Y838" t="s">
        <v>633</v>
      </c>
      <c r="Z838">
        <v>-44.1</v>
      </c>
      <c r="AA838" t="s">
        <v>95</v>
      </c>
      <c r="AB838">
        <f t="shared" si="121"/>
        <v>-57.430848570089076</v>
      </c>
      <c r="AC838" t="s">
        <v>93</v>
      </c>
      <c r="AD838">
        <v>1.5</v>
      </c>
      <c r="AE838" t="s">
        <v>95</v>
      </c>
      <c r="AF838" t="s">
        <v>93</v>
      </c>
      <c r="AH838" t="s">
        <v>93</v>
      </c>
      <c r="AI838" t="s">
        <v>93</v>
      </c>
      <c r="AJ838" t="s">
        <v>93</v>
      </c>
      <c r="AK838" t="s">
        <v>93</v>
      </c>
      <c r="AQ838">
        <v>0.22</v>
      </c>
      <c r="AS838">
        <v>0.78</v>
      </c>
      <c r="CR838">
        <f t="shared" si="122"/>
        <v>0</v>
      </c>
      <c r="CS838">
        <f t="shared" si="123"/>
        <v>0</v>
      </c>
      <c r="CT838">
        <f t="shared" si="124"/>
        <v>-57.430848570089076</v>
      </c>
      <c r="CU838" s="7">
        <f t="shared" si="125"/>
        <v>-57.430848570089076</v>
      </c>
      <c r="CV838" s="9">
        <f t="shared" si="126"/>
        <v>767.88</v>
      </c>
      <c r="CW838" t="str">
        <f t="shared" si="118"/>
        <v>Hf2Ni7</v>
      </c>
    </row>
    <row r="839" spans="1:101" ht="15.75" thickBot="1" x14ac:dyDescent="0.3">
      <c r="A839" t="s">
        <v>91</v>
      </c>
      <c r="B839" t="s">
        <v>464</v>
      </c>
      <c r="C839" t="s">
        <v>3144</v>
      </c>
      <c r="E839" t="s">
        <v>3145</v>
      </c>
      <c r="F839" t="s">
        <v>93</v>
      </c>
      <c r="G839" t="s">
        <v>465</v>
      </c>
      <c r="H839">
        <v>267.21199999999999</v>
      </c>
      <c r="I839">
        <v>190</v>
      </c>
      <c r="J839">
        <v>0</v>
      </c>
      <c r="K839" t="s">
        <v>95</v>
      </c>
      <c r="L839">
        <v>-14.476254190000001</v>
      </c>
      <c r="M839">
        <f t="shared" si="119"/>
        <v>-54.175165000074855</v>
      </c>
      <c r="N839" t="s">
        <v>95</v>
      </c>
      <c r="O839" t="s">
        <v>466</v>
      </c>
      <c r="P839" t="s">
        <v>93</v>
      </c>
      <c r="Q839">
        <v>0</v>
      </c>
      <c r="R839" t="s">
        <v>95</v>
      </c>
      <c r="S839">
        <v>-16.749236459999999</v>
      </c>
      <c r="T839">
        <f t="shared" si="120"/>
        <v>-62.681453153301497</v>
      </c>
      <c r="U839" t="s">
        <v>95</v>
      </c>
      <c r="V839">
        <v>29059</v>
      </c>
      <c r="W839" t="s">
        <v>364</v>
      </c>
      <c r="X839">
        <v>298</v>
      </c>
      <c r="Y839" t="s">
        <v>365</v>
      </c>
      <c r="Z839">
        <v>-14.8</v>
      </c>
      <c r="AA839" t="s">
        <v>95</v>
      </c>
      <c r="AB839">
        <f t="shared" si="121"/>
        <v>-55.386734128706799</v>
      </c>
      <c r="AC839" t="s">
        <v>93</v>
      </c>
      <c r="AD839">
        <v>3.9</v>
      </c>
      <c r="AE839" t="s">
        <v>95</v>
      </c>
      <c r="AF839" t="s">
        <v>93</v>
      </c>
      <c r="AM839">
        <v>0.33</v>
      </c>
      <c r="AX839">
        <v>0.66</v>
      </c>
      <c r="CR839">
        <f t="shared" si="122"/>
        <v>-54.175165000074855</v>
      </c>
      <c r="CS839">
        <f t="shared" si="123"/>
        <v>-62.681453153301497</v>
      </c>
      <c r="CT839">
        <f t="shared" si="124"/>
        <v>-55.386734128706799</v>
      </c>
      <c r="CU839" s="7">
        <f t="shared" si="125"/>
        <v>-57.414450760694386</v>
      </c>
      <c r="CV839" s="9">
        <f t="shared" si="126"/>
        <v>267.21199999999999</v>
      </c>
      <c r="CW839" t="str">
        <f t="shared" si="118"/>
        <v>CeCu2</v>
      </c>
    </row>
    <row r="840" spans="1:101" ht="15.75" thickBot="1" x14ac:dyDescent="0.3">
      <c r="A840" t="s">
        <v>91</v>
      </c>
      <c r="B840" t="s">
        <v>1600</v>
      </c>
      <c r="C840" t="s">
        <v>3144</v>
      </c>
      <c r="E840" t="s">
        <v>3145</v>
      </c>
      <c r="F840" t="s">
        <v>93</v>
      </c>
      <c r="G840" t="s">
        <v>1601</v>
      </c>
      <c r="H840">
        <v>878.883499999999</v>
      </c>
      <c r="I840">
        <v>615</v>
      </c>
      <c r="J840">
        <v>0</v>
      </c>
      <c r="K840" t="s">
        <v>95</v>
      </c>
      <c r="L840">
        <v>-65.122950549999999</v>
      </c>
      <c r="M840">
        <f t="shared" si="119"/>
        <v>-74.097363928211266</v>
      </c>
      <c r="N840" t="s">
        <v>95</v>
      </c>
      <c r="O840" t="s">
        <v>1602</v>
      </c>
      <c r="P840" t="s">
        <v>93</v>
      </c>
      <c r="Q840">
        <v>0</v>
      </c>
      <c r="R840" t="s">
        <v>95</v>
      </c>
      <c r="S840">
        <v>-25.195079700000001</v>
      </c>
      <c r="T840">
        <f t="shared" si="120"/>
        <v>-28.667143825091753</v>
      </c>
      <c r="U840" t="s">
        <v>95</v>
      </c>
      <c r="V840">
        <v>17347</v>
      </c>
      <c r="W840" t="s">
        <v>339</v>
      </c>
      <c r="X840">
        <v>298</v>
      </c>
      <c r="Y840" t="s">
        <v>1403</v>
      </c>
      <c r="Z840">
        <v>-61</v>
      </c>
      <c r="AA840" t="s">
        <v>95</v>
      </c>
      <c r="AB840">
        <f t="shared" si="121"/>
        <v>-69.406240986433431</v>
      </c>
      <c r="AC840" t="s">
        <v>93</v>
      </c>
      <c r="AD840">
        <v>2.5</v>
      </c>
      <c r="AE840" t="s">
        <v>95</v>
      </c>
      <c r="AF840" t="s">
        <v>93</v>
      </c>
      <c r="BK840">
        <v>0.625</v>
      </c>
      <c r="BX840">
        <v>0.375</v>
      </c>
      <c r="CR840">
        <f t="shared" si="122"/>
        <v>-74.097363928211266</v>
      </c>
      <c r="CS840">
        <f t="shared" si="123"/>
        <v>-28.667143825091753</v>
      </c>
      <c r="CT840">
        <f t="shared" si="124"/>
        <v>-69.406240986433431</v>
      </c>
      <c r="CU840" s="7">
        <f t="shared" si="125"/>
        <v>-57.390249579912144</v>
      </c>
      <c r="CV840" s="9">
        <f t="shared" si="126"/>
        <v>878.883499999999</v>
      </c>
      <c r="CW840" t="str">
        <f t="shared" si="118"/>
        <v>Tb5Si3</v>
      </c>
    </row>
    <row r="841" spans="1:101" ht="15.75" thickBot="1" x14ac:dyDescent="0.3">
      <c r="A841" t="s">
        <v>91</v>
      </c>
      <c r="B841" t="s">
        <v>3008</v>
      </c>
      <c r="C841" t="s">
        <v>3144</v>
      </c>
      <c r="E841" t="s">
        <v>3145</v>
      </c>
      <c r="F841" t="s">
        <v>93</v>
      </c>
      <c r="G841" t="s">
        <v>3009</v>
      </c>
      <c r="H841">
        <v>199.01</v>
      </c>
      <c r="I841">
        <v>1266</v>
      </c>
      <c r="J841">
        <v>1.4276703100000001</v>
      </c>
      <c r="K841" t="s">
        <v>95</v>
      </c>
      <c r="L841">
        <v>-9.1315014600000008</v>
      </c>
      <c r="M841">
        <f t="shared" si="119"/>
        <v>-45.884636249434706</v>
      </c>
      <c r="N841" t="s">
        <v>95</v>
      </c>
      <c r="O841" t="s">
        <v>3010</v>
      </c>
      <c r="P841" t="s">
        <v>93</v>
      </c>
      <c r="Q841">
        <v>1.31001604</v>
      </c>
      <c r="R841" t="s">
        <v>95</v>
      </c>
      <c r="S841">
        <v>-9.0917108300000002</v>
      </c>
      <c r="T841">
        <f t="shared" si="120"/>
        <v>-45.684693382242102</v>
      </c>
      <c r="U841" t="s">
        <v>95</v>
      </c>
      <c r="V841">
        <v>17651</v>
      </c>
      <c r="W841" t="s">
        <v>159</v>
      </c>
      <c r="X841">
        <v>300</v>
      </c>
      <c r="Y841" t="s">
        <v>160</v>
      </c>
      <c r="Z841">
        <v>-16</v>
      </c>
      <c r="AA841" t="s">
        <v>95</v>
      </c>
      <c r="AB841">
        <f t="shared" si="121"/>
        <v>-80.39796995125873</v>
      </c>
      <c r="AF841" t="s">
        <v>93</v>
      </c>
      <c r="BN841">
        <v>0.33329999999999999</v>
      </c>
      <c r="CC841">
        <v>2</v>
      </c>
      <c r="CD841" t="s">
        <v>95</v>
      </c>
      <c r="CE841" t="s">
        <v>93</v>
      </c>
      <c r="CJ841">
        <v>0.66669999999999996</v>
      </c>
      <c r="CR841">
        <f t="shared" si="122"/>
        <v>-45.884636249434706</v>
      </c>
      <c r="CS841">
        <f t="shared" si="123"/>
        <v>-45.684693382242102</v>
      </c>
      <c r="CT841">
        <f t="shared" si="124"/>
        <v>-80.39796995125873</v>
      </c>
      <c r="CU841" s="7">
        <f t="shared" si="125"/>
        <v>-57.322433194311849</v>
      </c>
      <c r="CV841" s="9">
        <f t="shared" si="126"/>
        <v>199.01</v>
      </c>
      <c r="CW841" t="str">
        <f t="shared" si="118"/>
        <v>SmMg2</v>
      </c>
    </row>
    <row r="842" spans="1:101" ht="15.75" thickBot="1" x14ac:dyDescent="0.3">
      <c r="A842" t="s">
        <v>91</v>
      </c>
      <c r="B842" t="s">
        <v>2765</v>
      </c>
      <c r="C842" t="s">
        <v>3144</v>
      </c>
      <c r="E842" t="s">
        <v>3145</v>
      </c>
      <c r="F842" t="s">
        <v>93</v>
      </c>
      <c r="G842" t="s">
        <v>2766</v>
      </c>
      <c r="H842">
        <v>1066.1295</v>
      </c>
      <c r="I842">
        <v>1131</v>
      </c>
      <c r="M842">
        <f t="shared" si="119"/>
        <v>0</v>
      </c>
      <c r="O842" t="s">
        <v>93</v>
      </c>
      <c r="P842" t="s">
        <v>93</v>
      </c>
      <c r="Q842">
        <v>0</v>
      </c>
      <c r="R842" t="s">
        <v>95</v>
      </c>
      <c r="S842">
        <v>-57.08420821</v>
      </c>
      <c r="T842">
        <f t="shared" si="120"/>
        <v>-53.543409323163836</v>
      </c>
      <c r="U842" t="s">
        <v>95</v>
      </c>
      <c r="V842">
        <v>30931</v>
      </c>
      <c r="W842" t="s">
        <v>339</v>
      </c>
      <c r="X842">
        <v>298</v>
      </c>
      <c r="Y842" t="s">
        <v>1403</v>
      </c>
      <c r="Z842">
        <v>-64.8</v>
      </c>
      <c r="AA842" t="s">
        <v>95</v>
      </c>
      <c r="AB842">
        <f t="shared" si="121"/>
        <v>-60.78060873467998</v>
      </c>
      <c r="AC842" t="s">
        <v>93</v>
      </c>
      <c r="AD842">
        <v>3.6</v>
      </c>
      <c r="AE842" t="s">
        <v>95</v>
      </c>
      <c r="AF842" t="s">
        <v>93</v>
      </c>
      <c r="AG842">
        <v>0.625</v>
      </c>
      <c r="AH842" t="s">
        <v>93</v>
      </c>
      <c r="AI842" t="s">
        <v>93</v>
      </c>
      <c r="CO842">
        <v>0.375</v>
      </c>
      <c r="CR842">
        <f t="shared" si="122"/>
        <v>0</v>
      </c>
      <c r="CS842">
        <f t="shared" si="123"/>
        <v>-53.543409323163836</v>
      </c>
      <c r="CT842">
        <f t="shared" si="124"/>
        <v>-60.78060873467998</v>
      </c>
      <c r="CU842" s="7">
        <f t="shared" si="125"/>
        <v>-57.162009028921908</v>
      </c>
      <c r="CV842" s="9">
        <f t="shared" si="126"/>
        <v>1066.1295</v>
      </c>
      <c r="CW842" t="str">
        <f t="shared" si="118"/>
        <v>Y5Pb3</v>
      </c>
    </row>
    <row r="843" spans="1:101" ht="15.75" thickBot="1" x14ac:dyDescent="0.3">
      <c r="A843" t="s">
        <v>91</v>
      </c>
      <c r="B843" t="s">
        <v>434</v>
      </c>
      <c r="C843" t="s">
        <v>3144</v>
      </c>
      <c r="E843" t="s">
        <v>3145</v>
      </c>
      <c r="F843" t="s">
        <v>93</v>
      </c>
      <c r="G843" t="s">
        <v>435</v>
      </c>
      <c r="H843">
        <v>342.26</v>
      </c>
      <c r="I843">
        <v>178</v>
      </c>
      <c r="J843">
        <v>0</v>
      </c>
      <c r="K843" t="s">
        <v>95</v>
      </c>
      <c r="L843">
        <v>-27.552520770000001</v>
      </c>
      <c r="M843">
        <f t="shared" si="119"/>
        <v>-80.501726085432125</v>
      </c>
      <c r="N843" t="s">
        <v>95</v>
      </c>
      <c r="O843" t="s">
        <v>436</v>
      </c>
      <c r="P843" t="s">
        <v>93</v>
      </c>
      <c r="Q843">
        <v>2.85505319</v>
      </c>
      <c r="R843" t="s">
        <v>95</v>
      </c>
      <c r="S843">
        <v>-3.0805215800000001</v>
      </c>
      <c r="T843">
        <f t="shared" si="120"/>
        <v>-9.0005305323438325</v>
      </c>
      <c r="U843" t="s">
        <v>95</v>
      </c>
      <c r="V843">
        <v>31172</v>
      </c>
      <c r="W843" t="s">
        <v>159</v>
      </c>
      <c r="X843">
        <v>298</v>
      </c>
      <c r="Y843" t="s">
        <v>160</v>
      </c>
      <c r="Z843">
        <v>-27.9</v>
      </c>
      <c r="AA843" t="s">
        <v>95</v>
      </c>
      <c r="AB843">
        <f t="shared" si="121"/>
        <v>-81.516975398819611</v>
      </c>
      <c r="AC843" t="s">
        <v>93</v>
      </c>
      <c r="AD843">
        <v>1.5</v>
      </c>
      <c r="AE843" t="s">
        <v>95</v>
      </c>
      <c r="AF843" t="s">
        <v>93</v>
      </c>
      <c r="AM843">
        <v>0.33</v>
      </c>
      <c r="AV843">
        <v>0.66</v>
      </c>
      <c r="CR843">
        <f t="shared" si="122"/>
        <v>-80.501726085432125</v>
      </c>
      <c r="CS843">
        <f t="shared" si="123"/>
        <v>-9.0005305323438325</v>
      </c>
      <c r="CT843">
        <f t="shared" si="124"/>
        <v>-81.516975398819611</v>
      </c>
      <c r="CU843" s="7">
        <f t="shared" si="125"/>
        <v>-57.00641067219852</v>
      </c>
      <c r="CV843" s="9">
        <f t="shared" si="126"/>
        <v>342.26</v>
      </c>
      <c r="CW843" t="str">
        <f t="shared" si="118"/>
        <v>CeRu2</v>
      </c>
    </row>
    <row r="844" spans="1:101" ht="15.75" thickBot="1" x14ac:dyDescent="0.3">
      <c r="A844" t="s">
        <v>91</v>
      </c>
      <c r="B844" t="s">
        <v>2852</v>
      </c>
      <c r="C844" t="s">
        <v>3144</v>
      </c>
      <c r="E844" t="s">
        <v>3145</v>
      </c>
      <c r="F844" t="s">
        <v>93</v>
      </c>
      <c r="G844" t="s">
        <v>2853</v>
      </c>
      <c r="H844">
        <v>509.09800000000001</v>
      </c>
      <c r="I844">
        <v>1168</v>
      </c>
      <c r="J844">
        <v>0</v>
      </c>
      <c r="K844" t="s">
        <v>95</v>
      </c>
      <c r="L844">
        <v>-31.963028720000001</v>
      </c>
      <c r="M844">
        <f t="shared" si="119"/>
        <v>-62.783646213499168</v>
      </c>
      <c r="N844" t="s">
        <v>95</v>
      </c>
      <c r="O844" t="s">
        <v>2854</v>
      </c>
      <c r="P844" t="s">
        <v>93</v>
      </c>
      <c r="Q844">
        <v>1.2994159999999999E-2</v>
      </c>
      <c r="R844" t="s">
        <v>95</v>
      </c>
      <c r="S844">
        <v>-33.373544240000001</v>
      </c>
      <c r="T844">
        <f t="shared" si="120"/>
        <v>-65.554263108478139</v>
      </c>
      <c r="U844" t="s">
        <v>95</v>
      </c>
      <c r="V844">
        <v>457980</v>
      </c>
      <c r="W844" t="s">
        <v>184</v>
      </c>
      <c r="X844">
        <v>298</v>
      </c>
      <c r="Y844" t="s">
        <v>185</v>
      </c>
      <c r="Z844">
        <v>-21.4</v>
      </c>
      <c r="AA844" t="s">
        <v>95</v>
      </c>
      <c r="AB844">
        <f t="shared" si="121"/>
        <v>-42.035128796420331</v>
      </c>
      <c r="AC844" t="s">
        <v>93</v>
      </c>
      <c r="AD844">
        <v>1.4</v>
      </c>
      <c r="AE844" t="s">
        <v>95</v>
      </c>
      <c r="AF844" t="s">
        <v>93</v>
      </c>
      <c r="BB844">
        <v>0.5</v>
      </c>
      <c r="BR844">
        <v>0.25</v>
      </c>
      <c r="BY844">
        <v>0.25</v>
      </c>
      <c r="CR844">
        <f t="shared" si="122"/>
        <v>-62.783646213499168</v>
      </c>
      <c r="CS844">
        <f t="shared" si="123"/>
        <v>-65.554263108478139</v>
      </c>
      <c r="CT844">
        <f t="shared" si="124"/>
        <v>-42.035128796420331</v>
      </c>
      <c r="CU844" s="7">
        <f t="shared" si="125"/>
        <v>-56.791012706132541</v>
      </c>
      <c r="CV844" s="9">
        <f t="shared" si="126"/>
        <v>509.09800000000001</v>
      </c>
      <c r="CW844" t="str">
        <f t="shared" si="118"/>
        <v>MnGaIr2</v>
      </c>
    </row>
    <row r="845" spans="1:101" ht="15.75" thickBot="1" x14ac:dyDescent="0.3">
      <c r="A845" t="s">
        <v>91</v>
      </c>
      <c r="B845" t="s">
        <v>2816</v>
      </c>
      <c r="C845" t="s">
        <v>3144</v>
      </c>
      <c r="E845" t="s">
        <v>3145</v>
      </c>
      <c r="F845" t="s">
        <v>93</v>
      </c>
      <c r="G845" t="s">
        <v>2817</v>
      </c>
      <c r="H845">
        <v>287.03149999999999</v>
      </c>
      <c r="I845">
        <v>1151</v>
      </c>
      <c r="J845">
        <v>10.688429940000001</v>
      </c>
      <c r="K845" t="s">
        <v>95</v>
      </c>
      <c r="L845">
        <v>-11.000723430000001</v>
      </c>
      <c r="M845">
        <f t="shared" si="119"/>
        <v>-38.325840299758042</v>
      </c>
      <c r="N845" t="s">
        <v>95</v>
      </c>
      <c r="O845" t="s">
        <v>2818</v>
      </c>
      <c r="P845" t="s">
        <v>121</v>
      </c>
      <c r="Q845">
        <v>11.602889729999999</v>
      </c>
      <c r="R845" t="s">
        <v>95</v>
      </c>
      <c r="S845">
        <v>-13.674611090000001</v>
      </c>
      <c r="T845">
        <f t="shared" si="120"/>
        <v>-47.64149959150825</v>
      </c>
      <c r="U845" t="s">
        <v>95</v>
      </c>
      <c r="V845">
        <v>17820</v>
      </c>
      <c r="W845" t="s">
        <v>184</v>
      </c>
      <c r="X845">
        <v>298</v>
      </c>
      <c r="Y845" t="s">
        <v>185</v>
      </c>
      <c r="Z845">
        <v>-24.2</v>
      </c>
      <c r="AA845" t="s">
        <v>95</v>
      </c>
      <c r="AB845">
        <f t="shared" si="121"/>
        <v>-84.311303811602556</v>
      </c>
      <c r="AC845" t="s">
        <v>93</v>
      </c>
      <c r="AD845">
        <v>1</v>
      </c>
      <c r="AE845" t="s">
        <v>95</v>
      </c>
      <c r="AF845" t="s">
        <v>93</v>
      </c>
      <c r="AS845">
        <v>0.5</v>
      </c>
      <c r="BD845">
        <v>0.25</v>
      </c>
      <c r="CF845">
        <v>0.25</v>
      </c>
      <c r="CR845">
        <f t="shared" si="122"/>
        <v>-38.325840299758042</v>
      </c>
      <c r="CS845">
        <f t="shared" si="123"/>
        <v>-47.64149959150825</v>
      </c>
      <c r="CT845">
        <f t="shared" si="124"/>
        <v>-84.311303811602556</v>
      </c>
      <c r="CU845" s="7">
        <f t="shared" si="125"/>
        <v>-56.759547900956285</v>
      </c>
      <c r="CV845" s="9">
        <f t="shared" si="126"/>
        <v>287.03149999999999</v>
      </c>
      <c r="CW845" t="str">
        <f t="shared" si="118"/>
        <v>VNi2Sn</v>
      </c>
    </row>
    <row r="846" spans="1:101" ht="15.75" thickBot="1" x14ac:dyDescent="0.3">
      <c r="A846" t="s">
        <v>91</v>
      </c>
      <c r="B846" t="s">
        <v>824</v>
      </c>
      <c r="C846" t="s">
        <v>3144</v>
      </c>
      <c r="E846" t="s">
        <v>3145</v>
      </c>
      <c r="F846" t="s">
        <v>93</v>
      </c>
      <c r="G846" t="s">
        <v>825</v>
      </c>
      <c r="H846">
        <v>1119.69</v>
      </c>
      <c r="I846">
        <v>329</v>
      </c>
      <c r="J846">
        <v>0</v>
      </c>
      <c r="K846" t="s">
        <v>95</v>
      </c>
      <c r="L846">
        <v>-67.651100540000002</v>
      </c>
      <c r="M846">
        <f t="shared" si="119"/>
        <v>-60.419491591422627</v>
      </c>
      <c r="N846" t="s">
        <v>95</v>
      </c>
      <c r="O846" t="s">
        <v>826</v>
      </c>
      <c r="P846" t="s">
        <v>93</v>
      </c>
      <c r="Q846">
        <v>0</v>
      </c>
      <c r="R846" t="s">
        <v>95</v>
      </c>
      <c r="S846">
        <v>-67.878322359999999</v>
      </c>
      <c r="T846">
        <f t="shared" si="120"/>
        <v>-60.622424385320933</v>
      </c>
      <c r="U846" t="s">
        <v>95</v>
      </c>
      <c r="V846">
        <v>17770</v>
      </c>
      <c r="W846" t="s">
        <v>172</v>
      </c>
      <c r="X846">
        <v>298</v>
      </c>
      <c r="Y846" t="s">
        <v>170</v>
      </c>
      <c r="Z846">
        <v>-55</v>
      </c>
      <c r="AA846" t="s">
        <v>95</v>
      </c>
      <c r="AB846">
        <f t="shared" si="121"/>
        <v>-49.120738775911192</v>
      </c>
      <c r="AC846" t="s">
        <v>93</v>
      </c>
      <c r="AD846">
        <v>3.1</v>
      </c>
      <c r="AE846" t="s">
        <v>95</v>
      </c>
      <c r="AF846" t="s">
        <v>93</v>
      </c>
      <c r="AO846">
        <v>0.17</v>
      </c>
      <c r="AY846">
        <v>0.83</v>
      </c>
      <c r="CR846">
        <f t="shared" si="122"/>
        <v>-60.419491591422627</v>
      </c>
      <c r="CS846">
        <f t="shared" si="123"/>
        <v>-60.622424385320933</v>
      </c>
      <c r="CT846">
        <f t="shared" si="124"/>
        <v>-49.120738775911192</v>
      </c>
      <c r="CU846" s="7">
        <f t="shared" si="125"/>
        <v>-56.720884917551587</v>
      </c>
      <c r="CV846" s="9">
        <f t="shared" si="126"/>
        <v>1119.69</v>
      </c>
      <c r="CW846" t="str">
        <f t="shared" si="118"/>
        <v>NdPt5</v>
      </c>
    </row>
    <row r="847" spans="1:101" ht="15.75" thickBot="1" x14ac:dyDescent="0.3">
      <c r="A847" t="s">
        <v>91</v>
      </c>
      <c r="B847" t="s">
        <v>93</v>
      </c>
      <c r="C847" t="s">
        <v>3144</v>
      </c>
      <c r="E847" t="s">
        <v>3145</v>
      </c>
      <c r="F847" t="s">
        <v>93</v>
      </c>
      <c r="G847" t="s">
        <v>2671</v>
      </c>
      <c r="H847">
        <v>285.35399999999998</v>
      </c>
      <c r="I847">
        <v>1091</v>
      </c>
      <c r="M847">
        <f t="shared" si="119"/>
        <v>0</v>
      </c>
      <c r="O847" t="s">
        <v>93</v>
      </c>
      <c r="P847" t="s">
        <v>93</v>
      </c>
      <c r="T847">
        <f t="shared" si="120"/>
        <v>0</v>
      </c>
      <c r="V847" t="s">
        <v>93</v>
      </c>
      <c r="W847" t="s">
        <v>184</v>
      </c>
      <c r="X847">
        <v>298</v>
      </c>
      <c r="Y847" t="s">
        <v>1983</v>
      </c>
      <c r="Z847">
        <v>-16.100000000000001</v>
      </c>
      <c r="AA847" t="s">
        <v>95</v>
      </c>
      <c r="AB847">
        <f t="shared" si="121"/>
        <v>-56.4211470664508</v>
      </c>
      <c r="AC847" t="s">
        <v>93</v>
      </c>
      <c r="AD847">
        <v>2</v>
      </c>
      <c r="AE847" t="s">
        <v>95</v>
      </c>
      <c r="AF847" t="s">
        <v>93</v>
      </c>
      <c r="AH847" t="s">
        <v>93</v>
      </c>
      <c r="AI847" t="s">
        <v>93</v>
      </c>
      <c r="AJ847" t="s">
        <v>93</v>
      </c>
      <c r="AK847" t="s">
        <v>93</v>
      </c>
      <c r="AT847">
        <v>0.5</v>
      </c>
      <c r="AV847">
        <v>0.25</v>
      </c>
      <c r="CA847">
        <v>0.25</v>
      </c>
      <c r="CR847">
        <f t="shared" si="122"/>
        <v>0</v>
      </c>
      <c r="CS847">
        <f t="shared" si="123"/>
        <v>0</v>
      </c>
      <c r="CT847">
        <f t="shared" si="124"/>
        <v>-56.4211470664508</v>
      </c>
      <c r="CU847" s="7">
        <f t="shared" si="125"/>
        <v>-56.4211470664508</v>
      </c>
      <c r="CV847" s="9">
        <f t="shared" si="126"/>
        <v>285.35399999999998</v>
      </c>
      <c r="CW847" t="str">
        <f t="shared" si="118"/>
        <v>Fe2RuGe</v>
      </c>
    </row>
    <row r="848" spans="1:101" ht="15.75" thickBot="1" x14ac:dyDescent="0.3">
      <c r="A848" t="s">
        <v>484</v>
      </c>
      <c r="B848" t="s">
        <v>93</v>
      </c>
      <c r="C848" t="s">
        <v>3138</v>
      </c>
      <c r="D848" t="s">
        <v>3139</v>
      </c>
      <c r="F848" t="s">
        <v>3140</v>
      </c>
      <c r="G848" t="s">
        <v>2309</v>
      </c>
      <c r="H848">
        <v>432.63869999999997</v>
      </c>
      <c r="I848">
        <v>924</v>
      </c>
      <c r="M848">
        <f t="shared" si="119"/>
        <v>0</v>
      </c>
      <c r="O848" t="s">
        <v>93</v>
      </c>
      <c r="P848" t="s">
        <v>93</v>
      </c>
      <c r="T848">
        <f t="shared" si="120"/>
        <v>0</v>
      </c>
      <c r="V848" t="s">
        <v>93</v>
      </c>
      <c r="W848" t="s">
        <v>93</v>
      </c>
      <c r="X848">
        <v>298</v>
      </c>
      <c r="Y848" t="s">
        <v>170</v>
      </c>
      <c r="Z848">
        <v>-24.4</v>
      </c>
      <c r="AA848" t="s">
        <v>95</v>
      </c>
      <c r="AB848">
        <f t="shared" si="121"/>
        <v>-56.39809845952292</v>
      </c>
      <c r="AC848" t="s">
        <v>93</v>
      </c>
      <c r="AD848">
        <v>0.8</v>
      </c>
      <c r="AE848" t="s">
        <v>95</v>
      </c>
      <c r="AF848" t="s">
        <v>93</v>
      </c>
      <c r="AH848" t="s">
        <v>93</v>
      </c>
      <c r="AI848" t="s">
        <v>93</v>
      </c>
      <c r="AJ848" t="s">
        <v>93</v>
      </c>
      <c r="AK848" t="s">
        <v>93</v>
      </c>
      <c r="AL848">
        <v>0.17</v>
      </c>
      <c r="AS848">
        <v>0.66</v>
      </c>
      <c r="AW848">
        <v>0.17</v>
      </c>
      <c r="CR848">
        <f t="shared" si="122"/>
        <v>0</v>
      </c>
      <c r="CS848">
        <f t="shared" si="123"/>
        <v>0</v>
      </c>
      <c r="CT848">
        <f t="shared" si="124"/>
        <v>-56.39809845952292</v>
      </c>
      <c r="CU848" s="7">
        <f t="shared" si="125"/>
        <v>-56.39809845952292</v>
      </c>
      <c r="CV848" s="9">
        <f t="shared" si="126"/>
        <v>432.63869999999997</v>
      </c>
      <c r="CW848" t="str">
        <f t="shared" si="118"/>
        <v>CoLaNi4</v>
      </c>
    </row>
    <row r="849" spans="1:101" ht="15.75" thickBot="1" x14ac:dyDescent="0.3">
      <c r="A849" t="s">
        <v>91</v>
      </c>
      <c r="B849" t="s">
        <v>2776</v>
      </c>
      <c r="C849" t="s">
        <v>3144</v>
      </c>
      <c r="E849" t="s">
        <v>3145</v>
      </c>
      <c r="F849" t="s">
        <v>93</v>
      </c>
      <c r="G849" t="s">
        <v>2777</v>
      </c>
      <c r="H849">
        <v>526.4</v>
      </c>
      <c r="I849">
        <v>1135</v>
      </c>
      <c r="J849">
        <v>0</v>
      </c>
      <c r="K849" t="s">
        <v>95</v>
      </c>
      <c r="L849">
        <v>-29.808846389999999</v>
      </c>
      <c r="M849">
        <f t="shared" si="119"/>
        <v>-56.627747701367781</v>
      </c>
      <c r="N849" t="s">
        <v>95</v>
      </c>
      <c r="O849" t="s">
        <v>2778</v>
      </c>
      <c r="P849" t="s">
        <v>93</v>
      </c>
      <c r="Q849">
        <v>0</v>
      </c>
      <c r="R849" t="s">
        <v>95</v>
      </c>
      <c r="S849">
        <v>-28.911950399999998</v>
      </c>
      <c r="T849">
        <f t="shared" si="120"/>
        <v>-54.923917933130703</v>
      </c>
      <c r="U849" t="s">
        <v>95</v>
      </c>
      <c r="V849">
        <v>7834</v>
      </c>
      <c r="W849" t="s">
        <v>194</v>
      </c>
      <c r="X849">
        <v>298</v>
      </c>
      <c r="Y849" t="s">
        <v>103</v>
      </c>
      <c r="Z849">
        <v>-29.6</v>
      </c>
      <c r="AA849" t="s">
        <v>95</v>
      </c>
      <c r="AB849">
        <f t="shared" si="121"/>
        <v>-56.231003039513688</v>
      </c>
      <c r="AC849" t="s">
        <v>93</v>
      </c>
      <c r="AD849">
        <v>3.3</v>
      </c>
      <c r="AE849" t="s">
        <v>95</v>
      </c>
      <c r="AF849" t="s">
        <v>93</v>
      </c>
      <c r="AZ849">
        <v>0.75</v>
      </c>
      <c r="CO849">
        <v>0.25</v>
      </c>
      <c r="CR849">
        <f t="shared" si="122"/>
        <v>-56.627747701367781</v>
      </c>
      <c r="CS849">
        <f t="shared" si="123"/>
        <v>-54.923917933130703</v>
      </c>
      <c r="CT849">
        <f t="shared" si="124"/>
        <v>-56.231003039513688</v>
      </c>
      <c r="CU849" s="7">
        <f t="shared" si="125"/>
        <v>-55.927556224670724</v>
      </c>
      <c r="CV849" s="9">
        <f t="shared" si="126"/>
        <v>526.4</v>
      </c>
      <c r="CW849" t="str">
        <f t="shared" si="118"/>
        <v>Pd3Pb</v>
      </c>
    </row>
    <row r="850" spans="1:101" ht="15.75" thickBot="1" x14ac:dyDescent="0.3">
      <c r="A850" t="s">
        <v>91</v>
      </c>
      <c r="B850" t="s">
        <v>93</v>
      </c>
      <c r="C850" t="s">
        <v>3144</v>
      </c>
      <c r="E850" t="s">
        <v>3145</v>
      </c>
      <c r="F850" t="s">
        <v>93</v>
      </c>
      <c r="G850" t="s">
        <v>442</v>
      </c>
      <c r="H850">
        <v>1112.222</v>
      </c>
      <c r="I850">
        <v>181</v>
      </c>
      <c r="J850">
        <v>5.0716702900000001</v>
      </c>
      <c r="K850" t="s">
        <v>95</v>
      </c>
      <c r="L850">
        <v>-61.313725669999997</v>
      </c>
      <c r="M850">
        <f t="shared" si="119"/>
        <v>-55.127236891555818</v>
      </c>
      <c r="N850" t="s">
        <v>95</v>
      </c>
      <c r="O850" t="s">
        <v>443</v>
      </c>
      <c r="P850" t="s">
        <v>93</v>
      </c>
      <c r="Q850">
        <v>0.57651452999999997</v>
      </c>
      <c r="R850" t="s">
        <v>95</v>
      </c>
      <c r="S850">
        <v>-54.780987549999999</v>
      </c>
      <c r="T850">
        <f t="shared" si="120"/>
        <v>-49.25364500072827</v>
      </c>
      <c r="U850" t="s">
        <v>95</v>
      </c>
      <c r="V850">
        <v>27547</v>
      </c>
      <c r="W850" t="s">
        <v>444</v>
      </c>
      <c r="X850">
        <v>298</v>
      </c>
      <c r="Y850" t="s">
        <v>359</v>
      </c>
      <c r="Z850">
        <v>-70.5</v>
      </c>
      <c r="AA850" t="s">
        <v>95</v>
      </c>
      <c r="AB850">
        <f t="shared" si="121"/>
        <v>-63.386626051273936</v>
      </c>
      <c r="AC850" t="s">
        <v>93</v>
      </c>
      <c r="AD850">
        <v>1.9</v>
      </c>
      <c r="AE850" t="s">
        <v>95</v>
      </c>
      <c r="AF850" t="s">
        <v>93</v>
      </c>
      <c r="AM850">
        <v>0.56000000000000005</v>
      </c>
      <c r="BF850">
        <v>0.44</v>
      </c>
      <c r="CR850">
        <f t="shared" si="122"/>
        <v>-55.127236891555818</v>
      </c>
      <c r="CS850">
        <f t="shared" si="123"/>
        <v>-49.25364500072827</v>
      </c>
      <c r="CT850">
        <f t="shared" si="124"/>
        <v>-63.386626051273936</v>
      </c>
      <c r="CU850" s="7">
        <f t="shared" si="125"/>
        <v>-55.922502647852674</v>
      </c>
      <c r="CV850" s="9">
        <f t="shared" si="126"/>
        <v>1112.222</v>
      </c>
      <c r="CW850" t="str">
        <f t="shared" si="118"/>
        <v>Ce5Rh4</v>
      </c>
    </row>
    <row r="851" spans="1:101" ht="15.75" thickBot="1" x14ac:dyDescent="0.3">
      <c r="A851" t="s">
        <v>91</v>
      </c>
      <c r="B851" t="s">
        <v>2960</v>
      </c>
      <c r="C851" t="s">
        <v>3144</v>
      </c>
      <c r="E851" t="s">
        <v>3145</v>
      </c>
      <c r="F851" t="s">
        <v>93</v>
      </c>
      <c r="G851" t="s">
        <v>2961</v>
      </c>
      <c r="H851">
        <v>1373.6</v>
      </c>
      <c r="I851">
        <v>1238</v>
      </c>
      <c r="M851">
        <f t="shared" si="119"/>
        <v>0</v>
      </c>
      <c r="O851" t="s">
        <v>93</v>
      </c>
      <c r="P851" t="s">
        <v>93</v>
      </c>
      <c r="T851">
        <f t="shared" si="120"/>
        <v>0</v>
      </c>
      <c r="V851" t="s">
        <v>93</v>
      </c>
      <c r="W851" t="s">
        <v>339</v>
      </c>
      <c r="X851">
        <v>298</v>
      </c>
      <c r="Y851" t="s">
        <v>1403</v>
      </c>
      <c r="Z851">
        <v>-76.5</v>
      </c>
      <c r="AA851" t="s">
        <v>95</v>
      </c>
      <c r="AB851">
        <f t="shared" si="121"/>
        <v>-55.693069306930695</v>
      </c>
      <c r="AC851" t="s">
        <v>93</v>
      </c>
      <c r="AD851">
        <v>2.5</v>
      </c>
      <c r="AE851" t="s">
        <v>95</v>
      </c>
      <c r="AF851" t="s">
        <v>93</v>
      </c>
      <c r="AH851" t="s">
        <v>93</v>
      </c>
      <c r="AI851" t="s">
        <v>93</v>
      </c>
      <c r="AJ851" t="s">
        <v>93</v>
      </c>
      <c r="AK851" t="s">
        <v>93</v>
      </c>
      <c r="BN851">
        <v>0.625</v>
      </c>
      <c r="CO851">
        <v>0.375</v>
      </c>
      <c r="CR851">
        <f t="shared" si="122"/>
        <v>0</v>
      </c>
      <c r="CS851">
        <f t="shared" si="123"/>
        <v>0</v>
      </c>
      <c r="CT851">
        <f t="shared" si="124"/>
        <v>-55.693069306930695</v>
      </c>
      <c r="CU851" s="7">
        <f t="shared" si="125"/>
        <v>-55.693069306930695</v>
      </c>
      <c r="CV851" s="9">
        <f t="shared" si="126"/>
        <v>1373.6</v>
      </c>
      <c r="CW851" t="str">
        <f t="shared" si="118"/>
        <v>Sm5Pb3</v>
      </c>
    </row>
    <row r="852" spans="1:101" ht="15.75" thickBot="1" x14ac:dyDescent="0.3">
      <c r="A852" t="s">
        <v>91</v>
      </c>
      <c r="B852" t="s">
        <v>93</v>
      </c>
      <c r="C852" t="s">
        <v>3144</v>
      </c>
      <c r="E852" t="s">
        <v>3145</v>
      </c>
      <c r="F852" t="s">
        <v>93</v>
      </c>
      <c r="G852" t="s">
        <v>289</v>
      </c>
      <c r="H852">
        <v>516.07461999999998</v>
      </c>
      <c r="I852">
        <v>100</v>
      </c>
      <c r="M852">
        <f t="shared" si="119"/>
        <v>0</v>
      </c>
      <c r="O852" t="s">
        <v>93</v>
      </c>
      <c r="P852" t="s">
        <v>93</v>
      </c>
      <c r="T852">
        <f t="shared" si="120"/>
        <v>0</v>
      </c>
      <c r="V852" t="s">
        <v>93</v>
      </c>
      <c r="W852" t="s">
        <v>102</v>
      </c>
      <c r="X852">
        <v>298</v>
      </c>
      <c r="Y852" t="s">
        <v>103</v>
      </c>
      <c r="Z852">
        <v>-28.49</v>
      </c>
      <c r="AA852" t="s">
        <v>95</v>
      </c>
      <c r="AB852">
        <f t="shared" si="121"/>
        <v>-55.205194938669919</v>
      </c>
      <c r="AC852" t="s">
        <v>93</v>
      </c>
      <c r="AD852">
        <v>2.95</v>
      </c>
      <c r="AE852" t="s">
        <v>95</v>
      </c>
      <c r="AF852" t="s">
        <v>93</v>
      </c>
      <c r="AH852" t="s">
        <v>93</v>
      </c>
      <c r="AI852" t="s">
        <v>93</v>
      </c>
      <c r="AJ852" t="s">
        <v>93</v>
      </c>
      <c r="AK852" t="s">
        <v>93</v>
      </c>
      <c r="AR852">
        <v>0.3</v>
      </c>
      <c r="AS852">
        <v>0.2</v>
      </c>
      <c r="AX852">
        <v>0.5</v>
      </c>
      <c r="CR852">
        <f t="shared" si="122"/>
        <v>0</v>
      </c>
      <c r="CS852">
        <f t="shared" si="123"/>
        <v>0</v>
      </c>
      <c r="CT852">
        <f t="shared" si="124"/>
        <v>-55.205194938669919</v>
      </c>
      <c r="CU852" s="7">
        <f t="shared" si="125"/>
        <v>-55.205194938669919</v>
      </c>
      <c r="CV852" s="9">
        <f t="shared" si="126"/>
        <v>516.07461999999998</v>
      </c>
      <c r="CW852" t="str">
        <f t="shared" si="118"/>
        <v>Al3Cu5Ni2</v>
      </c>
    </row>
    <row r="853" spans="1:101" ht="15.75" thickBot="1" x14ac:dyDescent="0.3">
      <c r="A853" t="s">
        <v>91</v>
      </c>
      <c r="B853" t="s">
        <v>118</v>
      </c>
      <c r="C853" t="s">
        <v>3144</v>
      </c>
      <c r="E853" t="s">
        <v>3145</v>
      </c>
      <c r="F853" t="s">
        <v>93</v>
      </c>
      <c r="G853" t="s">
        <v>119</v>
      </c>
      <c r="H853">
        <v>247.988</v>
      </c>
      <c r="I853">
        <v>8</v>
      </c>
      <c r="J853">
        <v>2.70530984</v>
      </c>
      <c r="K853" t="s">
        <v>95</v>
      </c>
      <c r="L853">
        <v>-3.82702381</v>
      </c>
      <c r="M853">
        <f t="shared" si="119"/>
        <v>-15.432294344887657</v>
      </c>
      <c r="N853" t="s">
        <v>95</v>
      </c>
      <c r="O853" t="s">
        <v>120</v>
      </c>
      <c r="P853" t="s">
        <v>121</v>
      </c>
      <c r="Q853">
        <v>0</v>
      </c>
      <c r="R853" t="s">
        <v>95</v>
      </c>
      <c r="S853">
        <v>-23.561100280000002</v>
      </c>
      <c r="T853">
        <f t="shared" si="120"/>
        <v>-95.009033824217312</v>
      </c>
      <c r="U853" t="s">
        <v>95</v>
      </c>
      <c r="V853">
        <v>10361</v>
      </c>
      <c r="W853" t="s">
        <v>102</v>
      </c>
      <c r="X853">
        <v>298</v>
      </c>
      <c r="Y853" t="s">
        <v>103</v>
      </c>
      <c r="Z853">
        <v>-13.5</v>
      </c>
      <c r="AA853" t="s">
        <v>95</v>
      </c>
      <c r="AB853">
        <f t="shared" si="121"/>
        <v>-54.438117973450332</v>
      </c>
      <c r="AC853" t="s">
        <v>93</v>
      </c>
      <c r="AD853">
        <v>4.3</v>
      </c>
      <c r="AE853" t="s">
        <v>95</v>
      </c>
      <c r="AF853" t="s">
        <v>93</v>
      </c>
      <c r="AM853">
        <v>0.5</v>
      </c>
      <c r="CR853">
        <f t="shared" si="122"/>
        <v>-15.432294344887657</v>
      </c>
      <c r="CS853">
        <f t="shared" si="123"/>
        <v>-95.009033824217312</v>
      </c>
      <c r="CT853">
        <f t="shared" si="124"/>
        <v>-54.438117973450332</v>
      </c>
      <c r="CU853" s="7">
        <f t="shared" si="125"/>
        <v>-54.959815380851772</v>
      </c>
      <c r="CV853" s="9">
        <f t="shared" si="126"/>
        <v>247.988</v>
      </c>
      <c r="CW853" t="str">
        <f t="shared" si="118"/>
        <v>CeAg</v>
      </c>
    </row>
    <row r="854" spans="1:101" ht="15.75" thickBot="1" x14ac:dyDescent="0.3">
      <c r="A854" t="s">
        <v>91</v>
      </c>
      <c r="B854" t="s">
        <v>1779</v>
      </c>
      <c r="C854" t="s">
        <v>3144</v>
      </c>
      <c r="E854" t="s">
        <v>3145</v>
      </c>
      <c r="F854" t="s">
        <v>93</v>
      </c>
      <c r="G854" t="s">
        <v>1780</v>
      </c>
      <c r="H854">
        <v>210.77279999999999</v>
      </c>
      <c r="I854">
        <v>679</v>
      </c>
      <c r="J854">
        <v>1.3433595300000001</v>
      </c>
      <c r="K854" t="s">
        <v>95</v>
      </c>
      <c r="L854">
        <v>-13.137350359999999</v>
      </c>
      <c r="M854">
        <f t="shared" si="119"/>
        <v>-62.329438902932445</v>
      </c>
      <c r="N854" t="s">
        <v>95</v>
      </c>
      <c r="O854" t="s">
        <v>1781</v>
      </c>
      <c r="P854" t="s">
        <v>121</v>
      </c>
      <c r="Q854">
        <v>1.5936432599999999</v>
      </c>
      <c r="R854" t="s">
        <v>95</v>
      </c>
      <c r="S854">
        <v>-15.00178077</v>
      </c>
      <c r="T854">
        <f t="shared" si="120"/>
        <v>-71.175126819020292</v>
      </c>
      <c r="U854" t="s">
        <v>95</v>
      </c>
      <c r="V854">
        <v>29408</v>
      </c>
      <c r="W854" t="s">
        <v>159</v>
      </c>
      <c r="X854">
        <v>298</v>
      </c>
      <c r="Y854" t="s">
        <v>160</v>
      </c>
      <c r="Z854">
        <v>-6.6</v>
      </c>
      <c r="AA854" t="s">
        <v>95</v>
      </c>
      <c r="AB854">
        <f t="shared" si="121"/>
        <v>-31.313338343467468</v>
      </c>
      <c r="AC854" t="s">
        <v>93</v>
      </c>
      <c r="AD854">
        <v>1.7</v>
      </c>
      <c r="AE854" t="s">
        <v>95</v>
      </c>
      <c r="AF854" t="s">
        <v>93</v>
      </c>
      <c r="AU854">
        <v>0.33</v>
      </c>
      <c r="AW854">
        <v>0.66</v>
      </c>
      <c r="CR854">
        <f t="shared" si="122"/>
        <v>-62.329438902932445</v>
      </c>
      <c r="CS854">
        <f t="shared" si="123"/>
        <v>-71.175126819020292</v>
      </c>
      <c r="CT854">
        <f t="shared" si="124"/>
        <v>-31.313338343467468</v>
      </c>
      <c r="CU854" s="7">
        <f t="shared" si="125"/>
        <v>-54.939301355140067</v>
      </c>
      <c r="CV854" s="9">
        <f t="shared" si="126"/>
        <v>210.77279999999999</v>
      </c>
      <c r="CW854" t="str">
        <f t="shared" si="118"/>
        <v>NbCo2</v>
      </c>
    </row>
    <row r="855" spans="1:101" ht="15.75" thickBot="1" x14ac:dyDescent="0.3">
      <c r="A855" t="s">
        <v>91</v>
      </c>
      <c r="B855" t="s">
        <v>1782</v>
      </c>
      <c r="C855" t="s">
        <v>3144</v>
      </c>
      <c r="E855" t="s">
        <v>3145</v>
      </c>
      <c r="F855" t="s">
        <v>93</v>
      </c>
      <c r="G855" t="s">
        <v>1783</v>
      </c>
      <c r="H855">
        <v>298.8143</v>
      </c>
      <c r="I855">
        <v>680</v>
      </c>
      <c r="J855">
        <v>2.0502618699999999</v>
      </c>
      <c r="K855" t="s">
        <v>95</v>
      </c>
      <c r="L855">
        <v>-20.859920689999999</v>
      </c>
      <c r="M855">
        <f t="shared" si="119"/>
        <v>-69.808977314673356</v>
      </c>
      <c r="N855" t="s">
        <v>95</v>
      </c>
      <c r="O855" t="s">
        <v>1784</v>
      </c>
      <c r="P855" t="s">
        <v>121</v>
      </c>
      <c r="Q855">
        <v>2.1008084999999999</v>
      </c>
      <c r="R855" t="s">
        <v>95</v>
      </c>
      <c r="S855">
        <v>-22.011387549999998</v>
      </c>
      <c r="T855">
        <f t="shared" si="120"/>
        <v>-73.662430312070072</v>
      </c>
      <c r="U855" t="s">
        <v>95</v>
      </c>
      <c r="V855">
        <v>29506</v>
      </c>
      <c r="W855" t="s">
        <v>159</v>
      </c>
      <c r="X855">
        <v>298</v>
      </c>
      <c r="Y855" t="s">
        <v>160</v>
      </c>
      <c r="Z855">
        <v>-6.3</v>
      </c>
      <c r="AA855" t="s">
        <v>95</v>
      </c>
      <c r="AB855">
        <f t="shared" si="121"/>
        <v>-21.083328341381254</v>
      </c>
      <c r="AC855" t="s">
        <v>93</v>
      </c>
      <c r="AD855">
        <v>2.1</v>
      </c>
      <c r="AE855" t="s">
        <v>95</v>
      </c>
      <c r="AF855" t="s">
        <v>93</v>
      </c>
      <c r="AW855">
        <v>0.66</v>
      </c>
      <c r="BE855">
        <v>0.33</v>
      </c>
      <c r="CR855">
        <f t="shared" si="122"/>
        <v>-69.808977314673356</v>
      </c>
      <c r="CS855">
        <f t="shared" si="123"/>
        <v>-73.662430312070072</v>
      </c>
      <c r="CT855">
        <f t="shared" si="124"/>
        <v>-21.083328341381254</v>
      </c>
      <c r="CU855" s="7">
        <f t="shared" si="125"/>
        <v>-54.851578656041561</v>
      </c>
      <c r="CV855" s="9">
        <f t="shared" si="126"/>
        <v>298.8143</v>
      </c>
      <c r="CW855" t="str">
        <f t="shared" si="118"/>
        <v>TaCo2</v>
      </c>
    </row>
    <row r="856" spans="1:101" ht="15.75" thickBot="1" x14ac:dyDescent="0.3">
      <c r="A856" t="s">
        <v>91</v>
      </c>
      <c r="B856" t="s">
        <v>2863</v>
      </c>
      <c r="C856" t="s">
        <v>3144</v>
      </c>
      <c r="E856" t="s">
        <v>3145</v>
      </c>
      <c r="F856" t="s">
        <v>93</v>
      </c>
      <c r="G856" t="s">
        <v>2864</v>
      </c>
      <c r="H856">
        <v>316.87799999999999</v>
      </c>
      <c r="I856">
        <v>1173</v>
      </c>
      <c r="M856">
        <f t="shared" si="119"/>
        <v>0</v>
      </c>
      <c r="O856" t="s">
        <v>93</v>
      </c>
      <c r="P856" t="s">
        <v>93</v>
      </c>
      <c r="Q856">
        <v>36.349444200000001</v>
      </c>
      <c r="R856" t="s">
        <v>95</v>
      </c>
      <c r="S856">
        <v>6.4830583199999996</v>
      </c>
      <c r="T856">
        <f t="shared" si="120"/>
        <v>20.459161948762613</v>
      </c>
      <c r="U856" t="s">
        <v>95</v>
      </c>
      <c r="V856">
        <v>684862</v>
      </c>
      <c r="W856" t="s">
        <v>1370</v>
      </c>
      <c r="X856">
        <v>298</v>
      </c>
      <c r="Y856" t="s">
        <v>1983</v>
      </c>
      <c r="Z856">
        <v>-40.9</v>
      </c>
      <c r="AA856" t="s">
        <v>95</v>
      </c>
      <c r="AB856">
        <f t="shared" si="121"/>
        <v>-129.07175632262258</v>
      </c>
      <c r="AC856" t="s">
        <v>93</v>
      </c>
      <c r="AD856">
        <v>1.7</v>
      </c>
      <c r="AE856" t="s">
        <v>95</v>
      </c>
      <c r="AF856" t="s">
        <v>93</v>
      </c>
      <c r="AH856" t="s">
        <v>93</v>
      </c>
      <c r="AI856" t="s">
        <v>93</v>
      </c>
      <c r="BB856">
        <v>0.33300000000000002</v>
      </c>
      <c r="BR856">
        <v>0.33300000000000002</v>
      </c>
      <c r="BY856">
        <v>0.33300000000000002</v>
      </c>
      <c r="CR856">
        <f t="shared" si="122"/>
        <v>0</v>
      </c>
      <c r="CS856">
        <f t="shared" si="123"/>
        <v>20.459161948762613</v>
      </c>
      <c r="CT856">
        <f t="shared" si="124"/>
        <v>-129.07175632262258</v>
      </c>
      <c r="CU856" s="7">
        <f t="shared" si="125"/>
        <v>-54.306297186929982</v>
      </c>
      <c r="CV856" s="9">
        <f t="shared" si="126"/>
        <v>316.87799999999999</v>
      </c>
      <c r="CW856" t="str">
        <f t="shared" si="118"/>
        <v>MnGaIr</v>
      </c>
    </row>
    <row r="857" spans="1:101" ht="15.75" thickBot="1" x14ac:dyDescent="0.3">
      <c r="A857" t="s">
        <v>91</v>
      </c>
      <c r="B857" t="s">
        <v>2857</v>
      </c>
      <c r="C857" t="s">
        <v>3144</v>
      </c>
      <c r="E857" t="s">
        <v>3145</v>
      </c>
      <c r="F857" t="s">
        <v>93</v>
      </c>
      <c r="G857" t="s">
        <v>2858</v>
      </c>
      <c r="H857">
        <v>370.59449999999998</v>
      </c>
      <c r="I857">
        <v>1171</v>
      </c>
      <c r="J857">
        <v>7.4252584099999996</v>
      </c>
      <c r="K857" t="s">
        <v>95</v>
      </c>
      <c r="L857">
        <v>-4.3300091099999998</v>
      </c>
      <c r="M857">
        <f t="shared" si="119"/>
        <v>-11.683954052205308</v>
      </c>
      <c r="N857" t="s">
        <v>95</v>
      </c>
      <c r="O857" t="s">
        <v>2859</v>
      </c>
      <c r="P857" t="s">
        <v>93</v>
      </c>
      <c r="Q857">
        <v>7.18066344</v>
      </c>
      <c r="R857" t="s">
        <v>95</v>
      </c>
      <c r="S857">
        <v>-7.58881681</v>
      </c>
      <c r="T857">
        <f t="shared" si="120"/>
        <v>-20.477413480232439</v>
      </c>
      <c r="U857" t="s">
        <v>95</v>
      </c>
      <c r="V857">
        <v>647441</v>
      </c>
      <c r="W857" t="s">
        <v>1370</v>
      </c>
      <c r="X857">
        <v>298</v>
      </c>
      <c r="Y857" t="s">
        <v>1983</v>
      </c>
      <c r="Z857">
        <v>-48.4</v>
      </c>
      <c r="AA857" t="s">
        <v>95</v>
      </c>
      <c r="AB857">
        <f t="shared" si="121"/>
        <v>-130.60096682492591</v>
      </c>
      <c r="AC857" t="s">
        <v>93</v>
      </c>
      <c r="AD857">
        <v>4</v>
      </c>
      <c r="AE857" t="s">
        <v>95</v>
      </c>
      <c r="AF857" t="s">
        <v>93</v>
      </c>
      <c r="BC857">
        <v>0.33300000000000002</v>
      </c>
      <c r="BR857">
        <v>0.33300000000000002</v>
      </c>
      <c r="CF857">
        <v>0.33300000000000002</v>
      </c>
      <c r="CR857">
        <f t="shared" si="122"/>
        <v>-11.683954052205308</v>
      </c>
      <c r="CS857">
        <f t="shared" si="123"/>
        <v>-20.477413480232439</v>
      </c>
      <c r="CT857">
        <f t="shared" si="124"/>
        <v>-130.60096682492591</v>
      </c>
      <c r="CU857" s="7">
        <f t="shared" si="125"/>
        <v>-54.254111452454559</v>
      </c>
      <c r="CV857" s="9">
        <f t="shared" si="126"/>
        <v>370.59449999999998</v>
      </c>
      <c r="CW857" t="str">
        <f t="shared" si="118"/>
        <v>MnSnAu</v>
      </c>
    </row>
    <row r="858" spans="1:101" ht="15.75" thickBot="1" x14ac:dyDescent="0.3">
      <c r="A858" t="s">
        <v>91</v>
      </c>
      <c r="B858" t="s">
        <v>514</v>
      </c>
      <c r="C858" t="s">
        <v>3144</v>
      </c>
      <c r="E858" t="s">
        <v>3145</v>
      </c>
      <c r="F858" t="s">
        <v>93</v>
      </c>
      <c r="G858" t="s">
        <v>515</v>
      </c>
      <c r="H858">
        <v>267.99970000000002</v>
      </c>
      <c r="I858">
        <v>207</v>
      </c>
      <c r="M858">
        <f t="shared" si="119"/>
        <v>0</v>
      </c>
      <c r="O858" t="s">
        <v>93</v>
      </c>
      <c r="P858" t="s">
        <v>93</v>
      </c>
      <c r="T858">
        <f t="shared" si="120"/>
        <v>0</v>
      </c>
      <c r="V858" t="s">
        <v>93</v>
      </c>
      <c r="W858" t="s">
        <v>364</v>
      </c>
      <c r="X858">
        <v>298</v>
      </c>
      <c r="Y858" t="s">
        <v>365</v>
      </c>
      <c r="Z858">
        <v>-14.5</v>
      </c>
      <c r="AA858" t="s">
        <v>95</v>
      </c>
      <c r="AB858">
        <f t="shared" si="121"/>
        <v>-54.104538176721832</v>
      </c>
      <c r="AC858" t="s">
        <v>93</v>
      </c>
      <c r="AD858">
        <v>2.6</v>
      </c>
      <c r="AE858" t="s">
        <v>95</v>
      </c>
      <c r="AF858" t="s">
        <v>93</v>
      </c>
      <c r="AH858" t="s">
        <v>93</v>
      </c>
      <c r="AI858" t="s">
        <v>93</v>
      </c>
      <c r="AJ858" t="s">
        <v>93</v>
      </c>
      <c r="AK858" t="s">
        <v>93</v>
      </c>
      <c r="AN858">
        <v>0.33</v>
      </c>
      <c r="AX858">
        <v>0.66</v>
      </c>
      <c r="CR858">
        <f t="shared" si="122"/>
        <v>0</v>
      </c>
      <c r="CS858">
        <f t="shared" si="123"/>
        <v>0</v>
      </c>
      <c r="CT858">
        <f t="shared" si="124"/>
        <v>-54.104538176721832</v>
      </c>
      <c r="CU858" s="7">
        <f t="shared" si="125"/>
        <v>-54.104538176721832</v>
      </c>
      <c r="CV858" s="9">
        <f t="shared" si="126"/>
        <v>267.99970000000002</v>
      </c>
      <c r="CW858" t="str">
        <f t="shared" si="118"/>
        <v>Cu2Pr</v>
      </c>
    </row>
    <row r="859" spans="1:101" ht="15.75" thickBot="1" x14ac:dyDescent="0.3">
      <c r="A859" t="s">
        <v>484</v>
      </c>
      <c r="B859" t="s">
        <v>93</v>
      </c>
      <c r="C859" t="s">
        <v>3138</v>
      </c>
      <c r="D859" t="s">
        <v>3139</v>
      </c>
      <c r="F859" t="s">
        <v>3140</v>
      </c>
      <c r="G859" t="s">
        <v>2322</v>
      </c>
      <c r="H859">
        <v>344.05959999999999</v>
      </c>
      <c r="I859">
        <v>933</v>
      </c>
      <c r="J859">
        <v>0</v>
      </c>
      <c r="K859" t="s">
        <v>95</v>
      </c>
      <c r="L859">
        <v>-19.83839811</v>
      </c>
      <c r="M859">
        <f t="shared" si="119"/>
        <v>-57.659772056934322</v>
      </c>
      <c r="N859" t="s">
        <v>95</v>
      </c>
      <c r="O859" t="s">
        <v>2323</v>
      </c>
      <c r="P859" t="s">
        <v>93</v>
      </c>
      <c r="Q859">
        <v>0</v>
      </c>
      <c r="R859" t="s">
        <v>95</v>
      </c>
      <c r="S859">
        <v>-20.70922088</v>
      </c>
      <c r="T859">
        <f t="shared" si="120"/>
        <v>-60.190795083177456</v>
      </c>
      <c r="U859" t="s">
        <v>95</v>
      </c>
      <c r="V859">
        <v>113163</v>
      </c>
      <c r="W859" t="s">
        <v>699</v>
      </c>
      <c r="X859">
        <v>298</v>
      </c>
      <c r="Y859" t="s">
        <v>700</v>
      </c>
      <c r="Z859">
        <v>-15.1</v>
      </c>
      <c r="AA859" t="s">
        <v>95</v>
      </c>
      <c r="AB859">
        <f t="shared" si="121"/>
        <v>-43.88774503022151</v>
      </c>
      <c r="AC859" t="s">
        <v>93</v>
      </c>
      <c r="AD859">
        <v>0.9</v>
      </c>
      <c r="AE859" t="s">
        <v>95</v>
      </c>
      <c r="AF859" t="s">
        <v>93</v>
      </c>
      <c r="AW859">
        <v>0.749</v>
      </c>
      <c r="BH859">
        <v>0.251</v>
      </c>
      <c r="CR859">
        <f t="shared" si="122"/>
        <v>-57.659772056934322</v>
      </c>
      <c r="CS859">
        <f t="shared" si="123"/>
        <v>-60.190795083177456</v>
      </c>
      <c r="CT859">
        <f t="shared" si="124"/>
        <v>-43.88774503022151</v>
      </c>
      <c r="CU859" s="7">
        <f t="shared" si="125"/>
        <v>-53.912770723444432</v>
      </c>
      <c r="CV859" s="9">
        <f t="shared" si="126"/>
        <v>344.05959999999999</v>
      </c>
      <c r="CW859" t="str">
        <f t="shared" si="118"/>
        <v>ErCo3</v>
      </c>
    </row>
    <row r="860" spans="1:101" ht="15.75" thickBot="1" x14ac:dyDescent="0.3">
      <c r="A860" t="s">
        <v>91</v>
      </c>
      <c r="B860" t="s">
        <v>2565</v>
      </c>
      <c r="C860" t="s">
        <v>3144</v>
      </c>
      <c r="E860" t="s">
        <v>3145</v>
      </c>
      <c r="F860" t="s">
        <v>93</v>
      </c>
      <c r="G860" t="s">
        <v>2566</v>
      </c>
      <c r="H860">
        <v>401.62290000000002</v>
      </c>
      <c r="I860">
        <v>1047</v>
      </c>
      <c r="M860">
        <f t="shared" si="119"/>
        <v>0</v>
      </c>
      <c r="O860" t="s">
        <v>93</v>
      </c>
      <c r="P860" t="s">
        <v>2567</v>
      </c>
      <c r="T860">
        <f t="shared" si="120"/>
        <v>0</v>
      </c>
      <c r="V860" t="s">
        <v>93</v>
      </c>
      <c r="W860" t="s">
        <v>93</v>
      </c>
      <c r="X860">
        <v>298</v>
      </c>
      <c r="Y860" t="s">
        <v>93</v>
      </c>
      <c r="Z860">
        <v>-21.6</v>
      </c>
      <c r="AA860" t="s">
        <v>95</v>
      </c>
      <c r="AB860">
        <f t="shared" si="121"/>
        <v>-53.78179381703584</v>
      </c>
      <c r="AC860" t="s">
        <v>93</v>
      </c>
      <c r="AD860">
        <v>1.8</v>
      </c>
      <c r="AE860" t="s">
        <v>95</v>
      </c>
      <c r="AF860" t="s">
        <v>93</v>
      </c>
      <c r="AH860" t="s">
        <v>93</v>
      </c>
      <c r="AI860" t="s">
        <v>93</v>
      </c>
      <c r="AJ860" t="s">
        <v>93</v>
      </c>
      <c r="AK860" t="s">
        <v>93</v>
      </c>
      <c r="AU860">
        <v>0.25</v>
      </c>
      <c r="BF860">
        <v>0.75</v>
      </c>
      <c r="CR860">
        <f t="shared" si="122"/>
        <v>0</v>
      </c>
      <c r="CS860">
        <f t="shared" si="123"/>
        <v>0</v>
      </c>
      <c r="CT860">
        <f t="shared" si="124"/>
        <v>-53.78179381703584</v>
      </c>
      <c r="CU860" s="7">
        <f t="shared" si="125"/>
        <v>-53.78179381703584</v>
      </c>
      <c r="CV860" s="9">
        <f t="shared" si="126"/>
        <v>401.62290000000002</v>
      </c>
      <c r="CW860" t="str">
        <f t="shared" si="118"/>
        <v>NbRh3</v>
      </c>
    </row>
    <row r="861" spans="1:101" ht="15.75" thickBot="1" x14ac:dyDescent="0.3">
      <c r="A861" t="s">
        <v>91</v>
      </c>
      <c r="B861" t="s">
        <v>2656</v>
      </c>
      <c r="C861" t="s">
        <v>3144</v>
      </c>
      <c r="E861" t="s">
        <v>3145</v>
      </c>
      <c r="F861" t="s">
        <v>93</v>
      </c>
      <c r="G861" t="s">
        <v>2657</v>
      </c>
      <c r="H861">
        <v>341.73</v>
      </c>
      <c r="I861">
        <v>1085</v>
      </c>
      <c r="J861">
        <v>0</v>
      </c>
      <c r="K861" t="s">
        <v>95</v>
      </c>
      <c r="L861">
        <v>-18.103412859999999</v>
      </c>
      <c r="M861">
        <f t="shared" si="119"/>
        <v>-52.975778714189552</v>
      </c>
      <c r="N861" t="s">
        <v>95</v>
      </c>
      <c r="O861" t="s">
        <v>2658</v>
      </c>
      <c r="P861" t="s">
        <v>93</v>
      </c>
      <c r="Q861">
        <v>0</v>
      </c>
      <c r="R861" t="s">
        <v>95</v>
      </c>
      <c r="S861">
        <v>-19.523263709999998</v>
      </c>
      <c r="T861">
        <f t="shared" si="120"/>
        <v>-57.130669563690624</v>
      </c>
      <c r="U861" t="s">
        <v>95</v>
      </c>
      <c r="V861">
        <v>31229</v>
      </c>
      <c r="W861" t="s">
        <v>2659</v>
      </c>
      <c r="X861">
        <v>298</v>
      </c>
      <c r="Y861" t="s">
        <v>700</v>
      </c>
      <c r="Z861">
        <v>-17.5</v>
      </c>
      <c r="AA861" t="s">
        <v>95</v>
      </c>
      <c r="AB861">
        <f t="shared" si="121"/>
        <v>-51.210019606121783</v>
      </c>
      <c r="AC861" t="s">
        <v>93</v>
      </c>
      <c r="AD861">
        <v>2.2000000000000002</v>
      </c>
      <c r="AE861" t="s">
        <v>95</v>
      </c>
      <c r="AF861" t="s">
        <v>93</v>
      </c>
      <c r="AW861">
        <v>0.75</v>
      </c>
      <c r="BJ861">
        <v>0.25</v>
      </c>
      <c r="CR861">
        <f t="shared" si="122"/>
        <v>-52.975778714189552</v>
      </c>
      <c r="CS861">
        <f t="shared" si="123"/>
        <v>-57.130669563690624</v>
      </c>
      <c r="CT861">
        <f t="shared" si="124"/>
        <v>-51.210019606121783</v>
      </c>
      <c r="CU861" s="7">
        <f t="shared" si="125"/>
        <v>-53.772155961333986</v>
      </c>
      <c r="CV861" s="9">
        <f t="shared" si="126"/>
        <v>341.73</v>
      </c>
      <c r="CW861" t="str">
        <f t="shared" si="118"/>
        <v>HoCo3</v>
      </c>
    </row>
    <row r="862" spans="1:101" ht="15.75" thickBot="1" x14ac:dyDescent="0.3">
      <c r="A862" t="s">
        <v>91</v>
      </c>
      <c r="B862" t="s">
        <v>1300</v>
      </c>
      <c r="C862" t="s">
        <v>3144</v>
      </c>
      <c r="E862" t="s">
        <v>3145</v>
      </c>
      <c r="F862" t="s">
        <v>93</v>
      </c>
      <c r="G862" t="s">
        <v>1301</v>
      </c>
      <c r="H862">
        <v>203.89099999999999</v>
      </c>
      <c r="I862">
        <v>509</v>
      </c>
      <c r="J862">
        <v>0</v>
      </c>
      <c r="K862" t="s">
        <v>95</v>
      </c>
      <c r="L862">
        <v>-9.9340841300000005</v>
      </c>
      <c r="M862">
        <f t="shared" si="119"/>
        <v>-48.722523946618537</v>
      </c>
      <c r="N862" t="s">
        <v>95</v>
      </c>
      <c r="O862" t="s">
        <v>1302</v>
      </c>
      <c r="P862" t="s">
        <v>93</v>
      </c>
      <c r="Q862">
        <v>0</v>
      </c>
      <c r="R862" t="s">
        <v>95</v>
      </c>
      <c r="S862">
        <v>-11.14962147</v>
      </c>
      <c r="T862">
        <f t="shared" si="120"/>
        <v>-54.684225738262107</v>
      </c>
      <c r="U862" t="s">
        <v>95</v>
      </c>
      <c r="V862">
        <v>8050</v>
      </c>
      <c r="W862" t="s">
        <v>728</v>
      </c>
      <c r="X862">
        <v>298</v>
      </c>
      <c r="Y862" t="s">
        <v>1303</v>
      </c>
      <c r="Z862">
        <v>-11.6</v>
      </c>
      <c r="AA862" t="s">
        <v>95</v>
      </c>
      <c r="AB862">
        <f t="shared" si="121"/>
        <v>-56.893143885703637</v>
      </c>
      <c r="AC862" t="s">
        <v>93</v>
      </c>
      <c r="AD862">
        <v>1.3</v>
      </c>
      <c r="AE862" t="s">
        <v>95</v>
      </c>
      <c r="AF862" t="s">
        <v>93</v>
      </c>
      <c r="BS862">
        <v>0.66</v>
      </c>
      <c r="BU862">
        <v>0.33</v>
      </c>
      <c r="CR862">
        <f t="shared" si="122"/>
        <v>-48.722523946618537</v>
      </c>
      <c r="CS862">
        <f t="shared" si="123"/>
        <v>-54.684225738262107</v>
      </c>
      <c r="CT862">
        <f t="shared" si="124"/>
        <v>-56.893143885703637</v>
      </c>
      <c r="CU862" s="7">
        <f t="shared" si="125"/>
        <v>-53.433297856861429</v>
      </c>
      <c r="CV862" s="9">
        <f t="shared" si="126"/>
        <v>203.89099999999999</v>
      </c>
      <c r="CW862" t="str">
        <f t="shared" si="118"/>
        <v>Mo2C</v>
      </c>
    </row>
    <row r="863" spans="1:101" ht="15.75" thickBot="1" x14ac:dyDescent="0.3">
      <c r="A863" t="s">
        <v>484</v>
      </c>
      <c r="B863" t="s">
        <v>2330</v>
      </c>
      <c r="C863" t="s">
        <v>3138</v>
      </c>
      <c r="D863" t="s">
        <v>3139</v>
      </c>
      <c r="F863" t="s">
        <v>3140</v>
      </c>
      <c r="G863" t="s">
        <v>2331</v>
      </c>
      <c r="H863">
        <v>275.1164</v>
      </c>
      <c r="I863">
        <v>938</v>
      </c>
      <c r="J863">
        <v>0</v>
      </c>
      <c r="K863" t="s">
        <v>95</v>
      </c>
      <c r="L863">
        <v>-16.0450056</v>
      </c>
      <c r="M863">
        <f t="shared" si="119"/>
        <v>-58.320789309543159</v>
      </c>
      <c r="N863" t="s">
        <v>95</v>
      </c>
      <c r="O863" t="s">
        <v>2332</v>
      </c>
      <c r="P863" t="s">
        <v>93</v>
      </c>
      <c r="Q863">
        <v>0</v>
      </c>
      <c r="R863" t="s">
        <v>95</v>
      </c>
      <c r="S863">
        <v>-16.113107429999999</v>
      </c>
      <c r="T863">
        <f t="shared" si="120"/>
        <v>-58.568327551538182</v>
      </c>
      <c r="U863" t="s">
        <v>95</v>
      </c>
      <c r="V863">
        <v>31242</v>
      </c>
      <c r="W863" t="s">
        <v>159</v>
      </c>
      <c r="X863">
        <v>298</v>
      </c>
      <c r="Y863" t="s">
        <v>160</v>
      </c>
      <c r="Z863">
        <v>-11.7</v>
      </c>
      <c r="AA863" t="s">
        <v>95</v>
      </c>
      <c r="AB863">
        <f t="shared" si="121"/>
        <v>-42.527453834086224</v>
      </c>
      <c r="AC863" t="s">
        <v>93</v>
      </c>
      <c r="AD863">
        <v>1.4</v>
      </c>
      <c r="AE863" t="s">
        <v>95</v>
      </c>
      <c r="AF863" t="s">
        <v>93</v>
      </c>
      <c r="AW863">
        <v>0.66700000000000004</v>
      </c>
      <c r="BI863">
        <v>0.33300000000000002</v>
      </c>
      <c r="CR863">
        <f t="shared" si="122"/>
        <v>-58.320789309543159</v>
      </c>
      <c r="CS863">
        <f t="shared" si="123"/>
        <v>-58.568327551538182</v>
      </c>
      <c r="CT863">
        <f t="shared" si="124"/>
        <v>-42.527453834086224</v>
      </c>
      <c r="CU863" s="7">
        <f t="shared" si="125"/>
        <v>-53.138856898389186</v>
      </c>
      <c r="CV863" s="9">
        <f t="shared" si="126"/>
        <v>275.1164</v>
      </c>
      <c r="CW863" t="str">
        <f t="shared" si="118"/>
        <v>GdCo2</v>
      </c>
    </row>
    <row r="864" spans="1:101" ht="15.75" thickBot="1" x14ac:dyDescent="0.3">
      <c r="A864" t="s">
        <v>91</v>
      </c>
      <c r="B864" t="s">
        <v>2757</v>
      </c>
      <c r="C864" t="s">
        <v>3144</v>
      </c>
      <c r="E864" t="s">
        <v>3145</v>
      </c>
      <c r="F864" t="s">
        <v>93</v>
      </c>
      <c r="G864" t="s">
        <v>2758</v>
      </c>
      <c r="H864">
        <v>371.77149999999898</v>
      </c>
      <c r="I864">
        <v>1127</v>
      </c>
      <c r="M864">
        <f t="shared" si="119"/>
        <v>0</v>
      </c>
      <c r="O864" t="s">
        <v>93</v>
      </c>
      <c r="P864" t="s">
        <v>93</v>
      </c>
      <c r="Q864">
        <v>1.7669062600000001</v>
      </c>
      <c r="R864" t="s">
        <v>95</v>
      </c>
      <c r="S864">
        <v>-18.403895290000001</v>
      </c>
      <c r="T864">
        <f t="shared" si="120"/>
        <v>-49.503244035651065</v>
      </c>
      <c r="U864" t="s">
        <v>95</v>
      </c>
      <c r="V864">
        <v>504149</v>
      </c>
      <c r="W864" t="s">
        <v>184</v>
      </c>
      <c r="X864">
        <v>298</v>
      </c>
      <c r="Y864" t="s">
        <v>185</v>
      </c>
      <c r="Z864">
        <v>-21.1</v>
      </c>
      <c r="AA864" t="s">
        <v>95</v>
      </c>
      <c r="AB864">
        <f t="shared" si="121"/>
        <v>-56.755291893004326</v>
      </c>
      <c r="AC864" t="s">
        <v>93</v>
      </c>
      <c r="AD864">
        <v>2.1</v>
      </c>
      <c r="AE864" t="s">
        <v>95</v>
      </c>
      <c r="AF864" t="s">
        <v>93</v>
      </c>
      <c r="AH864" t="s">
        <v>93</v>
      </c>
      <c r="AI864" t="s">
        <v>93</v>
      </c>
      <c r="AV864">
        <v>0.5</v>
      </c>
      <c r="BD864">
        <v>0.25</v>
      </c>
      <c r="CF864">
        <v>0.25</v>
      </c>
      <c r="CR864">
        <f t="shared" si="122"/>
        <v>0</v>
      </c>
      <c r="CS864">
        <f t="shared" si="123"/>
        <v>-49.503244035651065</v>
      </c>
      <c r="CT864">
        <f t="shared" si="124"/>
        <v>-56.755291893004326</v>
      </c>
      <c r="CU864" s="7">
        <f t="shared" si="125"/>
        <v>-53.129267964327695</v>
      </c>
      <c r="CV864" s="9">
        <f t="shared" si="126"/>
        <v>371.77149999999898</v>
      </c>
      <c r="CW864" t="str">
        <f t="shared" si="118"/>
        <v>VSnRu2</v>
      </c>
    </row>
    <row r="865" spans="1:101" ht="15.75" thickBot="1" x14ac:dyDescent="0.3">
      <c r="A865" t="s">
        <v>91</v>
      </c>
      <c r="B865" t="s">
        <v>1597</v>
      </c>
      <c r="C865" t="s">
        <v>3144</v>
      </c>
      <c r="E865" t="s">
        <v>3145</v>
      </c>
      <c r="F865" t="s">
        <v>93</v>
      </c>
      <c r="G865" t="s">
        <v>1598</v>
      </c>
      <c r="H865">
        <v>988.99599999999998</v>
      </c>
      <c r="I865">
        <v>614</v>
      </c>
      <c r="J865">
        <v>0</v>
      </c>
      <c r="K865" t="s">
        <v>95</v>
      </c>
      <c r="L865">
        <v>-59.441093619999997</v>
      </c>
      <c r="M865">
        <f t="shared" si="119"/>
        <v>-60.102461101966028</v>
      </c>
      <c r="N865" t="s">
        <v>95</v>
      </c>
      <c r="O865" t="s">
        <v>1599</v>
      </c>
      <c r="P865" t="s">
        <v>93</v>
      </c>
      <c r="Q865">
        <v>0</v>
      </c>
      <c r="R865" t="s">
        <v>95</v>
      </c>
      <c r="S865">
        <v>-59.480918209999999</v>
      </c>
      <c r="T865">
        <f t="shared" si="120"/>
        <v>-60.14272879768977</v>
      </c>
      <c r="U865" t="s">
        <v>95</v>
      </c>
      <c r="V865">
        <v>3573</v>
      </c>
      <c r="W865" t="s">
        <v>1362</v>
      </c>
      <c r="X865">
        <v>298</v>
      </c>
      <c r="Y865" t="s">
        <v>480</v>
      </c>
      <c r="Z865">
        <v>-38.1</v>
      </c>
      <c r="AA865" t="s">
        <v>95</v>
      </c>
      <c r="AB865">
        <f t="shared" si="121"/>
        <v>-38.523917184700444</v>
      </c>
      <c r="AC865" t="s">
        <v>93</v>
      </c>
      <c r="AD865">
        <v>1.7</v>
      </c>
      <c r="AE865" t="s">
        <v>95</v>
      </c>
      <c r="AF865" t="s">
        <v>93</v>
      </c>
      <c r="BE865">
        <v>0.625</v>
      </c>
      <c r="BX865">
        <v>0.375</v>
      </c>
      <c r="CR865">
        <f t="shared" si="122"/>
        <v>-60.102461101966028</v>
      </c>
      <c r="CS865">
        <f t="shared" si="123"/>
        <v>-60.14272879768977</v>
      </c>
      <c r="CT865">
        <f t="shared" si="124"/>
        <v>-38.523917184700444</v>
      </c>
      <c r="CU865" s="7">
        <f t="shared" si="125"/>
        <v>-52.923035694785419</v>
      </c>
      <c r="CV865" s="9">
        <f t="shared" si="126"/>
        <v>988.99599999999998</v>
      </c>
      <c r="CW865" t="str">
        <f t="shared" si="118"/>
        <v>Ta5Si3</v>
      </c>
    </row>
    <row r="866" spans="1:101" ht="15.75" thickBot="1" x14ac:dyDescent="0.3">
      <c r="A866" t="s">
        <v>91</v>
      </c>
      <c r="B866" t="s">
        <v>93</v>
      </c>
      <c r="C866" t="s">
        <v>3144</v>
      </c>
      <c r="E866" t="s">
        <v>3145</v>
      </c>
      <c r="F866" t="s">
        <v>93</v>
      </c>
      <c r="G866" t="s">
        <v>804</v>
      </c>
      <c r="H866">
        <v>1132.8219999999999</v>
      </c>
      <c r="I866">
        <v>322</v>
      </c>
      <c r="M866">
        <f t="shared" si="119"/>
        <v>0</v>
      </c>
      <c r="O866" t="s">
        <v>93</v>
      </c>
      <c r="P866" t="s">
        <v>93</v>
      </c>
      <c r="T866">
        <f t="shared" si="120"/>
        <v>0</v>
      </c>
      <c r="V866" t="s">
        <v>93</v>
      </c>
      <c r="W866" t="s">
        <v>444</v>
      </c>
      <c r="X866">
        <v>298</v>
      </c>
      <c r="Y866" t="s">
        <v>359</v>
      </c>
      <c r="Z866">
        <v>-59.9</v>
      </c>
      <c r="AA866" t="s">
        <v>95</v>
      </c>
      <c r="AB866">
        <f t="shared" si="121"/>
        <v>-52.876797943542769</v>
      </c>
      <c r="AC866" t="s">
        <v>93</v>
      </c>
      <c r="AD866">
        <v>2.5</v>
      </c>
      <c r="AE866" t="s">
        <v>95</v>
      </c>
      <c r="AF866" t="s">
        <v>93</v>
      </c>
      <c r="AH866" t="s">
        <v>93</v>
      </c>
      <c r="AI866" t="s">
        <v>93</v>
      </c>
      <c r="AJ866" t="s">
        <v>93</v>
      </c>
      <c r="AK866" t="s">
        <v>93</v>
      </c>
      <c r="AO866">
        <v>0.56000000000000005</v>
      </c>
      <c r="BF866">
        <v>0.44</v>
      </c>
      <c r="CR866">
        <f t="shared" si="122"/>
        <v>0</v>
      </c>
      <c r="CS866">
        <f t="shared" si="123"/>
        <v>0</v>
      </c>
      <c r="CT866">
        <f t="shared" si="124"/>
        <v>-52.876797943542769</v>
      </c>
      <c r="CU866" s="7">
        <f t="shared" si="125"/>
        <v>-52.876797943542769</v>
      </c>
      <c r="CV866" s="9">
        <f t="shared" si="126"/>
        <v>1132.8219999999999</v>
      </c>
      <c r="CW866" t="str">
        <f t="shared" si="118"/>
        <v>Nd5Rh4</v>
      </c>
    </row>
    <row r="867" spans="1:101" ht="15.75" thickBot="1" x14ac:dyDescent="0.3">
      <c r="A867" t="s">
        <v>91</v>
      </c>
      <c r="B867" t="s">
        <v>1177</v>
      </c>
      <c r="C867" t="s">
        <v>3144</v>
      </c>
      <c r="E867" t="s">
        <v>3145</v>
      </c>
      <c r="F867" t="s">
        <v>93</v>
      </c>
      <c r="G867" t="s">
        <v>1178</v>
      </c>
      <c r="H867">
        <v>713.51343999999995</v>
      </c>
      <c r="I867">
        <v>462</v>
      </c>
      <c r="M867">
        <f t="shared" si="119"/>
        <v>0</v>
      </c>
      <c r="O867" t="s">
        <v>93</v>
      </c>
      <c r="P867" t="s">
        <v>93</v>
      </c>
      <c r="T867">
        <f t="shared" si="120"/>
        <v>0</v>
      </c>
      <c r="V867" t="s">
        <v>93</v>
      </c>
      <c r="W867" t="s">
        <v>1179</v>
      </c>
      <c r="X867">
        <v>298</v>
      </c>
      <c r="Y867" t="s">
        <v>971</v>
      </c>
      <c r="Z867">
        <v>-37.5</v>
      </c>
      <c r="AA867" t="s">
        <v>95</v>
      </c>
      <c r="AB867">
        <f t="shared" si="121"/>
        <v>-52.556823596763643</v>
      </c>
      <c r="AC867" t="s">
        <v>93</v>
      </c>
      <c r="AD867">
        <v>0.7</v>
      </c>
      <c r="AE867" t="s">
        <v>95</v>
      </c>
      <c r="AF867" t="s">
        <v>93</v>
      </c>
      <c r="AH867" t="s">
        <v>93</v>
      </c>
      <c r="AI867" t="s">
        <v>93</v>
      </c>
      <c r="AJ867" t="s">
        <v>93</v>
      </c>
      <c r="AK867" t="s">
        <v>93</v>
      </c>
      <c r="AL867">
        <v>0.21</v>
      </c>
      <c r="AR867">
        <v>0.79</v>
      </c>
      <c r="CR867">
        <f t="shared" si="122"/>
        <v>0</v>
      </c>
      <c r="CS867">
        <f t="shared" si="123"/>
        <v>0</v>
      </c>
      <c r="CT867">
        <f t="shared" si="124"/>
        <v>-52.556823596763643</v>
      </c>
      <c r="CU867" s="7">
        <f t="shared" si="125"/>
        <v>-52.556823596763643</v>
      </c>
      <c r="CV867" s="9">
        <f t="shared" si="126"/>
        <v>713.51343999999995</v>
      </c>
      <c r="CW867" t="str">
        <f t="shared" si="118"/>
        <v>Al11La3</v>
      </c>
    </row>
    <row r="868" spans="1:101" ht="15.75" thickBot="1" x14ac:dyDescent="0.3">
      <c r="A868" t="s">
        <v>91</v>
      </c>
      <c r="B868" t="s">
        <v>1922</v>
      </c>
      <c r="C868" t="s">
        <v>3144</v>
      </c>
      <c r="E868" t="s">
        <v>3145</v>
      </c>
      <c r="F868" t="s">
        <v>93</v>
      </c>
      <c r="G868" t="s">
        <v>1923</v>
      </c>
      <c r="H868">
        <v>490.86399999999998</v>
      </c>
      <c r="I868">
        <v>736</v>
      </c>
      <c r="M868">
        <f t="shared" si="119"/>
        <v>0</v>
      </c>
      <c r="O868" t="s">
        <v>93</v>
      </c>
      <c r="P868" t="s">
        <v>93</v>
      </c>
      <c r="T868">
        <f t="shared" si="120"/>
        <v>0</v>
      </c>
      <c r="V868" t="s">
        <v>93</v>
      </c>
      <c r="W868" t="s">
        <v>106</v>
      </c>
      <c r="X868">
        <v>298</v>
      </c>
      <c r="Y868" t="s">
        <v>107</v>
      </c>
      <c r="Z868">
        <v>-25.4</v>
      </c>
      <c r="AA868" t="s">
        <v>95</v>
      </c>
      <c r="AB868">
        <f t="shared" si="121"/>
        <v>-51.745493660158417</v>
      </c>
      <c r="AC868" t="s">
        <v>93</v>
      </c>
      <c r="AD868">
        <v>2.2999999999999998</v>
      </c>
      <c r="AE868" t="s">
        <v>95</v>
      </c>
      <c r="AF868" t="s">
        <v>93</v>
      </c>
      <c r="AH868" t="s">
        <v>93</v>
      </c>
      <c r="AI868" t="s">
        <v>93</v>
      </c>
      <c r="AJ868" t="s">
        <v>93</v>
      </c>
      <c r="AK868" t="s">
        <v>93</v>
      </c>
      <c r="BH868">
        <v>0.25</v>
      </c>
      <c r="CR868">
        <f t="shared" si="122"/>
        <v>0</v>
      </c>
      <c r="CS868">
        <f t="shared" si="123"/>
        <v>0</v>
      </c>
      <c r="CT868">
        <f t="shared" si="124"/>
        <v>-51.745493660158417</v>
      </c>
      <c r="CU868" s="7">
        <f t="shared" si="125"/>
        <v>-51.745493660158417</v>
      </c>
      <c r="CV868" s="9">
        <f t="shared" si="126"/>
        <v>490.86399999999998</v>
      </c>
      <c r="CW868" t="str">
        <f t="shared" si="118"/>
        <v>Ag3Er</v>
      </c>
    </row>
    <row r="869" spans="1:101" ht="15.75" thickBot="1" x14ac:dyDescent="0.3">
      <c r="A869" t="s">
        <v>91</v>
      </c>
      <c r="B869" t="s">
        <v>1920</v>
      </c>
      <c r="C869" t="s">
        <v>3144</v>
      </c>
      <c r="E869" t="s">
        <v>3145</v>
      </c>
      <c r="F869" t="s">
        <v>93</v>
      </c>
      <c r="G869" t="s">
        <v>1921</v>
      </c>
      <c r="H869">
        <v>488.53440000000001</v>
      </c>
      <c r="I869">
        <v>735</v>
      </c>
      <c r="M869">
        <f t="shared" si="119"/>
        <v>0</v>
      </c>
      <c r="O869" t="s">
        <v>93</v>
      </c>
      <c r="P869" t="s">
        <v>93</v>
      </c>
      <c r="T869">
        <f t="shared" si="120"/>
        <v>0</v>
      </c>
      <c r="V869" t="s">
        <v>93</v>
      </c>
      <c r="W869" t="s">
        <v>106</v>
      </c>
      <c r="X869">
        <v>298</v>
      </c>
      <c r="Y869" t="s">
        <v>107</v>
      </c>
      <c r="Z869">
        <v>-25.1</v>
      </c>
      <c r="AA869" t="s">
        <v>95</v>
      </c>
      <c r="AB869">
        <f t="shared" si="121"/>
        <v>-51.378162929775264</v>
      </c>
      <c r="AC869" t="s">
        <v>93</v>
      </c>
      <c r="AD869">
        <v>2</v>
      </c>
      <c r="AE869" t="s">
        <v>95</v>
      </c>
      <c r="AF869" t="s">
        <v>93</v>
      </c>
      <c r="AH869" t="s">
        <v>93</v>
      </c>
      <c r="AI869" t="s">
        <v>93</v>
      </c>
      <c r="AJ869" t="s">
        <v>93</v>
      </c>
      <c r="AK869" t="s">
        <v>93</v>
      </c>
      <c r="BJ869">
        <v>0.25</v>
      </c>
      <c r="CR869">
        <f t="shared" si="122"/>
        <v>0</v>
      </c>
      <c r="CS869">
        <f t="shared" si="123"/>
        <v>0</v>
      </c>
      <c r="CT869">
        <f t="shared" si="124"/>
        <v>-51.378162929775264</v>
      </c>
      <c r="CU869" s="7">
        <f t="shared" si="125"/>
        <v>-51.378162929775264</v>
      </c>
      <c r="CV869" s="9">
        <f t="shared" si="126"/>
        <v>488.53440000000001</v>
      </c>
      <c r="CW869" t="str">
        <f t="shared" si="118"/>
        <v>Ag3Ho</v>
      </c>
    </row>
    <row r="870" spans="1:101" ht="15.75" thickBot="1" x14ac:dyDescent="0.3">
      <c r="A870" t="s">
        <v>484</v>
      </c>
      <c r="B870" t="s">
        <v>93</v>
      </c>
      <c r="C870" t="s">
        <v>3138</v>
      </c>
      <c r="D870" t="s">
        <v>3139</v>
      </c>
      <c r="F870" t="s">
        <v>3140</v>
      </c>
      <c r="G870" t="s">
        <v>606</v>
      </c>
      <c r="H870">
        <v>450.75</v>
      </c>
      <c r="I870">
        <v>949</v>
      </c>
      <c r="M870">
        <f t="shared" si="119"/>
        <v>0</v>
      </c>
      <c r="O870" t="s">
        <v>93</v>
      </c>
      <c r="P870" t="s">
        <v>93</v>
      </c>
      <c r="T870">
        <f t="shared" si="120"/>
        <v>0</v>
      </c>
      <c r="V870" t="s">
        <v>93</v>
      </c>
      <c r="W870" t="s">
        <v>172</v>
      </c>
      <c r="X870">
        <v>298</v>
      </c>
      <c r="Y870" t="s">
        <v>170</v>
      </c>
      <c r="Z870">
        <v>-23.1</v>
      </c>
      <c r="AA870" t="s">
        <v>95</v>
      </c>
      <c r="AB870">
        <f t="shared" si="121"/>
        <v>-51.247920133111478</v>
      </c>
      <c r="AC870" t="s">
        <v>93</v>
      </c>
      <c r="AD870">
        <v>0.7</v>
      </c>
      <c r="AE870" t="s">
        <v>95</v>
      </c>
      <c r="AF870" t="s">
        <v>93</v>
      </c>
      <c r="AH870" t="s">
        <v>93</v>
      </c>
      <c r="AI870" t="s">
        <v>93</v>
      </c>
      <c r="AJ870" t="s">
        <v>93</v>
      </c>
      <c r="AK870" t="s">
        <v>93</v>
      </c>
      <c r="AS870">
        <v>0.82899999999999996</v>
      </c>
      <c r="BI870">
        <v>0.17100000000000001</v>
      </c>
      <c r="CR870">
        <f t="shared" si="122"/>
        <v>0</v>
      </c>
      <c r="CS870">
        <f t="shared" si="123"/>
        <v>0</v>
      </c>
      <c r="CT870">
        <f t="shared" si="124"/>
        <v>-51.247920133111478</v>
      </c>
      <c r="CU870" s="7">
        <f t="shared" si="125"/>
        <v>-51.247920133111478</v>
      </c>
      <c r="CV870" s="9">
        <f t="shared" si="126"/>
        <v>450.75</v>
      </c>
      <c r="CW870" t="str">
        <f t="shared" si="118"/>
        <v>GdNi5</v>
      </c>
    </row>
    <row r="871" spans="1:101" ht="15.75" thickBot="1" x14ac:dyDescent="0.3">
      <c r="A871" t="s">
        <v>91</v>
      </c>
      <c r="B871" t="s">
        <v>2721</v>
      </c>
      <c r="C871" t="s">
        <v>3144</v>
      </c>
      <c r="E871" t="s">
        <v>3145</v>
      </c>
      <c r="F871" t="s">
        <v>93</v>
      </c>
      <c r="G871" t="s">
        <v>2722</v>
      </c>
      <c r="H871">
        <v>330.577</v>
      </c>
      <c r="I871">
        <v>1112</v>
      </c>
      <c r="J871">
        <v>0</v>
      </c>
      <c r="K871" t="s">
        <v>95</v>
      </c>
      <c r="L871">
        <v>-15.32887539</v>
      </c>
      <c r="M871">
        <f t="shared" si="119"/>
        <v>-46.370060197775402</v>
      </c>
      <c r="N871" t="s">
        <v>95</v>
      </c>
      <c r="O871" t="s">
        <v>2723</v>
      </c>
      <c r="P871" t="s">
        <v>93</v>
      </c>
      <c r="Q871">
        <v>3.2333000000000001E-2</v>
      </c>
      <c r="R871" t="s">
        <v>95</v>
      </c>
      <c r="S871">
        <v>-15.26492687</v>
      </c>
      <c r="T871">
        <f t="shared" si="120"/>
        <v>-46.176615039763803</v>
      </c>
      <c r="U871" t="s">
        <v>95</v>
      </c>
      <c r="V871">
        <v>503820</v>
      </c>
      <c r="W871" t="s">
        <v>184</v>
      </c>
      <c r="X871">
        <v>298</v>
      </c>
      <c r="Y871" t="s">
        <v>185</v>
      </c>
      <c r="Z871">
        <v>-19.7</v>
      </c>
      <c r="AA871" t="s">
        <v>95</v>
      </c>
      <c r="AB871">
        <f t="shared" si="121"/>
        <v>-59.592772636934811</v>
      </c>
      <c r="AC871" t="s">
        <v>93</v>
      </c>
      <c r="AD871">
        <v>3.3</v>
      </c>
      <c r="AE871" t="s">
        <v>95</v>
      </c>
      <c r="AF871" t="s">
        <v>93</v>
      </c>
      <c r="AT871">
        <v>0.25</v>
      </c>
      <c r="AV871">
        <v>0.5</v>
      </c>
      <c r="CA871">
        <v>0.25</v>
      </c>
      <c r="CR871">
        <f t="shared" si="122"/>
        <v>-46.370060197775402</v>
      </c>
      <c r="CS871">
        <f t="shared" si="123"/>
        <v>-46.176615039763803</v>
      </c>
      <c r="CT871">
        <f t="shared" si="124"/>
        <v>-59.592772636934811</v>
      </c>
      <c r="CU871" s="7">
        <f t="shared" si="125"/>
        <v>-50.713149291491334</v>
      </c>
      <c r="CV871" s="9">
        <f t="shared" si="126"/>
        <v>330.577</v>
      </c>
      <c r="CW871" t="str">
        <f t="shared" si="118"/>
        <v>Ru2FeGe</v>
      </c>
    </row>
    <row r="872" spans="1:101" ht="15.75" thickBot="1" x14ac:dyDescent="0.3">
      <c r="A872" t="s">
        <v>91</v>
      </c>
      <c r="B872" t="s">
        <v>1076</v>
      </c>
      <c r="C872" t="s">
        <v>3144</v>
      </c>
      <c r="E872" t="s">
        <v>3145</v>
      </c>
      <c r="F872" t="s">
        <v>93</v>
      </c>
      <c r="G872" t="s">
        <v>1077</v>
      </c>
      <c r="H872">
        <v>305.70074</v>
      </c>
      <c r="I872">
        <v>428</v>
      </c>
      <c r="J872">
        <v>5.1486085399999997</v>
      </c>
      <c r="K872" t="s">
        <v>95</v>
      </c>
      <c r="L872">
        <v>-15.30389738</v>
      </c>
      <c r="M872">
        <f t="shared" si="119"/>
        <v>-50.061695565408186</v>
      </c>
      <c r="N872" t="s">
        <v>95</v>
      </c>
      <c r="O872" t="s">
        <v>1078</v>
      </c>
      <c r="P872" t="s">
        <v>93</v>
      </c>
      <c r="Q872">
        <v>4.0149217999999998</v>
      </c>
      <c r="R872" t="s">
        <v>95</v>
      </c>
      <c r="S872">
        <v>-17.4402717</v>
      </c>
      <c r="T872">
        <f t="shared" si="120"/>
        <v>-57.05014551158758</v>
      </c>
      <c r="U872" t="s">
        <v>95</v>
      </c>
      <c r="V872">
        <v>18709</v>
      </c>
      <c r="W872" t="s">
        <v>391</v>
      </c>
      <c r="X872">
        <v>298</v>
      </c>
      <c r="Y872" t="s">
        <v>392</v>
      </c>
      <c r="Z872">
        <v>-13.7</v>
      </c>
      <c r="AA872" t="s">
        <v>95</v>
      </c>
      <c r="AB872">
        <f t="shared" si="121"/>
        <v>-44.815069796690707</v>
      </c>
      <c r="AC872" t="s">
        <v>93</v>
      </c>
      <c r="AD872">
        <v>1</v>
      </c>
      <c r="AE872" t="s">
        <v>95</v>
      </c>
      <c r="AF872" t="s">
        <v>93</v>
      </c>
      <c r="AR872">
        <v>0.25</v>
      </c>
      <c r="AU872">
        <v>0.75</v>
      </c>
      <c r="CR872">
        <f t="shared" si="122"/>
        <v>-50.061695565408186</v>
      </c>
      <c r="CS872">
        <f t="shared" si="123"/>
        <v>-57.05014551158758</v>
      </c>
      <c r="CT872">
        <f t="shared" si="124"/>
        <v>-44.815069796690707</v>
      </c>
      <c r="CU872" s="7">
        <f t="shared" si="125"/>
        <v>-50.642303624562167</v>
      </c>
      <c r="CV872" s="9">
        <f t="shared" si="126"/>
        <v>305.70074</v>
      </c>
      <c r="CW872" t="str">
        <f t="shared" si="118"/>
        <v>Nb3Al</v>
      </c>
    </row>
    <row r="873" spans="1:101" ht="15.75" thickBot="1" x14ac:dyDescent="0.3">
      <c r="A873" t="s">
        <v>91</v>
      </c>
      <c r="B873" t="s">
        <v>1180</v>
      </c>
      <c r="C873" t="s">
        <v>3144</v>
      </c>
      <c r="E873" t="s">
        <v>3145</v>
      </c>
      <c r="F873" t="s">
        <v>93</v>
      </c>
      <c r="G873" t="s">
        <v>1181</v>
      </c>
      <c r="H873">
        <v>291.77616</v>
      </c>
      <c r="I873">
        <v>463</v>
      </c>
      <c r="J873">
        <v>1.4390780000000001E-2</v>
      </c>
      <c r="K873" t="s">
        <v>95</v>
      </c>
      <c r="L873">
        <v>-14.815295819999999</v>
      </c>
      <c r="M873">
        <f t="shared" si="119"/>
        <v>-50.776238264291365</v>
      </c>
      <c r="N873" t="s">
        <v>95</v>
      </c>
      <c r="O873" t="s">
        <v>1182</v>
      </c>
      <c r="P873" t="s">
        <v>93</v>
      </c>
      <c r="Q873">
        <v>0.13543516</v>
      </c>
      <c r="R873" t="s">
        <v>95</v>
      </c>
      <c r="S873">
        <v>-15.00089262</v>
      </c>
      <c r="T873">
        <f t="shared" si="120"/>
        <v>-51.412331357023824</v>
      </c>
      <c r="U873" t="s">
        <v>95</v>
      </c>
      <c r="V873">
        <v>10605</v>
      </c>
      <c r="W873" t="s">
        <v>1183</v>
      </c>
      <c r="X873">
        <v>298</v>
      </c>
      <c r="Y873" t="s">
        <v>1184</v>
      </c>
      <c r="Z873">
        <v>-14.1</v>
      </c>
      <c r="AA873" t="s">
        <v>95</v>
      </c>
      <c r="AB873">
        <f t="shared" si="121"/>
        <v>-48.324715768416446</v>
      </c>
      <c r="AC873" t="s">
        <v>93</v>
      </c>
      <c r="AD873">
        <v>0.9</v>
      </c>
      <c r="AE873" t="s">
        <v>95</v>
      </c>
      <c r="AF873" t="s">
        <v>93</v>
      </c>
      <c r="AR873">
        <v>0.8</v>
      </c>
      <c r="BW873">
        <v>0.2</v>
      </c>
      <c r="CR873">
        <f t="shared" si="122"/>
        <v>-50.776238264291365</v>
      </c>
      <c r="CS873">
        <f t="shared" si="123"/>
        <v>-51.412331357023824</v>
      </c>
      <c r="CT873">
        <f t="shared" si="124"/>
        <v>-48.324715768416446</v>
      </c>
      <c r="CU873" s="7">
        <f t="shared" si="125"/>
        <v>-50.171095129910547</v>
      </c>
      <c r="CV873" s="9">
        <f t="shared" si="126"/>
        <v>291.77616</v>
      </c>
      <c r="CW873" t="str">
        <f t="shared" si="118"/>
        <v>Al4W</v>
      </c>
    </row>
    <row r="874" spans="1:101" ht="15.75" thickBot="1" x14ac:dyDescent="0.3">
      <c r="A874" t="s">
        <v>484</v>
      </c>
      <c r="B874" t="s">
        <v>1194</v>
      </c>
      <c r="C874" t="s">
        <v>3138</v>
      </c>
      <c r="D874" t="s">
        <v>3139</v>
      </c>
      <c r="F874" t="s">
        <v>3140</v>
      </c>
      <c r="G874" t="s">
        <v>1195</v>
      </c>
      <c r="H874">
        <v>400.99</v>
      </c>
      <c r="I874">
        <v>468</v>
      </c>
      <c r="M874">
        <f t="shared" si="119"/>
        <v>0</v>
      </c>
      <c r="O874" t="s">
        <v>93</v>
      </c>
      <c r="P874" t="s">
        <v>93</v>
      </c>
      <c r="T874">
        <f t="shared" si="120"/>
        <v>0</v>
      </c>
      <c r="V874" t="s">
        <v>93</v>
      </c>
      <c r="W874" t="s">
        <v>172</v>
      </c>
      <c r="X874">
        <v>298</v>
      </c>
      <c r="Y874" t="s">
        <v>179</v>
      </c>
      <c r="Z874">
        <v>-20</v>
      </c>
      <c r="AA874" t="s">
        <v>95</v>
      </c>
      <c r="AB874">
        <f t="shared" si="121"/>
        <v>-49.876555525075439</v>
      </c>
      <c r="AC874" t="s">
        <v>93</v>
      </c>
      <c r="AD874">
        <v>2</v>
      </c>
      <c r="AE874" t="s">
        <v>95</v>
      </c>
      <c r="AF874" t="s">
        <v>93</v>
      </c>
      <c r="AH874" t="s">
        <v>93</v>
      </c>
      <c r="AI874" t="s">
        <v>93</v>
      </c>
      <c r="AJ874" t="s">
        <v>93</v>
      </c>
      <c r="AK874" t="s">
        <v>93</v>
      </c>
      <c r="AY874">
        <v>0.66</v>
      </c>
      <c r="BQ874">
        <v>0.33</v>
      </c>
      <c r="CR874">
        <f t="shared" si="122"/>
        <v>0</v>
      </c>
      <c r="CS874">
        <f t="shared" si="123"/>
        <v>0</v>
      </c>
      <c r="CT874">
        <f t="shared" si="124"/>
        <v>-49.876555525075439</v>
      </c>
      <c r="CU874" s="7">
        <f t="shared" si="125"/>
        <v>-49.876555525075439</v>
      </c>
      <c r="CV874" s="9">
        <f t="shared" si="126"/>
        <v>400.99</v>
      </c>
      <c r="CW874" t="str">
        <f t="shared" ref="CW874:CW937" si="127">G874</f>
        <v>BPt2</v>
      </c>
    </row>
    <row r="875" spans="1:101" ht="15.75" thickBot="1" x14ac:dyDescent="0.3">
      <c r="A875" t="s">
        <v>91</v>
      </c>
      <c r="B875" t="s">
        <v>3011</v>
      </c>
      <c r="C875" t="s">
        <v>3144</v>
      </c>
      <c r="E875" t="s">
        <v>3145</v>
      </c>
      <c r="F875" t="s">
        <v>93</v>
      </c>
      <c r="G875" t="s">
        <v>3012</v>
      </c>
      <c r="H875">
        <v>223.315</v>
      </c>
      <c r="I875">
        <v>1267</v>
      </c>
      <c r="J875">
        <v>0</v>
      </c>
      <c r="K875" t="s">
        <v>95</v>
      </c>
      <c r="L875">
        <v>-10.63547823</v>
      </c>
      <c r="M875">
        <f t="shared" si="119"/>
        <v>-47.625453865615832</v>
      </c>
      <c r="N875" t="s">
        <v>95</v>
      </c>
      <c r="O875" t="s">
        <v>3013</v>
      </c>
      <c r="P875" t="s">
        <v>93</v>
      </c>
      <c r="Q875">
        <v>2.21916E-3</v>
      </c>
      <c r="R875" t="s">
        <v>95</v>
      </c>
      <c r="S875">
        <v>-10.563246729999999</v>
      </c>
      <c r="T875">
        <f t="shared" si="120"/>
        <v>-47.302002686787716</v>
      </c>
      <c r="U875" t="s">
        <v>95</v>
      </c>
      <c r="V875">
        <v>17652</v>
      </c>
      <c r="W875" t="s">
        <v>184</v>
      </c>
      <c r="X875">
        <v>300</v>
      </c>
      <c r="Y875" t="s">
        <v>185</v>
      </c>
      <c r="Z875">
        <v>-12</v>
      </c>
      <c r="AA875" t="s">
        <v>95</v>
      </c>
      <c r="AB875">
        <f t="shared" si="121"/>
        <v>-53.735754427602259</v>
      </c>
      <c r="AF875" t="s">
        <v>93</v>
      </c>
      <c r="BN875">
        <v>0.25</v>
      </c>
      <c r="CC875">
        <v>2</v>
      </c>
      <c r="CD875" t="s">
        <v>95</v>
      </c>
      <c r="CE875" t="s">
        <v>93</v>
      </c>
      <c r="CJ875">
        <v>0.75</v>
      </c>
      <c r="CR875">
        <f t="shared" si="122"/>
        <v>-47.625453865615832</v>
      </c>
      <c r="CS875">
        <f t="shared" si="123"/>
        <v>-47.302002686787716</v>
      </c>
      <c r="CT875">
        <f t="shared" si="124"/>
        <v>-53.735754427602259</v>
      </c>
      <c r="CU875" s="7">
        <f t="shared" si="125"/>
        <v>-49.554403660001945</v>
      </c>
      <c r="CV875" s="9">
        <f t="shared" si="126"/>
        <v>223.315</v>
      </c>
      <c r="CW875" t="str">
        <f t="shared" si="127"/>
        <v>SmMg3</v>
      </c>
    </row>
    <row r="876" spans="1:101" ht="15.75" thickBot="1" x14ac:dyDescent="0.3">
      <c r="A876" t="s">
        <v>91</v>
      </c>
      <c r="B876" t="s">
        <v>2954</v>
      </c>
      <c r="C876" t="s">
        <v>3144</v>
      </c>
      <c r="E876" t="s">
        <v>3145</v>
      </c>
      <c r="F876" t="s">
        <v>93</v>
      </c>
      <c r="G876" t="s">
        <v>2955</v>
      </c>
      <c r="H876">
        <v>1322.19999999999</v>
      </c>
      <c r="I876">
        <v>1235</v>
      </c>
      <c r="M876">
        <f t="shared" si="119"/>
        <v>0</v>
      </c>
      <c r="O876" t="s">
        <v>93</v>
      </c>
      <c r="P876" t="s">
        <v>93</v>
      </c>
      <c r="Q876">
        <v>0</v>
      </c>
      <c r="R876" t="s">
        <v>95</v>
      </c>
      <c r="S876">
        <v>-51.331230810000001</v>
      </c>
      <c r="T876">
        <f t="shared" si="120"/>
        <v>-38.822591748601106</v>
      </c>
      <c r="U876" t="s">
        <v>95</v>
      </c>
      <c r="V876">
        <v>690179</v>
      </c>
      <c r="W876" t="s">
        <v>339</v>
      </c>
      <c r="X876">
        <v>298</v>
      </c>
      <c r="Y876" t="s">
        <v>1403</v>
      </c>
      <c r="Z876">
        <v>-75.599999999999994</v>
      </c>
      <c r="AA876" t="s">
        <v>95</v>
      </c>
      <c r="AB876">
        <f t="shared" si="121"/>
        <v>-57.177431553471912</v>
      </c>
      <c r="AC876" t="s">
        <v>93</v>
      </c>
      <c r="AD876">
        <v>3.9</v>
      </c>
      <c r="AE876" t="s">
        <v>95</v>
      </c>
      <c r="AF876" t="s">
        <v>93</v>
      </c>
      <c r="AH876" t="s">
        <v>93</v>
      </c>
      <c r="AI876" t="s">
        <v>93</v>
      </c>
      <c r="AM876">
        <v>0.625</v>
      </c>
      <c r="CO876">
        <v>0.375</v>
      </c>
      <c r="CR876">
        <f t="shared" si="122"/>
        <v>0</v>
      </c>
      <c r="CS876">
        <f t="shared" si="123"/>
        <v>-38.822591748601106</v>
      </c>
      <c r="CT876">
        <f t="shared" si="124"/>
        <v>-57.177431553471912</v>
      </c>
      <c r="CU876" s="7">
        <f t="shared" si="125"/>
        <v>-48.000011651036509</v>
      </c>
      <c r="CV876" s="9">
        <f t="shared" si="126"/>
        <v>1322.19999999999</v>
      </c>
      <c r="CW876" t="str">
        <f t="shared" si="127"/>
        <v>Ce5Pb3</v>
      </c>
    </row>
    <row r="877" spans="1:101" ht="15.75" thickBot="1" x14ac:dyDescent="0.3">
      <c r="A877" t="s">
        <v>91</v>
      </c>
      <c r="B877" t="s">
        <v>2463</v>
      </c>
      <c r="C877" t="s">
        <v>3144</v>
      </c>
      <c r="E877" t="s">
        <v>3145</v>
      </c>
      <c r="F877" t="s">
        <v>93</v>
      </c>
      <c r="G877" t="s">
        <v>2464</v>
      </c>
      <c r="H877">
        <v>287.15800000000002</v>
      </c>
      <c r="I877">
        <v>1000</v>
      </c>
      <c r="J877">
        <v>3.7406208400000001</v>
      </c>
      <c r="K877" t="s">
        <v>95</v>
      </c>
      <c r="L877">
        <v>-9.1710346699999992</v>
      </c>
      <c r="M877">
        <f t="shared" si="119"/>
        <v>-31.937242458855401</v>
      </c>
      <c r="N877" t="s">
        <v>95</v>
      </c>
      <c r="O877" t="s">
        <v>2465</v>
      </c>
      <c r="P877" t="s">
        <v>93</v>
      </c>
      <c r="Q877">
        <v>3.13632723</v>
      </c>
      <c r="R877" t="s">
        <v>95</v>
      </c>
      <c r="S877">
        <v>-10.335966340000001</v>
      </c>
      <c r="T877">
        <f t="shared" si="120"/>
        <v>-35.994004485335601</v>
      </c>
      <c r="U877" t="s">
        <v>95</v>
      </c>
      <c r="V877">
        <v>646824</v>
      </c>
      <c r="W877" t="s">
        <v>184</v>
      </c>
      <c r="X877">
        <v>298</v>
      </c>
      <c r="Y877" t="s">
        <v>185</v>
      </c>
      <c r="Z877">
        <v>-21.6</v>
      </c>
      <c r="AA877" t="s">
        <v>95</v>
      </c>
      <c r="AB877">
        <f t="shared" si="121"/>
        <v>-75.219913775691438</v>
      </c>
      <c r="AC877" t="s">
        <v>93</v>
      </c>
      <c r="AD877">
        <v>2.8</v>
      </c>
      <c r="AE877" t="s">
        <v>95</v>
      </c>
      <c r="AF877" t="s">
        <v>93</v>
      </c>
      <c r="AS877">
        <v>0.5</v>
      </c>
      <c r="BR877">
        <v>0.25</v>
      </c>
      <c r="BZ877">
        <v>0.25</v>
      </c>
      <c r="CR877">
        <f t="shared" si="122"/>
        <v>-31.937242458855401</v>
      </c>
      <c r="CS877">
        <f t="shared" si="123"/>
        <v>-35.994004485335601</v>
      </c>
      <c r="CT877">
        <f t="shared" si="124"/>
        <v>-75.219913775691438</v>
      </c>
      <c r="CU877" s="7">
        <f t="shared" si="125"/>
        <v>-47.717053573294152</v>
      </c>
      <c r="CV877" s="9">
        <f t="shared" si="126"/>
        <v>287.15800000000002</v>
      </c>
      <c r="CW877" t="str">
        <f t="shared" si="127"/>
        <v>MnInNi2</v>
      </c>
    </row>
    <row r="878" spans="1:101" ht="15.75" thickBot="1" x14ac:dyDescent="0.3">
      <c r="A878" t="s">
        <v>91</v>
      </c>
      <c r="B878" t="s">
        <v>2958</v>
      </c>
      <c r="C878" t="s">
        <v>3144</v>
      </c>
      <c r="E878" t="s">
        <v>3145</v>
      </c>
      <c r="F878" t="s">
        <v>93</v>
      </c>
      <c r="G878" t="s">
        <v>2959</v>
      </c>
      <c r="H878">
        <v>1342.8</v>
      </c>
      <c r="I878">
        <v>1237</v>
      </c>
      <c r="M878">
        <f t="shared" si="119"/>
        <v>0</v>
      </c>
      <c r="O878" t="s">
        <v>93</v>
      </c>
      <c r="P878" t="s">
        <v>93</v>
      </c>
      <c r="Q878">
        <v>0</v>
      </c>
      <c r="R878" t="s">
        <v>95</v>
      </c>
      <c r="S878">
        <v>-52.512891779999997</v>
      </c>
      <c r="T878">
        <f t="shared" si="120"/>
        <v>-39.10700907059875</v>
      </c>
      <c r="U878" t="s">
        <v>95</v>
      </c>
      <c r="V878">
        <v>30804</v>
      </c>
      <c r="W878" t="s">
        <v>339</v>
      </c>
      <c r="X878">
        <v>298</v>
      </c>
      <c r="Y878" t="s">
        <v>1403</v>
      </c>
      <c r="Z878">
        <v>-75</v>
      </c>
      <c r="AA878" t="s">
        <v>95</v>
      </c>
      <c r="AB878">
        <f t="shared" si="121"/>
        <v>-55.853440571939238</v>
      </c>
      <c r="AC878" t="s">
        <v>93</v>
      </c>
      <c r="AD878">
        <v>3.6</v>
      </c>
      <c r="AE878" t="s">
        <v>95</v>
      </c>
      <c r="AF878" t="s">
        <v>93</v>
      </c>
      <c r="AH878" t="s">
        <v>93</v>
      </c>
      <c r="AI878" t="s">
        <v>93</v>
      </c>
      <c r="AO878">
        <v>0.625</v>
      </c>
      <c r="CO878">
        <v>0.375</v>
      </c>
      <c r="CR878">
        <f t="shared" si="122"/>
        <v>0</v>
      </c>
      <c r="CS878">
        <f t="shared" si="123"/>
        <v>-39.10700907059875</v>
      </c>
      <c r="CT878">
        <f t="shared" si="124"/>
        <v>-55.853440571939238</v>
      </c>
      <c r="CU878" s="7">
        <f t="shared" si="125"/>
        <v>-47.48022482126899</v>
      </c>
      <c r="CV878" s="9">
        <f t="shared" si="126"/>
        <v>1342.8</v>
      </c>
      <c r="CW878" t="str">
        <f t="shared" si="127"/>
        <v>Nd5Pb3</v>
      </c>
    </row>
    <row r="879" spans="1:101" ht="15.75" thickBot="1" x14ac:dyDescent="0.3">
      <c r="A879" t="s">
        <v>91</v>
      </c>
      <c r="B879" t="s">
        <v>1776</v>
      </c>
      <c r="C879" t="s">
        <v>3144</v>
      </c>
      <c r="E879" t="s">
        <v>3145</v>
      </c>
      <c r="F879" t="s">
        <v>93</v>
      </c>
      <c r="G879" t="s">
        <v>1777</v>
      </c>
      <c r="H879">
        <v>204.60040000000001</v>
      </c>
      <c r="I879">
        <v>678</v>
      </c>
      <c r="J879">
        <v>0</v>
      </c>
      <c r="K879" t="s">
        <v>95</v>
      </c>
      <c r="L879">
        <v>-11.801611429999999</v>
      </c>
      <c r="M879">
        <f t="shared" si="119"/>
        <v>-57.681272519506315</v>
      </c>
      <c r="N879" t="s">
        <v>95</v>
      </c>
      <c r="O879" t="s">
        <v>1778</v>
      </c>
      <c r="P879" t="s">
        <v>121</v>
      </c>
      <c r="Q879">
        <v>0</v>
      </c>
      <c r="R879" t="s">
        <v>95</v>
      </c>
      <c r="S879">
        <v>-11.782797090000001</v>
      </c>
      <c r="T879">
        <f t="shared" si="120"/>
        <v>-57.589316003292275</v>
      </c>
      <c r="U879" t="s">
        <v>95</v>
      </c>
      <c r="V879">
        <v>30227</v>
      </c>
      <c r="W879" t="s">
        <v>225</v>
      </c>
      <c r="X879">
        <v>298</v>
      </c>
      <c r="Y879" t="s">
        <v>179</v>
      </c>
      <c r="Z879">
        <v>-5.3</v>
      </c>
      <c r="AA879" t="s">
        <v>95</v>
      </c>
      <c r="AB879">
        <f t="shared" si="121"/>
        <v>-25.904152680053411</v>
      </c>
      <c r="AC879" t="s">
        <v>93</v>
      </c>
      <c r="AD879">
        <v>1.7</v>
      </c>
      <c r="AE879" t="s">
        <v>95</v>
      </c>
      <c r="AF879" t="s">
        <v>93</v>
      </c>
      <c r="AT879">
        <v>0.66</v>
      </c>
      <c r="AU879">
        <v>0.33</v>
      </c>
      <c r="CR879">
        <f t="shared" si="122"/>
        <v>-57.681272519506315</v>
      </c>
      <c r="CS879">
        <f t="shared" si="123"/>
        <v>-57.589316003292275</v>
      </c>
      <c r="CT879">
        <f t="shared" si="124"/>
        <v>-25.904152680053411</v>
      </c>
      <c r="CU879" s="7">
        <f t="shared" si="125"/>
        <v>-47.058247067617337</v>
      </c>
      <c r="CV879" s="9">
        <f t="shared" si="126"/>
        <v>204.60040000000001</v>
      </c>
      <c r="CW879" t="str">
        <f t="shared" si="127"/>
        <v>NbFe2</v>
      </c>
    </row>
    <row r="880" spans="1:101" ht="15.75" thickBot="1" x14ac:dyDescent="0.3">
      <c r="A880" t="s">
        <v>91</v>
      </c>
      <c r="B880" t="s">
        <v>2827</v>
      </c>
      <c r="C880" t="s">
        <v>3144</v>
      </c>
      <c r="E880" t="s">
        <v>3145</v>
      </c>
      <c r="F880" t="s">
        <v>93</v>
      </c>
      <c r="G880" t="s">
        <v>2828</v>
      </c>
      <c r="H880">
        <v>193.61354</v>
      </c>
      <c r="I880">
        <v>1156</v>
      </c>
      <c r="M880">
        <f t="shared" si="119"/>
        <v>0</v>
      </c>
      <c r="O880" t="s">
        <v>93</v>
      </c>
      <c r="P880" t="s">
        <v>93</v>
      </c>
      <c r="T880">
        <f t="shared" si="120"/>
        <v>0</v>
      </c>
      <c r="V880" t="s">
        <v>93</v>
      </c>
      <c r="W880" t="s">
        <v>102</v>
      </c>
      <c r="X880">
        <v>298</v>
      </c>
      <c r="Y880" t="s">
        <v>103</v>
      </c>
      <c r="Z880">
        <v>-9.1</v>
      </c>
      <c r="AA880" t="s">
        <v>95</v>
      </c>
      <c r="AB880">
        <f t="shared" si="121"/>
        <v>-47.000845085524496</v>
      </c>
      <c r="AC880" t="s">
        <v>93</v>
      </c>
      <c r="AD880">
        <v>1.8</v>
      </c>
      <c r="AE880" t="s">
        <v>95</v>
      </c>
      <c r="AF880" t="s">
        <v>93</v>
      </c>
      <c r="AH880" t="s">
        <v>93</v>
      </c>
      <c r="AI880" t="s">
        <v>93</v>
      </c>
      <c r="AJ880" t="s">
        <v>93</v>
      </c>
      <c r="AK880" t="s">
        <v>93</v>
      </c>
      <c r="AR880">
        <v>0.25</v>
      </c>
      <c r="AT880">
        <v>0.5</v>
      </c>
      <c r="BR880">
        <v>0.25</v>
      </c>
      <c r="CR880">
        <f t="shared" si="122"/>
        <v>0</v>
      </c>
      <c r="CS880">
        <f t="shared" si="123"/>
        <v>0</v>
      </c>
      <c r="CT880">
        <f t="shared" si="124"/>
        <v>-47.000845085524496</v>
      </c>
      <c r="CU880" s="7">
        <f t="shared" si="125"/>
        <v>-47.000845085524496</v>
      </c>
      <c r="CV880" s="9">
        <f t="shared" si="126"/>
        <v>193.61354</v>
      </c>
      <c r="CW880" t="str">
        <f t="shared" si="127"/>
        <v>Fe2MnAl</v>
      </c>
    </row>
    <row r="881" spans="1:101" ht="15.75" thickBot="1" x14ac:dyDescent="0.3">
      <c r="A881" t="s">
        <v>91</v>
      </c>
      <c r="B881" t="s">
        <v>1918</v>
      </c>
      <c r="C881" t="s">
        <v>3144</v>
      </c>
      <c r="E881" t="s">
        <v>3145</v>
      </c>
      <c r="F881" t="s">
        <v>93</v>
      </c>
      <c r="G881" t="s">
        <v>1919</v>
      </c>
      <c r="H881">
        <v>486.10399999999998</v>
      </c>
      <c r="I881">
        <v>734</v>
      </c>
      <c r="M881">
        <f t="shared" si="119"/>
        <v>0</v>
      </c>
      <c r="O881" t="s">
        <v>93</v>
      </c>
      <c r="P881" t="s">
        <v>93</v>
      </c>
      <c r="T881">
        <f t="shared" si="120"/>
        <v>0</v>
      </c>
      <c r="V881" t="s">
        <v>93</v>
      </c>
      <c r="W881" t="s">
        <v>106</v>
      </c>
      <c r="X881">
        <v>298</v>
      </c>
      <c r="Y881" t="s">
        <v>107</v>
      </c>
      <c r="Z881">
        <v>-22.8</v>
      </c>
      <c r="AA881" t="s">
        <v>95</v>
      </c>
      <c r="AB881">
        <f t="shared" si="121"/>
        <v>-46.9035432746902</v>
      </c>
      <c r="AC881" t="s">
        <v>93</v>
      </c>
      <c r="AD881">
        <v>1.9</v>
      </c>
      <c r="AE881" t="s">
        <v>95</v>
      </c>
      <c r="AF881" t="s">
        <v>93</v>
      </c>
      <c r="AH881" t="s">
        <v>93</v>
      </c>
      <c r="AI881" t="s">
        <v>93</v>
      </c>
      <c r="AJ881" t="s">
        <v>93</v>
      </c>
      <c r="AK881" t="s">
        <v>93</v>
      </c>
      <c r="BG881">
        <v>0.25</v>
      </c>
      <c r="CR881">
        <f t="shared" si="122"/>
        <v>0</v>
      </c>
      <c r="CS881">
        <f t="shared" si="123"/>
        <v>0</v>
      </c>
      <c r="CT881">
        <f t="shared" si="124"/>
        <v>-46.9035432746902</v>
      </c>
      <c r="CU881" s="7">
        <f t="shared" si="125"/>
        <v>-46.9035432746902</v>
      </c>
      <c r="CV881" s="9">
        <f t="shared" si="126"/>
        <v>486.10399999999998</v>
      </c>
      <c r="CW881" t="str">
        <f t="shared" si="127"/>
        <v>Ag3Dy</v>
      </c>
    </row>
    <row r="882" spans="1:101" ht="15.75" thickBot="1" x14ac:dyDescent="0.3">
      <c r="A882" t="s">
        <v>91</v>
      </c>
      <c r="B882" t="s">
        <v>488</v>
      </c>
      <c r="C882" t="s">
        <v>3144</v>
      </c>
      <c r="E882" t="s">
        <v>3145</v>
      </c>
      <c r="F882" t="s">
        <v>93</v>
      </c>
      <c r="G882" t="s">
        <v>489</v>
      </c>
      <c r="H882">
        <v>299.13990000000001</v>
      </c>
      <c r="I882">
        <v>198</v>
      </c>
      <c r="M882">
        <f t="shared" si="119"/>
        <v>0</v>
      </c>
      <c r="O882" t="s">
        <v>93</v>
      </c>
      <c r="P882" t="s">
        <v>93</v>
      </c>
      <c r="T882">
        <f t="shared" si="120"/>
        <v>0</v>
      </c>
      <c r="V882" t="s">
        <v>93</v>
      </c>
      <c r="W882" t="s">
        <v>93</v>
      </c>
      <c r="X882">
        <v>298</v>
      </c>
      <c r="Y882" t="s">
        <v>93</v>
      </c>
      <c r="Z882">
        <v>-14</v>
      </c>
      <c r="AA882" t="s">
        <v>95</v>
      </c>
      <c r="AB882">
        <f t="shared" si="121"/>
        <v>-46.800844688388274</v>
      </c>
      <c r="AC882" t="s">
        <v>93</v>
      </c>
      <c r="AD882">
        <v>0.43</v>
      </c>
      <c r="AE882" t="s">
        <v>95</v>
      </c>
      <c r="AF882" t="s">
        <v>93</v>
      </c>
      <c r="AH882" t="s">
        <v>93</v>
      </c>
      <c r="AI882" t="s">
        <v>93</v>
      </c>
      <c r="AJ882" t="s">
        <v>93</v>
      </c>
      <c r="AK882" t="s">
        <v>93</v>
      </c>
      <c r="AX882">
        <v>0.8</v>
      </c>
      <c r="CR882">
        <f t="shared" si="122"/>
        <v>0</v>
      </c>
      <c r="CS882">
        <f t="shared" si="123"/>
        <v>0</v>
      </c>
      <c r="CT882">
        <f t="shared" si="124"/>
        <v>-46.800844688388274</v>
      </c>
      <c r="CU882" s="7">
        <f t="shared" si="125"/>
        <v>-46.800844688388274</v>
      </c>
      <c r="CV882" s="9">
        <f t="shared" si="126"/>
        <v>299.13990000000001</v>
      </c>
      <c r="CW882" t="str">
        <f t="shared" si="127"/>
        <v>Cu4Sc</v>
      </c>
    </row>
    <row r="883" spans="1:101" ht="15.75" thickBot="1" x14ac:dyDescent="0.3">
      <c r="A883" t="s">
        <v>91</v>
      </c>
      <c r="B883" t="s">
        <v>496</v>
      </c>
      <c r="C883" t="s">
        <v>3144</v>
      </c>
      <c r="E883" t="s">
        <v>3145</v>
      </c>
      <c r="F883" t="s">
        <v>93</v>
      </c>
      <c r="G883" t="s">
        <v>497</v>
      </c>
      <c r="H883">
        <v>343.0899</v>
      </c>
      <c r="I883">
        <v>201</v>
      </c>
      <c r="M883">
        <f t="shared" si="119"/>
        <v>0</v>
      </c>
      <c r="O883" t="s">
        <v>93</v>
      </c>
      <c r="P883" t="s">
        <v>93</v>
      </c>
      <c r="T883">
        <f t="shared" si="120"/>
        <v>0</v>
      </c>
      <c r="V883" t="s">
        <v>93</v>
      </c>
      <c r="W883" t="s">
        <v>172</v>
      </c>
      <c r="X883">
        <v>298</v>
      </c>
      <c r="Y883" t="s">
        <v>170</v>
      </c>
      <c r="Z883">
        <v>-16.04</v>
      </c>
      <c r="AA883" t="s">
        <v>95</v>
      </c>
      <c r="AB883">
        <f t="shared" si="121"/>
        <v>-46.751594844383355</v>
      </c>
      <c r="AC883" t="s">
        <v>93</v>
      </c>
      <c r="AD883">
        <v>0.63</v>
      </c>
      <c r="AE883" t="s">
        <v>95</v>
      </c>
      <c r="AF883" t="s">
        <v>93</v>
      </c>
      <c r="AG883">
        <v>0.2</v>
      </c>
      <c r="AH883" t="s">
        <v>93</v>
      </c>
      <c r="AI883" t="s">
        <v>93</v>
      </c>
      <c r="AJ883" t="s">
        <v>93</v>
      </c>
      <c r="AK883" t="s">
        <v>93</v>
      </c>
      <c r="AX883">
        <v>0.8</v>
      </c>
      <c r="CR883">
        <f t="shared" si="122"/>
        <v>0</v>
      </c>
      <c r="CS883">
        <f t="shared" si="123"/>
        <v>0</v>
      </c>
      <c r="CT883">
        <f t="shared" si="124"/>
        <v>-46.751594844383355</v>
      </c>
      <c r="CU883" s="7">
        <f t="shared" si="125"/>
        <v>-46.751594844383355</v>
      </c>
      <c r="CV883" s="9">
        <f t="shared" si="126"/>
        <v>343.0899</v>
      </c>
      <c r="CW883" t="str">
        <f t="shared" si="127"/>
        <v>Cu4Y</v>
      </c>
    </row>
    <row r="884" spans="1:101" ht="15.75" thickBot="1" x14ac:dyDescent="0.3">
      <c r="A884" t="s">
        <v>91</v>
      </c>
      <c r="B884" t="s">
        <v>2474</v>
      </c>
      <c r="C884" t="s">
        <v>3144</v>
      </c>
      <c r="E884" t="s">
        <v>3145</v>
      </c>
      <c r="F884" t="s">
        <v>93</v>
      </c>
      <c r="G884" t="s">
        <v>2475</v>
      </c>
      <c r="H884">
        <v>244.96</v>
      </c>
      <c r="I884">
        <v>1006</v>
      </c>
      <c r="M884">
        <f t="shared" si="119"/>
        <v>0</v>
      </c>
      <c r="O884" t="s">
        <v>93</v>
      </c>
      <c r="P884" t="s">
        <v>93</v>
      </c>
      <c r="T884">
        <f t="shared" si="120"/>
        <v>0</v>
      </c>
      <c r="V884" t="s">
        <v>93</v>
      </c>
      <c r="W884" t="s">
        <v>184</v>
      </c>
      <c r="X884">
        <v>298</v>
      </c>
      <c r="Y884" t="s">
        <v>1983</v>
      </c>
      <c r="Z884">
        <v>-11.4</v>
      </c>
      <c r="AA884" t="s">
        <v>95</v>
      </c>
      <c r="AB884">
        <f t="shared" si="121"/>
        <v>-46.538210320052251</v>
      </c>
      <c r="AC884" t="s">
        <v>93</v>
      </c>
      <c r="AD884">
        <v>2.2999999999999998</v>
      </c>
      <c r="AE884" t="s">
        <v>95</v>
      </c>
      <c r="AF884" t="s">
        <v>93</v>
      </c>
      <c r="AH884" t="s">
        <v>93</v>
      </c>
      <c r="AI884" t="s">
        <v>93</v>
      </c>
      <c r="AJ884" t="s">
        <v>93</v>
      </c>
      <c r="AK884" t="s">
        <v>93</v>
      </c>
      <c r="AT884">
        <v>0.5</v>
      </c>
      <c r="AX884">
        <v>0.25</v>
      </c>
      <c r="BY884">
        <v>0.25</v>
      </c>
      <c r="CR884">
        <f t="shared" si="122"/>
        <v>0</v>
      </c>
      <c r="CS884">
        <f t="shared" si="123"/>
        <v>0</v>
      </c>
      <c r="CT884">
        <f t="shared" si="124"/>
        <v>-46.538210320052251</v>
      </c>
      <c r="CU884" s="7">
        <f t="shared" si="125"/>
        <v>-46.538210320052251</v>
      </c>
      <c r="CV884" s="9">
        <f t="shared" si="126"/>
        <v>244.96</v>
      </c>
      <c r="CW884" t="str">
        <f t="shared" si="127"/>
        <v>CuFe2Ga</v>
      </c>
    </row>
    <row r="885" spans="1:101" ht="15.75" thickBot="1" x14ac:dyDescent="0.3">
      <c r="A885" t="s">
        <v>91</v>
      </c>
      <c r="B885" t="s">
        <v>2155</v>
      </c>
      <c r="C885" t="s">
        <v>3144</v>
      </c>
      <c r="E885" t="s">
        <v>3145</v>
      </c>
      <c r="F885" t="s">
        <v>93</v>
      </c>
      <c r="G885" t="s">
        <v>2156</v>
      </c>
      <c r="H885">
        <v>1150.6969999999999</v>
      </c>
      <c r="I885">
        <v>857</v>
      </c>
      <c r="M885">
        <f t="shared" si="119"/>
        <v>0</v>
      </c>
      <c r="O885" t="s">
        <v>93</v>
      </c>
      <c r="P885" t="s">
        <v>93</v>
      </c>
      <c r="Q885">
        <v>0</v>
      </c>
      <c r="R885" t="s">
        <v>95</v>
      </c>
      <c r="S885">
        <v>-33.606674329999997</v>
      </c>
      <c r="T885">
        <f t="shared" si="120"/>
        <v>-29.205494000592683</v>
      </c>
      <c r="U885" t="s">
        <v>95</v>
      </c>
      <c r="V885">
        <v>31084</v>
      </c>
      <c r="W885" t="s">
        <v>339</v>
      </c>
      <c r="X885">
        <v>298</v>
      </c>
      <c r="Y885" t="s">
        <v>1403</v>
      </c>
      <c r="Z885">
        <v>-73.099999999999994</v>
      </c>
      <c r="AA885" t="s">
        <v>95</v>
      </c>
      <c r="AB885">
        <f t="shared" si="121"/>
        <v>-63.526714678147243</v>
      </c>
      <c r="AC885" t="s">
        <v>93</v>
      </c>
      <c r="AD885">
        <v>3.1</v>
      </c>
      <c r="AE885" t="s">
        <v>95</v>
      </c>
      <c r="AF885" t="s">
        <v>93</v>
      </c>
      <c r="AH885" t="s">
        <v>93</v>
      </c>
      <c r="AI885" t="s">
        <v>93</v>
      </c>
      <c r="BK885">
        <v>0.625</v>
      </c>
      <c r="CF885">
        <v>0.375</v>
      </c>
      <c r="CR885">
        <f t="shared" si="122"/>
        <v>0</v>
      </c>
      <c r="CS885">
        <f t="shared" si="123"/>
        <v>-29.205494000592683</v>
      </c>
      <c r="CT885">
        <f t="shared" si="124"/>
        <v>-63.526714678147243</v>
      </c>
      <c r="CU885" s="7">
        <f t="shared" si="125"/>
        <v>-46.366104339369961</v>
      </c>
      <c r="CV885" s="9">
        <f t="shared" si="126"/>
        <v>1150.6969999999999</v>
      </c>
      <c r="CW885" t="str">
        <f t="shared" si="127"/>
        <v>Tb5Sn3</v>
      </c>
    </row>
    <row r="886" spans="1:101" ht="15.75" thickBot="1" x14ac:dyDescent="0.3">
      <c r="A886" t="s">
        <v>91</v>
      </c>
      <c r="B886" t="s">
        <v>2962</v>
      </c>
      <c r="C886" t="s">
        <v>3144</v>
      </c>
      <c r="E886" t="s">
        <v>3145</v>
      </c>
      <c r="F886" t="s">
        <v>93</v>
      </c>
      <c r="G886" t="s">
        <v>2963</v>
      </c>
      <c r="H886">
        <v>1407.85</v>
      </c>
      <c r="I886">
        <v>1239</v>
      </c>
      <c r="M886">
        <f t="shared" si="119"/>
        <v>0</v>
      </c>
      <c r="O886" t="s">
        <v>93</v>
      </c>
      <c r="P886" t="s">
        <v>93</v>
      </c>
      <c r="Q886">
        <v>0</v>
      </c>
      <c r="R886" t="s">
        <v>95</v>
      </c>
      <c r="S886">
        <v>-53.300913370000004</v>
      </c>
      <c r="T886">
        <f t="shared" si="120"/>
        <v>-37.859795695564159</v>
      </c>
      <c r="U886" t="s">
        <v>95</v>
      </c>
      <c r="V886">
        <v>30399</v>
      </c>
      <c r="W886" t="s">
        <v>339</v>
      </c>
      <c r="X886">
        <v>298</v>
      </c>
      <c r="Y886" t="s">
        <v>1403</v>
      </c>
      <c r="Z886">
        <v>-77</v>
      </c>
      <c r="AA886" t="s">
        <v>95</v>
      </c>
      <c r="AB886">
        <f t="shared" si="121"/>
        <v>-54.693326703839183</v>
      </c>
      <c r="AC886" t="s">
        <v>93</v>
      </c>
      <c r="AD886">
        <v>4.0999999999999996</v>
      </c>
      <c r="AE886" t="s">
        <v>95</v>
      </c>
      <c r="AF886" t="s">
        <v>93</v>
      </c>
      <c r="AH886" t="s">
        <v>93</v>
      </c>
      <c r="AI886" t="s">
        <v>93</v>
      </c>
      <c r="BI886">
        <v>0.625</v>
      </c>
      <c r="CO886">
        <v>0.375</v>
      </c>
      <c r="CR886">
        <f t="shared" si="122"/>
        <v>0</v>
      </c>
      <c r="CS886">
        <f t="shared" si="123"/>
        <v>-37.859795695564159</v>
      </c>
      <c r="CT886">
        <f t="shared" si="124"/>
        <v>-54.693326703839183</v>
      </c>
      <c r="CU886" s="7">
        <f t="shared" si="125"/>
        <v>-46.276561199701675</v>
      </c>
      <c r="CV886" s="9">
        <f t="shared" si="126"/>
        <v>1407.85</v>
      </c>
      <c r="CW886" t="str">
        <f t="shared" si="127"/>
        <v>Gd5Pb3</v>
      </c>
    </row>
    <row r="887" spans="1:101" ht="15.75" thickBot="1" x14ac:dyDescent="0.3">
      <c r="A887" t="s">
        <v>91</v>
      </c>
      <c r="B887" t="s">
        <v>2041</v>
      </c>
      <c r="C887" t="s">
        <v>3144</v>
      </c>
      <c r="E887" t="s">
        <v>3145</v>
      </c>
      <c r="G887" t="s">
        <v>2042</v>
      </c>
      <c r="H887">
        <v>879.08600000000001</v>
      </c>
      <c r="I887">
        <v>807</v>
      </c>
      <c r="J887">
        <v>0</v>
      </c>
      <c r="K887" t="s">
        <v>95</v>
      </c>
      <c r="L887">
        <v>-40.69034207</v>
      </c>
      <c r="M887">
        <f t="shared" si="119"/>
        <v>-46.287100545339136</v>
      </c>
      <c r="N887" t="s">
        <v>95</v>
      </c>
      <c r="O887" t="s">
        <v>2043</v>
      </c>
      <c r="P887" t="s">
        <v>93</v>
      </c>
      <c r="Q887">
        <v>0</v>
      </c>
      <c r="R887" t="s">
        <v>95</v>
      </c>
      <c r="S887">
        <v>-40.398071309999999</v>
      </c>
      <c r="T887">
        <f t="shared" si="120"/>
        <v>-45.954629365045058</v>
      </c>
      <c r="U887" t="s">
        <v>95</v>
      </c>
      <c r="V887">
        <v>31356</v>
      </c>
      <c r="W887" t="s">
        <v>2044</v>
      </c>
      <c r="X887">
        <v>1173</v>
      </c>
      <c r="Y887" t="s">
        <v>359</v>
      </c>
      <c r="AB887">
        <f t="shared" si="121"/>
        <v>0</v>
      </c>
      <c r="AC887" t="s">
        <v>93</v>
      </c>
      <c r="AD887">
        <v>2.5</v>
      </c>
      <c r="AE887" t="s">
        <v>95</v>
      </c>
      <c r="AF887" t="s">
        <v>93</v>
      </c>
      <c r="AP887">
        <v>0.2</v>
      </c>
      <c r="BC887">
        <v>0.8</v>
      </c>
      <c r="CG887">
        <v>-38</v>
      </c>
      <c r="CH887" t="s">
        <v>95</v>
      </c>
      <c r="CI887" t="s">
        <v>93</v>
      </c>
      <c r="CR887">
        <f t="shared" si="122"/>
        <v>-46.287100545339136</v>
      </c>
      <c r="CS887">
        <f t="shared" si="123"/>
        <v>-45.954629365045058</v>
      </c>
      <c r="CT887">
        <f t="shared" si="124"/>
        <v>0</v>
      </c>
      <c r="CU887" s="7">
        <f t="shared" si="125"/>
        <v>-46.120864955192097</v>
      </c>
      <c r="CV887" s="9">
        <f t="shared" si="126"/>
        <v>879.08600000000001</v>
      </c>
      <c r="CW887" t="str">
        <f t="shared" si="127"/>
        <v>ZrAu4</v>
      </c>
    </row>
    <row r="888" spans="1:101" ht="15.75" thickBot="1" x14ac:dyDescent="0.3">
      <c r="A888" t="s">
        <v>91</v>
      </c>
      <c r="B888" t="s">
        <v>814</v>
      </c>
      <c r="C888" t="s">
        <v>3144</v>
      </c>
      <c r="E888" t="s">
        <v>3145</v>
      </c>
      <c r="F888" t="s">
        <v>93</v>
      </c>
      <c r="G888" t="s">
        <v>815</v>
      </c>
      <c r="H888">
        <v>1297.8599999999999</v>
      </c>
      <c r="I888">
        <v>326</v>
      </c>
      <c r="J888">
        <v>0</v>
      </c>
      <c r="K888" t="s">
        <v>95</v>
      </c>
      <c r="L888">
        <v>-59.4861784</v>
      </c>
      <c r="M888">
        <f t="shared" si="119"/>
        <v>-45.83404866472501</v>
      </c>
      <c r="N888" t="s">
        <v>95</v>
      </c>
      <c r="O888" t="s">
        <v>816</v>
      </c>
      <c r="P888" t="s">
        <v>93</v>
      </c>
      <c r="T888">
        <f t="shared" si="120"/>
        <v>0</v>
      </c>
      <c r="V888" t="s">
        <v>93</v>
      </c>
      <c r="W888" t="s">
        <v>817</v>
      </c>
      <c r="X888">
        <v>298</v>
      </c>
      <c r="Y888" t="s">
        <v>818</v>
      </c>
      <c r="Z888">
        <v>-59.7</v>
      </c>
      <c r="AA888" t="s">
        <v>95</v>
      </c>
      <c r="AB888">
        <f t="shared" si="121"/>
        <v>-45.99879802135824</v>
      </c>
      <c r="AC888" t="s">
        <v>93</v>
      </c>
      <c r="AD888">
        <v>2.7</v>
      </c>
      <c r="AE888" t="s">
        <v>95</v>
      </c>
      <c r="AF888" t="s">
        <v>93</v>
      </c>
      <c r="AJ888" t="s">
        <v>93</v>
      </c>
      <c r="AK888" t="s">
        <v>93</v>
      </c>
      <c r="AO888">
        <v>0.625</v>
      </c>
      <c r="BB888">
        <v>0.375</v>
      </c>
      <c r="CR888">
        <f t="shared" si="122"/>
        <v>-45.83404866472501</v>
      </c>
      <c r="CS888">
        <f t="shared" si="123"/>
        <v>0</v>
      </c>
      <c r="CT888">
        <f t="shared" si="124"/>
        <v>-45.99879802135824</v>
      </c>
      <c r="CU888" s="7">
        <f t="shared" si="125"/>
        <v>-45.916423343041629</v>
      </c>
      <c r="CV888" s="9">
        <f t="shared" si="126"/>
        <v>1297.8599999999999</v>
      </c>
      <c r="CW888" t="str">
        <f t="shared" si="127"/>
        <v>Nd5Ir3</v>
      </c>
    </row>
    <row r="889" spans="1:101" ht="15.75" thickBot="1" x14ac:dyDescent="0.3">
      <c r="A889" t="s">
        <v>91</v>
      </c>
      <c r="B889" t="s">
        <v>132</v>
      </c>
      <c r="C889" t="s">
        <v>3144</v>
      </c>
      <c r="E889" t="s">
        <v>3145</v>
      </c>
      <c r="F889" t="s">
        <v>93</v>
      </c>
      <c r="G889" t="s">
        <v>133</v>
      </c>
      <c r="H889">
        <v>199.08799999999999</v>
      </c>
      <c r="I889">
        <v>13</v>
      </c>
      <c r="J889">
        <v>0</v>
      </c>
      <c r="K889" t="s">
        <v>95</v>
      </c>
      <c r="L889">
        <v>-11.86472421</v>
      </c>
      <c r="M889">
        <f t="shared" si="119"/>
        <v>-59.595375964397654</v>
      </c>
      <c r="N889" t="s">
        <v>95</v>
      </c>
      <c r="O889" t="s">
        <v>134</v>
      </c>
      <c r="P889" t="s">
        <v>121</v>
      </c>
      <c r="Q889">
        <v>0</v>
      </c>
      <c r="R889" t="s">
        <v>95</v>
      </c>
      <c r="S889">
        <v>-12.06653932</v>
      </c>
      <c r="T889">
        <f t="shared" si="120"/>
        <v>-60.609073977336656</v>
      </c>
      <c r="U889" t="s">
        <v>95</v>
      </c>
      <c r="V889">
        <v>10690</v>
      </c>
      <c r="W889" t="s">
        <v>135</v>
      </c>
      <c r="X889">
        <v>298</v>
      </c>
      <c r="Y889" t="s">
        <v>136</v>
      </c>
      <c r="Z889">
        <v>-3.12</v>
      </c>
      <c r="AA889" t="s">
        <v>95</v>
      </c>
      <c r="AB889">
        <f t="shared" si="121"/>
        <v>-15.671461866109459</v>
      </c>
      <c r="AC889" t="s">
        <v>93</v>
      </c>
      <c r="AD889">
        <v>3.13</v>
      </c>
      <c r="AE889" t="s">
        <v>95</v>
      </c>
      <c r="AF889" t="s">
        <v>93</v>
      </c>
      <c r="AP889">
        <v>0.5</v>
      </c>
      <c r="CR889">
        <f t="shared" si="122"/>
        <v>-59.595375964397654</v>
      </c>
      <c r="CS889">
        <f t="shared" si="123"/>
        <v>-60.609073977336656</v>
      </c>
      <c r="CT889">
        <f t="shared" si="124"/>
        <v>-15.671461866109459</v>
      </c>
      <c r="CU889" s="7">
        <f t="shared" si="125"/>
        <v>-45.29197060261459</v>
      </c>
      <c r="CV889" s="9">
        <f t="shared" si="126"/>
        <v>199.08799999999999</v>
      </c>
      <c r="CW889" t="str">
        <f t="shared" si="127"/>
        <v>ZrAg</v>
      </c>
    </row>
    <row r="890" spans="1:101" ht="15.75" thickBot="1" x14ac:dyDescent="0.3">
      <c r="A890" t="s">
        <v>91</v>
      </c>
      <c r="B890" t="s">
        <v>2417</v>
      </c>
      <c r="C890" t="s">
        <v>3144</v>
      </c>
      <c r="E890" t="s">
        <v>3145</v>
      </c>
      <c r="F890" t="s">
        <v>93</v>
      </c>
      <c r="G890" t="s">
        <v>2418</v>
      </c>
      <c r="H890">
        <v>291.49439999999998</v>
      </c>
      <c r="I890">
        <v>982</v>
      </c>
      <c r="J890">
        <v>0</v>
      </c>
      <c r="K890" t="s">
        <v>95</v>
      </c>
      <c r="L890">
        <v>-10.07476539</v>
      </c>
      <c r="M890">
        <f t="shared" si="119"/>
        <v>-34.56246634583718</v>
      </c>
      <c r="N890" t="s">
        <v>95</v>
      </c>
      <c r="O890" t="s">
        <v>2419</v>
      </c>
      <c r="P890" t="s">
        <v>93</v>
      </c>
      <c r="Q890">
        <v>0</v>
      </c>
      <c r="R890" t="s">
        <v>95</v>
      </c>
      <c r="S890">
        <v>-13.410024180000001</v>
      </c>
      <c r="T890">
        <f t="shared" si="120"/>
        <v>-46.004397271439871</v>
      </c>
      <c r="U890" t="s">
        <v>95</v>
      </c>
      <c r="V890">
        <v>29396</v>
      </c>
      <c r="W890" t="s">
        <v>184</v>
      </c>
      <c r="X890">
        <v>298</v>
      </c>
      <c r="Y890" t="s">
        <v>185</v>
      </c>
      <c r="Z890">
        <v>-15.6</v>
      </c>
      <c r="AA890" t="s">
        <v>95</v>
      </c>
      <c r="AB890">
        <f t="shared" si="121"/>
        <v>-53.517323145830595</v>
      </c>
      <c r="AC890" t="s">
        <v>93</v>
      </c>
      <c r="AD890">
        <v>2.8</v>
      </c>
      <c r="AE890" t="s">
        <v>95</v>
      </c>
      <c r="AF890" t="s">
        <v>93</v>
      </c>
      <c r="AW890">
        <v>0.5</v>
      </c>
      <c r="BR890">
        <v>0.25</v>
      </c>
      <c r="CF890">
        <v>0.25</v>
      </c>
      <c r="CR890">
        <f t="shared" si="122"/>
        <v>-34.56246634583718</v>
      </c>
      <c r="CS890">
        <f t="shared" si="123"/>
        <v>-46.004397271439871</v>
      </c>
      <c r="CT890">
        <f t="shared" si="124"/>
        <v>-53.517323145830595</v>
      </c>
      <c r="CU890" s="7">
        <f t="shared" si="125"/>
        <v>-44.694728921035882</v>
      </c>
      <c r="CV890" s="9">
        <f t="shared" si="126"/>
        <v>291.49439999999998</v>
      </c>
      <c r="CW890" t="str">
        <f t="shared" si="127"/>
        <v>MnCo2Sn</v>
      </c>
    </row>
    <row r="891" spans="1:101" ht="15.75" thickBot="1" x14ac:dyDescent="0.3">
      <c r="A891" t="s">
        <v>91</v>
      </c>
      <c r="B891" t="s">
        <v>1431</v>
      </c>
      <c r="C891" t="s">
        <v>3144</v>
      </c>
      <c r="E891" t="s">
        <v>3145</v>
      </c>
      <c r="F891" t="s">
        <v>93</v>
      </c>
      <c r="G891" t="s">
        <v>1432</v>
      </c>
      <c r="H891">
        <v>673.69200000000001</v>
      </c>
      <c r="I891">
        <v>551</v>
      </c>
      <c r="J891">
        <v>0.81038138999999998</v>
      </c>
      <c r="K891" t="s">
        <v>95</v>
      </c>
      <c r="L891">
        <v>-31.032238700000001</v>
      </c>
      <c r="M891">
        <f t="shared" si="119"/>
        <v>-46.06294671749108</v>
      </c>
      <c r="N891" t="s">
        <v>95</v>
      </c>
      <c r="O891" t="s">
        <v>1433</v>
      </c>
      <c r="P891" t="s">
        <v>93</v>
      </c>
      <c r="Q891">
        <v>0.50069821000000003</v>
      </c>
      <c r="R891" t="s">
        <v>95</v>
      </c>
      <c r="S891">
        <v>-32.471181970000004</v>
      </c>
      <c r="T891">
        <f t="shared" si="120"/>
        <v>-48.198853437475883</v>
      </c>
      <c r="U891" t="s">
        <v>95</v>
      </c>
      <c r="V891">
        <v>30301</v>
      </c>
      <c r="W891" t="s">
        <v>1362</v>
      </c>
      <c r="X891">
        <v>298</v>
      </c>
      <c r="Y891" t="s">
        <v>480</v>
      </c>
      <c r="Z891">
        <v>-26.5</v>
      </c>
      <c r="AA891" t="s">
        <v>95</v>
      </c>
      <c r="AB891">
        <f t="shared" si="121"/>
        <v>-39.335482683481473</v>
      </c>
      <c r="AC891" t="s">
        <v>93</v>
      </c>
      <c r="AD891">
        <v>1.7</v>
      </c>
      <c r="AE891" t="s">
        <v>95</v>
      </c>
      <c r="AF891" t="s">
        <v>93</v>
      </c>
      <c r="AU891">
        <v>0.625</v>
      </c>
      <c r="BY891">
        <v>0.375</v>
      </c>
      <c r="CR891">
        <f t="shared" si="122"/>
        <v>-46.06294671749108</v>
      </c>
      <c r="CS891">
        <f t="shared" si="123"/>
        <v>-48.198853437475883</v>
      </c>
      <c r="CT891">
        <f t="shared" si="124"/>
        <v>-39.335482683481473</v>
      </c>
      <c r="CU891" s="7">
        <f t="shared" si="125"/>
        <v>-44.53242761281615</v>
      </c>
      <c r="CV891" s="9">
        <f t="shared" si="126"/>
        <v>673.69200000000001</v>
      </c>
      <c r="CW891" t="str">
        <f t="shared" si="127"/>
        <v>Nb5Ga3</v>
      </c>
    </row>
    <row r="892" spans="1:101" ht="15.75" thickBot="1" x14ac:dyDescent="0.3">
      <c r="A892" t="s">
        <v>91</v>
      </c>
      <c r="B892" t="s">
        <v>528</v>
      </c>
      <c r="C892" t="s">
        <v>3144</v>
      </c>
      <c r="E892" t="s">
        <v>3145</v>
      </c>
      <c r="F892" t="s">
        <v>93</v>
      </c>
      <c r="G892" t="s">
        <v>529</v>
      </c>
      <c r="H892">
        <v>245.98599999999999</v>
      </c>
      <c r="I892">
        <v>214</v>
      </c>
      <c r="M892">
        <f t="shared" si="119"/>
        <v>0</v>
      </c>
      <c r="O892" t="s">
        <v>93</v>
      </c>
      <c r="P892" t="s">
        <v>93</v>
      </c>
      <c r="T892">
        <f t="shared" si="120"/>
        <v>0</v>
      </c>
      <c r="V892" t="s">
        <v>93</v>
      </c>
      <c r="W892" t="s">
        <v>93</v>
      </c>
      <c r="X892">
        <v>298</v>
      </c>
      <c r="Y892" t="s">
        <v>93</v>
      </c>
      <c r="Z892">
        <v>-10.95</v>
      </c>
      <c r="AA892" t="s">
        <v>95</v>
      </c>
      <c r="AB892">
        <f t="shared" si="121"/>
        <v>-44.514728480482631</v>
      </c>
      <c r="AC892" t="s">
        <v>93</v>
      </c>
      <c r="AD892">
        <v>0.69</v>
      </c>
      <c r="AE892" t="s">
        <v>95</v>
      </c>
      <c r="AF892" t="s">
        <v>93</v>
      </c>
      <c r="AH892" t="s">
        <v>93</v>
      </c>
      <c r="AI892" t="s">
        <v>93</v>
      </c>
      <c r="AJ892" t="s">
        <v>93</v>
      </c>
      <c r="AK892" t="s">
        <v>93</v>
      </c>
      <c r="AP892">
        <v>0.66</v>
      </c>
      <c r="AX892">
        <v>0.33</v>
      </c>
      <c r="CR892">
        <f t="shared" si="122"/>
        <v>0</v>
      </c>
      <c r="CS892">
        <f t="shared" si="123"/>
        <v>0</v>
      </c>
      <c r="CT892">
        <f t="shared" si="124"/>
        <v>-44.514728480482631</v>
      </c>
      <c r="CU892" s="7">
        <f t="shared" si="125"/>
        <v>-44.514728480482631</v>
      </c>
      <c r="CV892" s="9">
        <f t="shared" si="126"/>
        <v>245.98599999999999</v>
      </c>
      <c r="CW892" t="str">
        <f t="shared" si="127"/>
        <v>CuZr2</v>
      </c>
    </row>
    <row r="893" spans="1:101" ht="15.75" thickBot="1" x14ac:dyDescent="0.3">
      <c r="A893" t="s">
        <v>91</v>
      </c>
      <c r="B893" t="s">
        <v>93</v>
      </c>
      <c r="C893" t="s">
        <v>3144</v>
      </c>
      <c r="E893" t="s">
        <v>3145</v>
      </c>
      <c r="F893" t="s">
        <v>93</v>
      </c>
      <c r="G893" t="s">
        <v>2117</v>
      </c>
      <c r="H893">
        <v>271.5145</v>
      </c>
      <c r="I893">
        <v>842</v>
      </c>
      <c r="J893">
        <v>0</v>
      </c>
      <c r="K893" t="s">
        <v>95</v>
      </c>
      <c r="L893">
        <v>-6.5310554200000004</v>
      </c>
      <c r="M893">
        <f t="shared" si="119"/>
        <v>-24.054168083104219</v>
      </c>
      <c r="N893" t="s">
        <v>95</v>
      </c>
      <c r="O893" t="s">
        <v>2118</v>
      </c>
      <c r="P893" t="s">
        <v>93</v>
      </c>
      <c r="Q893">
        <v>0</v>
      </c>
      <c r="R893" t="s">
        <v>95</v>
      </c>
      <c r="S893">
        <v>-7.6668718800000004</v>
      </c>
      <c r="T893">
        <f t="shared" si="120"/>
        <v>-28.237430708120563</v>
      </c>
      <c r="U893" t="s">
        <v>95</v>
      </c>
      <c r="V893">
        <v>18133</v>
      </c>
      <c r="W893" t="s">
        <v>391</v>
      </c>
      <c r="X893">
        <v>298</v>
      </c>
      <c r="Y893" t="s">
        <v>392</v>
      </c>
      <c r="Z893">
        <v>-21.7</v>
      </c>
      <c r="AA893" t="s">
        <v>95</v>
      </c>
      <c r="AB893">
        <f t="shared" si="121"/>
        <v>-79.922066777280776</v>
      </c>
      <c r="AC893" t="s">
        <v>93</v>
      </c>
      <c r="AD893">
        <v>1.4</v>
      </c>
      <c r="AE893" t="s">
        <v>95</v>
      </c>
      <c r="AF893" t="s">
        <v>93</v>
      </c>
      <c r="BD893">
        <v>0.75</v>
      </c>
      <c r="CF893">
        <v>0.25</v>
      </c>
      <c r="CR893">
        <f t="shared" si="122"/>
        <v>-24.054168083104219</v>
      </c>
      <c r="CS893">
        <f t="shared" si="123"/>
        <v>-28.237430708120563</v>
      </c>
      <c r="CT893">
        <f t="shared" si="124"/>
        <v>-79.922066777280776</v>
      </c>
      <c r="CU893" s="7">
        <f t="shared" si="125"/>
        <v>-44.071221856168528</v>
      </c>
      <c r="CV893" s="9">
        <f t="shared" si="126"/>
        <v>271.5145</v>
      </c>
      <c r="CW893" t="str">
        <f t="shared" si="127"/>
        <v>V3Sn</v>
      </c>
    </row>
    <row r="894" spans="1:101" ht="15.75" thickBot="1" x14ac:dyDescent="0.3">
      <c r="A894" t="s">
        <v>484</v>
      </c>
      <c r="B894" t="s">
        <v>93</v>
      </c>
      <c r="C894" t="s">
        <v>3138</v>
      </c>
      <c r="D894" t="s">
        <v>3139</v>
      </c>
      <c r="F894" t="s">
        <v>3140</v>
      </c>
      <c r="G894" t="s">
        <v>568</v>
      </c>
      <c r="H894">
        <v>460.76</v>
      </c>
      <c r="I894">
        <v>945</v>
      </c>
      <c r="M894">
        <f t="shared" si="119"/>
        <v>0</v>
      </c>
      <c r="O894" t="s">
        <v>93</v>
      </c>
      <c r="P894" t="s">
        <v>93</v>
      </c>
      <c r="T894">
        <f t="shared" si="120"/>
        <v>0</v>
      </c>
      <c r="V894" t="s">
        <v>93</v>
      </c>
      <c r="W894" t="s">
        <v>172</v>
      </c>
      <c r="X894">
        <v>298</v>
      </c>
      <c r="Y894" t="s">
        <v>170</v>
      </c>
      <c r="Z894">
        <v>-20.2</v>
      </c>
      <c r="AA894" t="s">
        <v>95</v>
      </c>
      <c r="AB894">
        <f t="shared" si="121"/>
        <v>-43.840611164163555</v>
      </c>
      <c r="AC894" t="s">
        <v>93</v>
      </c>
      <c r="AD894">
        <v>0.5</v>
      </c>
      <c r="AE894" t="s">
        <v>95</v>
      </c>
      <c r="AF894" t="s">
        <v>93</v>
      </c>
      <c r="AH894" t="s">
        <v>93</v>
      </c>
      <c r="AI894" t="s">
        <v>93</v>
      </c>
      <c r="AJ894" t="s">
        <v>93</v>
      </c>
      <c r="AK894" t="s">
        <v>93</v>
      </c>
      <c r="AS894">
        <v>0.85199999999999998</v>
      </c>
      <c r="BH894">
        <v>0.14799999999999999</v>
      </c>
      <c r="CR894">
        <f t="shared" si="122"/>
        <v>0</v>
      </c>
      <c r="CS894">
        <f t="shared" si="123"/>
        <v>0</v>
      </c>
      <c r="CT894">
        <f t="shared" si="124"/>
        <v>-43.840611164163555</v>
      </c>
      <c r="CU894" s="7">
        <f t="shared" si="125"/>
        <v>-43.840611164163555</v>
      </c>
      <c r="CV894" s="9">
        <f t="shared" si="126"/>
        <v>460.76</v>
      </c>
      <c r="CW894" t="str">
        <f t="shared" si="127"/>
        <v>ErNi5</v>
      </c>
    </row>
    <row r="895" spans="1:101" ht="15.75" thickBot="1" x14ac:dyDescent="0.3">
      <c r="A895" t="s">
        <v>91</v>
      </c>
      <c r="B895" t="s">
        <v>1089</v>
      </c>
      <c r="C895" t="s">
        <v>3144</v>
      </c>
      <c r="E895" t="s">
        <v>3145</v>
      </c>
      <c r="F895" t="s">
        <v>93</v>
      </c>
      <c r="G895" t="s">
        <v>1090</v>
      </c>
      <c r="H895">
        <v>388.87734</v>
      </c>
      <c r="I895">
        <v>432</v>
      </c>
      <c r="J895">
        <v>6.8647626600000002</v>
      </c>
      <c r="K895" t="s">
        <v>95</v>
      </c>
      <c r="L895">
        <v>-6.74285406</v>
      </c>
      <c r="M895">
        <f t="shared" si="119"/>
        <v>-17.339282510006882</v>
      </c>
      <c r="N895" t="s">
        <v>95</v>
      </c>
      <c r="O895" t="s">
        <v>1091</v>
      </c>
      <c r="P895" t="s">
        <v>93</v>
      </c>
      <c r="Q895">
        <v>0</v>
      </c>
      <c r="R895" t="s">
        <v>95</v>
      </c>
      <c r="S895">
        <v>-24.182445640000001</v>
      </c>
      <c r="T895">
        <f t="shared" si="120"/>
        <v>-62.185278370809677</v>
      </c>
      <c r="U895" t="s">
        <v>95</v>
      </c>
      <c r="V895">
        <v>658981</v>
      </c>
      <c r="W895" t="s">
        <v>1092</v>
      </c>
      <c r="X895">
        <v>298</v>
      </c>
      <c r="Y895" t="s">
        <v>1093</v>
      </c>
      <c r="Z895">
        <v>-19.899999999999999</v>
      </c>
      <c r="AA895" t="s">
        <v>95</v>
      </c>
      <c r="AB895">
        <f t="shared" si="121"/>
        <v>-51.172948261783517</v>
      </c>
      <c r="AC895" t="s">
        <v>93</v>
      </c>
      <c r="AD895">
        <v>1.6</v>
      </c>
      <c r="AE895" t="s">
        <v>95</v>
      </c>
      <c r="AF895" t="s">
        <v>93</v>
      </c>
      <c r="AR895">
        <v>0.33</v>
      </c>
      <c r="BE895">
        <v>0.66</v>
      </c>
      <c r="CR895">
        <f t="shared" si="122"/>
        <v>-17.339282510006882</v>
      </c>
      <c r="CS895">
        <f t="shared" si="123"/>
        <v>-62.185278370809677</v>
      </c>
      <c r="CT895">
        <f t="shared" si="124"/>
        <v>-51.172948261783517</v>
      </c>
      <c r="CU895" s="7">
        <f t="shared" si="125"/>
        <v>-43.565836380866692</v>
      </c>
      <c r="CV895" s="9">
        <f t="shared" si="126"/>
        <v>388.87734</v>
      </c>
      <c r="CW895" t="str">
        <f t="shared" si="127"/>
        <v>Ta2Al</v>
      </c>
    </row>
    <row r="896" spans="1:101" ht="15.75" thickBot="1" x14ac:dyDescent="0.3">
      <c r="A896" t="s">
        <v>91</v>
      </c>
      <c r="B896" t="s">
        <v>1419</v>
      </c>
      <c r="C896" t="s">
        <v>3144</v>
      </c>
      <c r="E896" t="s">
        <v>3145</v>
      </c>
      <c r="F896" t="s">
        <v>93</v>
      </c>
      <c r="G896" t="s">
        <v>1420</v>
      </c>
      <c r="H896">
        <v>357.539999999999</v>
      </c>
      <c r="I896">
        <v>547</v>
      </c>
      <c r="J896">
        <v>0</v>
      </c>
      <c r="K896" t="s">
        <v>95</v>
      </c>
      <c r="L896">
        <v>-14.58194072</v>
      </c>
      <c r="M896">
        <f t="shared" si="119"/>
        <v>-40.784082116686356</v>
      </c>
      <c r="N896" t="s">
        <v>95</v>
      </c>
      <c r="O896" t="s">
        <v>1421</v>
      </c>
      <c r="P896" t="s">
        <v>93</v>
      </c>
      <c r="Q896">
        <v>0</v>
      </c>
      <c r="R896" t="s">
        <v>95</v>
      </c>
      <c r="S896">
        <v>-15.11990763</v>
      </c>
      <c r="T896">
        <f t="shared" si="120"/>
        <v>-42.288716311461769</v>
      </c>
      <c r="U896" t="s">
        <v>95</v>
      </c>
      <c r="V896">
        <v>30299</v>
      </c>
      <c r="W896" t="s">
        <v>391</v>
      </c>
      <c r="X896">
        <v>298</v>
      </c>
      <c r="Y896" t="s">
        <v>392</v>
      </c>
      <c r="Z896">
        <v>-16.600000000000001</v>
      </c>
      <c r="AA896" t="s">
        <v>95</v>
      </c>
      <c r="AB896">
        <f t="shared" si="121"/>
        <v>-46.428371650724529</v>
      </c>
      <c r="AC896" t="s">
        <v>93</v>
      </c>
      <c r="AD896">
        <v>2.5</v>
      </c>
      <c r="AE896" t="s">
        <v>95</v>
      </c>
      <c r="AF896" t="s">
        <v>93</v>
      </c>
      <c r="BS896">
        <v>0.75</v>
      </c>
      <c r="BY896">
        <v>0.25</v>
      </c>
      <c r="CR896">
        <f t="shared" si="122"/>
        <v>-40.784082116686356</v>
      </c>
      <c r="CS896">
        <f t="shared" si="123"/>
        <v>-42.288716311461769</v>
      </c>
      <c r="CT896">
        <f t="shared" si="124"/>
        <v>-46.428371650724529</v>
      </c>
      <c r="CU896" s="7">
        <f t="shared" si="125"/>
        <v>-43.167056692957551</v>
      </c>
      <c r="CV896" s="9">
        <f t="shared" si="126"/>
        <v>357.539999999999</v>
      </c>
      <c r="CW896" t="str">
        <f t="shared" si="127"/>
        <v>GaMo3</v>
      </c>
    </row>
    <row r="897" spans="1:101" ht="15.75" thickBot="1" x14ac:dyDescent="0.3">
      <c r="A897" t="s">
        <v>91</v>
      </c>
      <c r="B897" t="s">
        <v>2972</v>
      </c>
      <c r="C897" t="s">
        <v>3144</v>
      </c>
      <c r="E897" t="s">
        <v>3145</v>
      </c>
      <c r="F897" t="s">
        <v>93</v>
      </c>
      <c r="G897" t="s">
        <v>2973</v>
      </c>
      <c r="H897">
        <v>1457.8999999999901</v>
      </c>
      <c r="I897">
        <v>1243</v>
      </c>
      <c r="M897">
        <f t="shared" si="119"/>
        <v>0</v>
      </c>
      <c r="O897" t="s">
        <v>93</v>
      </c>
      <c r="P897" t="s">
        <v>93</v>
      </c>
      <c r="Q897">
        <v>0</v>
      </c>
      <c r="R897" t="s">
        <v>95</v>
      </c>
      <c r="S897">
        <v>-50.010618170000001</v>
      </c>
      <c r="T897">
        <f t="shared" si="120"/>
        <v>-34.303188263941514</v>
      </c>
      <c r="U897" t="s">
        <v>95</v>
      </c>
      <c r="V897">
        <v>30023</v>
      </c>
      <c r="W897" t="s">
        <v>339</v>
      </c>
      <c r="X897">
        <v>298</v>
      </c>
      <c r="Y897" t="s">
        <v>1403</v>
      </c>
      <c r="Z897">
        <v>-75.2</v>
      </c>
      <c r="AA897" t="s">
        <v>95</v>
      </c>
      <c r="AB897">
        <f t="shared" si="121"/>
        <v>-51.581041223678241</v>
      </c>
      <c r="AC897" t="s">
        <v>93</v>
      </c>
      <c r="AD897">
        <v>3.3</v>
      </c>
      <c r="AE897" t="s">
        <v>95</v>
      </c>
      <c r="AF897" t="s">
        <v>93</v>
      </c>
      <c r="AH897" t="s">
        <v>93</v>
      </c>
      <c r="AI897" t="s">
        <v>93</v>
      </c>
      <c r="BH897">
        <v>0.625</v>
      </c>
      <c r="CO897">
        <v>0.375</v>
      </c>
      <c r="CR897">
        <f t="shared" si="122"/>
        <v>0</v>
      </c>
      <c r="CS897">
        <f t="shared" si="123"/>
        <v>-34.303188263941514</v>
      </c>
      <c r="CT897">
        <f t="shared" si="124"/>
        <v>-51.581041223678241</v>
      </c>
      <c r="CU897" s="7">
        <f t="shared" si="125"/>
        <v>-42.942114743809881</v>
      </c>
      <c r="CV897" s="9">
        <f t="shared" si="126"/>
        <v>1457.8999999999901</v>
      </c>
      <c r="CW897" t="str">
        <f t="shared" si="127"/>
        <v>Er5Pb3</v>
      </c>
    </row>
    <row r="898" spans="1:101" ht="15.75" thickBot="1" x14ac:dyDescent="0.3">
      <c r="A898" t="s">
        <v>91</v>
      </c>
      <c r="B898" t="s">
        <v>2391</v>
      </c>
      <c r="C898" t="s">
        <v>3144</v>
      </c>
      <c r="E898" t="s">
        <v>3145</v>
      </c>
      <c r="F898" t="s">
        <v>93</v>
      </c>
      <c r="G898" t="s">
        <v>2392</v>
      </c>
      <c r="H898">
        <v>286.661</v>
      </c>
      <c r="I898">
        <v>969</v>
      </c>
      <c r="J898">
        <v>0</v>
      </c>
      <c r="K898" t="s">
        <v>95</v>
      </c>
      <c r="L898">
        <v>-16.878208069999999</v>
      </c>
      <c r="M898">
        <f t="shared" ref="M898:M961" si="128">(1000/H898)*L898</f>
        <v>-58.878633891600181</v>
      </c>
      <c r="N898" t="s">
        <v>95</v>
      </c>
      <c r="O898" t="s">
        <v>2393</v>
      </c>
      <c r="P898" t="s">
        <v>93</v>
      </c>
      <c r="Q898">
        <v>0</v>
      </c>
      <c r="R898" t="s">
        <v>95</v>
      </c>
      <c r="S898">
        <v>-16.41688551</v>
      </c>
      <c r="T898">
        <f t="shared" ref="T898:T961" si="129">(1000/H898)*S898</f>
        <v>-57.26933733573803</v>
      </c>
      <c r="U898" t="s">
        <v>95</v>
      </c>
      <c r="V898">
        <v>30221</v>
      </c>
      <c r="W898" t="s">
        <v>159</v>
      </c>
      <c r="X898">
        <v>298</v>
      </c>
      <c r="Y898" t="s">
        <v>160</v>
      </c>
      <c r="Z898">
        <v>-3.6</v>
      </c>
      <c r="AA898" t="s">
        <v>95</v>
      </c>
      <c r="AB898">
        <f t="shared" ref="AB898:AB961" si="130">(1000/H898)*Z898</f>
        <v>-12.558387782084065</v>
      </c>
      <c r="AC898" t="s">
        <v>93</v>
      </c>
      <c r="AD898">
        <v>3.2</v>
      </c>
      <c r="AE898" t="s">
        <v>95</v>
      </c>
      <c r="AF898" t="s">
        <v>93</v>
      </c>
      <c r="AT898">
        <v>0.66669999999999996</v>
      </c>
      <c r="BL898">
        <v>0.33329999999999999</v>
      </c>
      <c r="CR898">
        <f t="shared" ref="CR898:CR961" si="131">VALUE(M898)</f>
        <v>-58.878633891600181</v>
      </c>
      <c r="CS898">
        <f t="shared" ref="CS898:CS961" si="132">VALUE(T898)</f>
        <v>-57.26933733573803</v>
      </c>
      <c r="CT898">
        <f t="shared" ref="CT898:CT961" si="133">VALUE(AB898)</f>
        <v>-12.558387782084065</v>
      </c>
      <c r="CU898" s="7">
        <f t="shared" ref="CU898:CU961" si="134">SUM(CR898:CT898)/(COUNTIF(CR898:CT898,"&lt;&gt;0")-COUNTBLANK(CR898:CT898)-(COUNTA(CR898:CT898)-COUNT(CR898:CT898)))</f>
        <v>-42.902119669807426</v>
      </c>
      <c r="CV898" s="9">
        <f t="shared" si="126"/>
        <v>286.661</v>
      </c>
      <c r="CW898" t="str">
        <f t="shared" si="127"/>
        <v>Fe2Lu</v>
      </c>
    </row>
    <row r="899" spans="1:101" ht="15.75" thickBot="1" x14ac:dyDescent="0.3">
      <c r="A899" t="s">
        <v>91</v>
      </c>
      <c r="B899" t="s">
        <v>1916</v>
      </c>
      <c r="C899" t="s">
        <v>3144</v>
      </c>
      <c r="E899" t="s">
        <v>3145</v>
      </c>
      <c r="F899" t="s">
        <v>93</v>
      </c>
      <c r="G899" t="s">
        <v>1917</v>
      </c>
      <c r="H899">
        <v>482.52940000000001</v>
      </c>
      <c r="I899">
        <v>733</v>
      </c>
      <c r="M899">
        <f t="shared" si="128"/>
        <v>0</v>
      </c>
      <c r="O899" t="s">
        <v>93</v>
      </c>
      <c r="P899" t="s">
        <v>93</v>
      </c>
      <c r="T899">
        <f t="shared" si="129"/>
        <v>0</v>
      </c>
      <c r="V899" t="s">
        <v>93</v>
      </c>
      <c r="W899" t="s">
        <v>106</v>
      </c>
      <c r="X899">
        <v>298</v>
      </c>
      <c r="Y899" t="s">
        <v>107</v>
      </c>
      <c r="Z899">
        <v>-20.6</v>
      </c>
      <c r="AA899" t="s">
        <v>95</v>
      </c>
      <c r="AB899">
        <f t="shared" si="130"/>
        <v>-42.691699200090198</v>
      </c>
      <c r="AC899" t="s">
        <v>93</v>
      </c>
      <c r="AD899">
        <v>2</v>
      </c>
      <c r="AE899" t="s">
        <v>95</v>
      </c>
      <c r="AF899" t="s">
        <v>93</v>
      </c>
      <c r="AH899" t="s">
        <v>93</v>
      </c>
      <c r="AI899" t="s">
        <v>93</v>
      </c>
      <c r="AJ899" t="s">
        <v>93</v>
      </c>
      <c r="AK899" t="s">
        <v>93</v>
      </c>
      <c r="BK899">
        <v>0.25</v>
      </c>
      <c r="CR899">
        <f t="shared" si="131"/>
        <v>0</v>
      </c>
      <c r="CS899">
        <f t="shared" si="132"/>
        <v>0</v>
      </c>
      <c r="CT899">
        <f t="shared" si="133"/>
        <v>-42.691699200090198</v>
      </c>
      <c r="CU899" s="7">
        <f t="shared" si="134"/>
        <v>-42.691699200090198</v>
      </c>
      <c r="CV899" s="9">
        <f t="shared" ref="CV899:CV962" si="135">H899</f>
        <v>482.52940000000001</v>
      </c>
      <c r="CW899" t="str">
        <f t="shared" si="127"/>
        <v>Ag3Tb</v>
      </c>
    </row>
    <row r="900" spans="1:101" ht="15.75" thickBot="1" x14ac:dyDescent="0.3">
      <c r="A900" t="s">
        <v>91</v>
      </c>
      <c r="B900" t="s">
        <v>2974</v>
      </c>
      <c r="C900" t="s">
        <v>3144</v>
      </c>
      <c r="E900" t="s">
        <v>3145</v>
      </c>
      <c r="F900" t="s">
        <v>93</v>
      </c>
      <c r="G900" t="s">
        <v>2975</v>
      </c>
      <c r="H900">
        <v>1466.271</v>
      </c>
      <c r="I900">
        <v>1244</v>
      </c>
      <c r="M900">
        <f t="shared" si="128"/>
        <v>0</v>
      </c>
      <c r="O900" t="s">
        <v>93</v>
      </c>
      <c r="P900" t="s">
        <v>93</v>
      </c>
      <c r="Q900">
        <v>0</v>
      </c>
      <c r="R900" t="s">
        <v>95</v>
      </c>
      <c r="S900">
        <v>-48.159861169999999</v>
      </c>
      <c r="T900">
        <f t="shared" si="129"/>
        <v>-32.845129699762182</v>
      </c>
      <c r="U900" t="s">
        <v>95</v>
      </c>
      <c r="V900">
        <v>30928</v>
      </c>
      <c r="W900" t="s">
        <v>339</v>
      </c>
      <c r="X900">
        <v>298</v>
      </c>
      <c r="Y900" t="s">
        <v>1403</v>
      </c>
      <c r="Z900">
        <v>-76.599999999999994</v>
      </c>
      <c r="AA900" t="s">
        <v>95</v>
      </c>
      <c r="AB900">
        <f t="shared" si="130"/>
        <v>-52.241366023061218</v>
      </c>
      <c r="AC900" t="s">
        <v>93</v>
      </c>
      <c r="AD900">
        <v>3.4</v>
      </c>
      <c r="AE900" t="s">
        <v>95</v>
      </c>
      <c r="AF900" t="s">
        <v>93</v>
      </c>
      <c r="AH900" t="s">
        <v>93</v>
      </c>
      <c r="AI900" t="s">
        <v>93</v>
      </c>
      <c r="BO900">
        <v>0.625</v>
      </c>
      <c r="CO900">
        <v>0.375</v>
      </c>
      <c r="CR900">
        <f t="shared" si="131"/>
        <v>0</v>
      </c>
      <c r="CS900">
        <f t="shared" si="132"/>
        <v>-32.845129699762182</v>
      </c>
      <c r="CT900">
        <f t="shared" si="133"/>
        <v>-52.241366023061218</v>
      </c>
      <c r="CU900" s="7">
        <f t="shared" si="134"/>
        <v>-42.5432478614117</v>
      </c>
      <c r="CV900" s="9">
        <f t="shared" si="135"/>
        <v>1466.271</v>
      </c>
      <c r="CW900" t="str">
        <f t="shared" si="127"/>
        <v>Tm5Pb3</v>
      </c>
    </row>
    <row r="901" spans="1:101" ht="15.75" thickBot="1" x14ac:dyDescent="0.3">
      <c r="A901" t="s">
        <v>91</v>
      </c>
      <c r="B901" t="s">
        <v>1748</v>
      </c>
      <c r="C901" t="s">
        <v>3144</v>
      </c>
      <c r="E901" t="s">
        <v>3145</v>
      </c>
      <c r="F901" t="s">
        <v>93</v>
      </c>
      <c r="G901" t="s">
        <v>1749</v>
      </c>
      <c r="H901">
        <v>290.18400000000003</v>
      </c>
      <c r="I901">
        <v>668</v>
      </c>
      <c r="M901">
        <f t="shared" si="128"/>
        <v>0</v>
      </c>
      <c r="O901" t="s">
        <v>93</v>
      </c>
      <c r="P901" t="s">
        <v>1750</v>
      </c>
      <c r="T901">
        <f t="shared" si="129"/>
        <v>0</v>
      </c>
      <c r="V901" t="s">
        <v>93</v>
      </c>
      <c r="W901" t="s">
        <v>93</v>
      </c>
      <c r="X901">
        <v>298</v>
      </c>
      <c r="Y901" t="s">
        <v>93</v>
      </c>
      <c r="Z901">
        <v>-12.3</v>
      </c>
      <c r="AA901" t="s">
        <v>95</v>
      </c>
      <c r="AB901">
        <f t="shared" si="130"/>
        <v>-42.386899346621448</v>
      </c>
      <c r="AC901" t="s">
        <v>93</v>
      </c>
      <c r="AD901">
        <v>1.1000000000000001</v>
      </c>
      <c r="AE901" t="s">
        <v>95</v>
      </c>
      <c r="AF901" t="s">
        <v>93</v>
      </c>
      <c r="AH901" t="s">
        <v>93</v>
      </c>
      <c r="AI901" t="s">
        <v>93</v>
      </c>
      <c r="AJ901" t="s">
        <v>93</v>
      </c>
      <c r="AK901" t="s">
        <v>93</v>
      </c>
      <c r="AQ901">
        <v>0.33</v>
      </c>
      <c r="AT901">
        <v>0.66</v>
      </c>
      <c r="CR901">
        <f t="shared" si="131"/>
        <v>0</v>
      </c>
      <c r="CS901">
        <f t="shared" si="132"/>
        <v>0</v>
      </c>
      <c r="CT901">
        <f t="shared" si="133"/>
        <v>-42.386899346621448</v>
      </c>
      <c r="CU901" s="7">
        <f t="shared" si="134"/>
        <v>-42.386899346621448</v>
      </c>
      <c r="CV901" s="9">
        <f t="shared" si="135"/>
        <v>290.18400000000003</v>
      </c>
      <c r="CW901" t="str">
        <f t="shared" si="127"/>
        <v>HfFe2</v>
      </c>
    </row>
    <row r="902" spans="1:101" ht="15.75" thickBot="1" x14ac:dyDescent="0.3">
      <c r="A902" t="s">
        <v>91</v>
      </c>
      <c r="B902" t="s">
        <v>789</v>
      </c>
      <c r="C902" t="s">
        <v>3144</v>
      </c>
      <c r="E902" t="s">
        <v>3145</v>
      </c>
      <c r="F902" t="s">
        <v>93</v>
      </c>
      <c r="G902" t="s">
        <v>790</v>
      </c>
      <c r="H902">
        <v>346.38</v>
      </c>
      <c r="I902">
        <v>317</v>
      </c>
      <c r="J902">
        <v>0</v>
      </c>
      <c r="K902" t="s">
        <v>95</v>
      </c>
      <c r="L902">
        <v>-13.436436260000001</v>
      </c>
      <c r="M902">
        <f t="shared" si="128"/>
        <v>-38.791027946186276</v>
      </c>
      <c r="N902" t="s">
        <v>95</v>
      </c>
      <c r="O902" t="s">
        <v>791</v>
      </c>
      <c r="P902" t="s">
        <v>93</v>
      </c>
      <c r="Q902">
        <v>0</v>
      </c>
      <c r="R902" t="s">
        <v>95</v>
      </c>
      <c r="S902">
        <v>-11.75684013</v>
      </c>
      <c r="T902">
        <f t="shared" si="129"/>
        <v>-33.9420293608176</v>
      </c>
      <c r="U902" t="s">
        <v>95</v>
      </c>
      <c r="V902">
        <v>17774</v>
      </c>
      <c r="W902" t="s">
        <v>159</v>
      </c>
      <c r="X902">
        <v>298</v>
      </c>
      <c r="Y902" t="s">
        <v>160</v>
      </c>
      <c r="Z902">
        <v>-18.8</v>
      </c>
      <c r="AA902" t="s">
        <v>95</v>
      </c>
      <c r="AB902">
        <f t="shared" si="130"/>
        <v>-54.275651019111962</v>
      </c>
      <c r="AC902" t="s">
        <v>93</v>
      </c>
      <c r="AD902">
        <v>1.2</v>
      </c>
      <c r="AE902" t="s">
        <v>95</v>
      </c>
      <c r="AF902" t="s">
        <v>93</v>
      </c>
      <c r="AO902">
        <v>0.33</v>
      </c>
      <c r="AV902">
        <v>0.66</v>
      </c>
      <c r="CR902">
        <f t="shared" si="131"/>
        <v>-38.791027946186276</v>
      </c>
      <c r="CS902">
        <f t="shared" si="132"/>
        <v>-33.9420293608176</v>
      </c>
      <c r="CT902">
        <f t="shared" si="133"/>
        <v>-54.275651019111962</v>
      </c>
      <c r="CU902" s="7">
        <f t="shared" si="134"/>
        <v>-42.336236108705279</v>
      </c>
      <c r="CV902" s="9">
        <f t="shared" si="135"/>
        <v>346.38</v>
      </c>
      <c r="CW902" t="str">
        <f t="shared" si="127"/>
        <v>NdRu2</v>
      </c>
    </row>
    <row r="903" spans="1:101" ht="15.75" thickBot="1" x14ac:dyDescent="0.3">
      <c r="A903" t="s">
        <v>484</v>
      </c>
      <c r="B903" t="s">
        <v>93</v>
      </c>
      <c r="C903" t="s">
        <v>3138</v>
      </c>
      <c r="D903" t="s">
        <v>3139</v>
      </c>
      <c r="F903" t="s">
        <v>3140</v>
      </c>
      <c r="G903" t="s">
        <v>2337</v>
      </c>
      <c r="H903">
        <v>546.20000000000005</v>
      </c>
      <c r="I903">
        <v>943</v>
      </c>
      <c r="M903">
        <f t="shared" si="128"/>
        <v>0</v>
      </c>
      <c r="O903" t="s">
        <v>93</v>
      </c>
      <c r="P903" t="s">
        <v>93</v>
      </c>
      <c r="Q903">
        <v>0</v>
      </c>
      <c r="R903" t="s">
        <v>95</v>
      </c>
      <c r="S903">
        <v>-24.006556509999999</v>
      </c>
      <c r="T903">
        <f t="shared" si="129"/>
        <v>-43.951952599780292</v>
      </c>
      <c r="U903" t="s">
        <v>95</v>
      </c>
      <c r="V903">
        <v>29890</v>
      </c>
      <c r="W903" t="s">
        <v>728</v>
      </c>
      <c r="X903">
        <v>298</v>
      </c>
      <c r="Y903" t="s">
        <v>359</v>
      </c>
      <c r="Z903">
        <v>-22.2</v>
      </c>
      <c r="AA903" t="s">
        <v>95</v>
      </c>
      <c r="AB903">
        <f t="shared" si="130"/>
        <v>-40.644452581471981</v>
      </c>
      <c r="AC903" t="s">
        <v>93</v>
      </c>
      <c r="AD903">
        <v>2.5</v>
      </c>
      <c r="AE903" t="s">
        <v>95</v>
      </c>
      <c r="AF903" t="s">
        <v>93</v>
      </c>
      <c r="AH903" t="s">
        <v>93</v>
      </c>
      <c r="AI903" t="s">
        <v>93</v>
      </c>
      <c r="AS903">
        <v>0.251</v>
      </c>
      <c r="BG903">
        <v>0.749</v>
      </c>
      <c r="CR903">
        <f t="shared" si="131"/>
        <v>0</v>
      </c>
      <c r="CS903">
        <f t="shared" si="132"/>
        <v>-43.951952599780292</v>
      </c>
      <c r="CT903">
        <f t="shared" si="133"/>
        <v>-40.644452581471981</v>
      </c>
      <c r="CU903" s="7">
        <f t="shared" si="134"/>
        <v>-42.298202590626133</v>
      </c>
      <c r="CV903" s="9">
        <f t="shared" si="135"/>
        <v>546.20000000000005</v>
      </c>
      <c r="CW903" t="str">
        <f t="shared" si="127"/>
        <v>Dy3Ni</v>
      </c>
    </row>
    <row r="904" spans="1:101" ht="15.75" thickBot="1" x14ac:dyDescent="0.3">
      <c r="A904" t="s">
        <v>91</v>
      </c>
      <c r="B904" t="s">
        <v>2966</v>
      </c>
      <c r="C904" t="s">
        <v>3144</v>
      </c>
      <c r="E904" t="s">
        <v>3145</v>
      </c>
      <c r="F904" t="s">
        <v>93</v>
      </c>
      <c r="G904" t="s">
        <v>2967</v>
      </c>
      <c r="H904">
        <v>1434.1</v>
      </c>
      <c r="I904">
        <v>1241</v>
      </c>
      <c r="J904">
        <v>0</v>
      </c>
      <c r="K904" t="s">
        <v>95</v>
      </c>
      <c r="L904">
        <v>-52.548545990000001</v>
      </c>
      <c r="M904">
        <f t="shared" si="128"/>
        <v>-36.642176968133327</v>
      </c>
      <c r="N904" t="s">
        <v>95</v>
      </c>
      <c r="O904" t="s">
        <v>2968</v>
      </c>
      <c r="P904" t="s">
        <v>93</v>
      </c>
      <c r="Q904">
        <v>0</v>
      </c>
      <c r="R904" t="s">
        <v>95</v>
      </c>
      <c r="S904">
        <v>-52.113405970000002</v>
      </c>
      <c r="T904">
        <f t="shared" si="129"/>
        <v>-36.338753204100136</v>
      </c>
      <c r="U904" t="s">
        <v>95</v>
      </c>
      <c r="V904">
        <v>29904</v>
      </c>
      <c r="W904" t="s">
        <v>339</v>
      </c>
      <c r="X904">
        <v>298</v>
      </c>
      <c r="Y904" t="s">
        <v>1403</v>
      </c>
      <c r="Z904">
        <v>-76.099999999999994</v>
      </c>
      <c r="AA904" t="s">
        <v>95</v>
      </c>
      <c r="AB904">
        <f t="shared" si="130"/>
        <v>-53.064639843804478</v>
      </c>
      <c r="AC904" t="s">
        <v>93</v>
      </c>
      <c r="AD904">
        <v>3.2</v>
      </c>
      <c r="AE904" t="s">
        <v>95</v>
      </c>
      <c r="AF904" t="s">
        <v>93</v>
      </c>
      <c r="BG904">
        <v>0.625</v>
      </c>
      <c r="CO904">
        <v>0.375</v>
      </c>
      <c r="CR904">
        <f t="shared" si="131"/>
        <v>-36.642176968133327</v>
      </c>
      <c r="CS904">
        <f t="shared" si="132"/>
        <v>-36.338753204100136</v>
      </c>
      <c r="CT904">
        <f t="shared" si="133"/>
        <v>-53.064639843804478</v>
      </c>
      <c r="CU904" s="7">
        <f t="shared" si="134"/>
        <v>-42.015190005345978</v>
      </c>
      <c r="CV904" s="9">
        <f t="shared" si="135"/>
        <v>1434.1</v>
      </c>
      <c r="CW904" t="str">
        <f t="shared" si="127"/>
        <v>Dy5Pb3</v>
      </c>
    </row>
    <row r="905" spans="1:101" ht="15.75" thickBot="1" x14ac:dyDescent="0.3">
      <c r="A905" t="s">
        <v>91</v>
      </c>
      <c r="B905" t="s">
        <v>1785</v>
      </c>
      <c r="C905" t="s">
        <v>3144</v>
      </c>
      <c r="E905" t="s">
        <v>3145</v>
      </c>
      <c r="F905" t="s">
        <v>93</v>
      </c>
      <c r="G905" t="s">
        <v>1786</v>
      </c>
      <c r="H905">
        <v>292.64190000000002</v>
      </c>
      <c r="I905">
        <v>681</v>
      </c>
      <c r="J905">
        <v>0</v>
      </c>
      <c r="K905" t="s">
        <v>95</v>
      </c>
      <c r="L905">
        <v>-18.278582979999999</v>
      </c>
      <c r="M905">
        <f t="shared" si="128"/>
        <v>-62.460580593551356</v>
      </c>
      <c r="N905" t="s">
        <v>95</v>
      </c>
      <c r="O905" t="s">
        <v>1787</v>
      </c>
      <c r="P905" t="s">
        <v>121</v>
      </c>
      <c r="T905">
        <f t="shared" si="129"/>
        <v>0</v>
      </c>
      <c r="V905" t="s">
        <v>93</v>
      </c>
      <c r="W905" t="s">
        <v>225</v>
      </c>
      <c r="X905">
        <v>298</v>
      </c>
      <c r="Y905" t="s">
        <v>179</v>
      </c>
      <c r="Z905">
        <v>-6.3</v>
      </c>
      <c r="AA905" t="s">
        <v>95</v>
      </c>
      <c r="AB905">
        <f t="shared" si="130"/>
        <v>-21.528017689879675</v>
      </c>
      <c r="AC905" t="s">
        <v>93</v>
      </c>
      <c r="AD905">
        <v>1.9</v>
      </c>
      <c r="AE905" t="s">
        <v>95</v>
      </c>
      <c r="AF905" t="s">
        <v>93</v>
      </c>
      <c r="AJ905" t="s">
        <v>93</v>
      </c>
      <c r="AK905" t="s">
        <v>93</v>
      </c>
      <c r="AT905">
        <v>0.66</v>
      </c>
      <c r="BE905">
        <v>0.33</v>
      </c>
      <c r="CR905">
        <f t="shared" si="131"/>
        <v>-62.460580593551356</v>
      </c>
      <c r="CS905">
        <f t="shared" si="132"/>
        <v>0</v>
      </c>
      <c r="CT905">
        <f t="shared" si="133"/>
        <v>-21.528017689879675</v>
      </c>
      <c r="CU905" s="7">
        <f t="shared" si="134"/>
        <v>-41.994299141715516</v>
      </c>
      <c r="CV905" s="9">
        <f t="shared" si="135"/>
        <v>292.64190000000002</v>
      </c>
      <c r="CW905" t="str">
        <f t="shared" si="127"/>
        <v>TaFe2</v>
      </c>
    </row>
    <row r="906" spans="1:101" ht="15.75" thickBot="1" x14ac:dyDescent="0.3">
      <c r="A906" t="s">
        <v>91</v>
      </c>
      <c r="B906" t="s">
        <v>2466</v>
      </c>
      <c r="C906" t="s">
        <v>3144</v>
      </c>
      <c r="E906" t="s">
        <v>3145</v>
      </c>
      <c r="F906" t="s">
        <v>93</v>
      </c>
      <c r="G906" t="s">
        <v>2467</v>
      </c>
      <c r="H906">
        <v>299.635999999999</v>
      </c>
      <c r="I906">
        <v>1001</v>
      </c>
      <c r="M906">
        <f t="shared" si="128"/>
        <v>0</v>
      </c>
      <c r="O906" t="s">
        <v>93</v>
      </c>
      <c r="P906" t="s">
        <v>93</v>
      </c>
      <c r="T906">
        <f t="shared" si="129"/>
        <v>0</v>
      </c>
      <c r="V906" t="s">
        <v>93</v>
      </c>
      <c r="W906" t="s">
        <v>184</v>
      </c>
      <c r="X906">
        <v>298</v>
      </c>
      <c r="Y906" t="s">
        <v>1983</v>
      </c>
      <c r="Z906">
        <v>-12.5</v>
      </c>
      <c r="AA906" t="s">
        <v>95</v>
      </c>
      <c r="AB906">
        <f t="shared" si="130"/>
        <v>-41.717283637480278</v>
      </c>
      <c r="AC906" t="s">
        <v>93</v>
      </c>
      <c r="AD906">
        <v>2.1</v>
      </c>
      <c r="AE906" t="s">
        <v>95</v>
      </c>
      <c r="AF906" t="s">
        <v>93</v>
      </c>
      <c r="AH906" t="s">
        <v>93</v>
      </c>
      <c r="AI906" t="s">
        <v>93</v>
      </c>
      <c r="AJ906" t="s">
        <v>93</v>
      </c>
      <c r="AK906" t="s">
        <v>93</v>
      </c>
      <c r="AS906">
        <v>0.5</v>
      </c>
      <c r="AX906">
        <v>0.25</v>
      </c>
      <c r="CF906">
        <v>0.25</v>
      </c>
      <c r="CR906">
        <f t="shared" si="131"/>
        <v>0</v>
      </c>
      <c r="CS906">
        <f t="shared" si="132"/>
        <v>0</v>
      </c>
      <c r="CT906">
        <f t="shared" si="133"/>
        <v>-41.717283637480278</v>
      </c>
      <c r="CU906" s="7">
        <f t="shared" si="134"/>
        <v>-41.717283637480278</v>
      </c>
      <c r="CV906" s="9">
        <f t="shared" si="135"/>
        <v>299.635999999999</v>
      </c>
      <c r="CW906" t="str">
        <f t="shared" si="127"/>
        <v>Ni2CuSn</v>
      </c>
    </row>
    <row r="907" spans="1:101" ht="15.75" thickBot="1" x14ac:dyDescent="0.3">
      <c r="A907" t="s">
        <v>91</v>
      </c>
      <c r="B907" t="s">
        <v>2763</v>
      </c>
      <c r="C907" t="s">
        <v>3144</v>
      </c>
      <c r="E907" t="s">
        <v>3145</v>
      </c>
      <c r="F907" t="s">
        <v>93</v>
      </c>
      <c r="G907" t="s">
        <v>2764</v>
      </c>
      <c r="H907">
        <v>398.79999999999899</v>
      </c>
      <c r="I907">
        <v>1130</v>
      </c>
      <c r="M907">
        <f t="shared" si="128"/>
        <v>0</v>
      </c>
      <c r="O907" t="s">
        <v>93</v>
      </c>
      <c r="P907" t="s">
        <v>93</v>
      </c>
      <c r="T907">
        <f t="shared" si="129"/>
        <v>0</v>
      </c>
      <c r="V907" t="s">
        <v>93</v>
      </c>
      <c r="W907" t="s">
        <v>1313</v>
      </c>
      <c r="X907">
        <v>298</v>
      </c>
      <c r="Y907" t="s">
        <v>179</v>
      </c>
      <c r="Z907">
        <v>-16.600000000000001</v>
      </c>
      <c r="AA907" t="s">
        <v>95</v>
      </c>
      <c r="AB907">
        <f t="shared" si="130"/>
        <v>-41.624874623871726</v>
      </c>
      <c r="AC907" t="s">
        <v>93</v>
      </c>
      <c r="AD907">
        <v>2.4</v>
      </c>
      <c r="AE907" t="s">
        <v>95</v>
      </c>
      <c r="AF907" t="s">
        <v>93</v>
      </c>
      <c r="AH907" t="s">
        <v>93</v>
      </c>
      <c r="AI907" t="s">
        <v>93</v>
      </c>
      <c r="AJ907" t="s">
        <v>93</v>
      </c>
      <c r="AK907" t="s">
        <v>93</v>
      </c>
      <c r="BA907">
        <v>0.8</v>
      </c>
      <c r="CO907">
        <v>0.2</v>
      </c>
      <c r="CR907">
        <f t="shared" si="131"/>
        <v>0</v>
      </c>
      <c r="CS907">
        <f t="shared" si="132"/>
        <v>0</v>
      </c>
      <c r="CT907">
        <f t="shared" si="133"/>
        <v>-41.624874623871726</v>
      </c>
      <c r="CU907" s="7">
        <f t="shared" si="134"/>
        <v>-41.624874623871726</v>
      </c>
      <c r="CV907" s="9">
        <f t="shared" si="135"/>
        <v>398.79999999999899</v>
      </c>
      <c r="CW907" t="str">
        <f t="shared" si="127"/>
        <v>PbTi4</v>
      </c>
    </row>
    <row r="908" spans="1:101" ht="15.75" thickBot="1" x14ac:dyDescent="0.3">
      <c r="A908" t="s">
        <v>91</v>
      </c>
      <c r="B908" t="s">
        <v>1268</v>
      </c>
      <c r="C908" t="s">
        <v>3144</v>
      </c>
      <c r="E908" t="s">
        <v>3145</v>
      </c>
      <c r="F908" t="s">
        <v>93</v>
      </c>
      <c r="G908" t="s">
        <v>1269</v>
      </c>
      <c r="H908">
        <v>421.75</v>
      </c>
      <c r="I908">
        <v>497</v>
      </c>
      <c r="M908">
        <f t="shared" si="128"/>
        <v>0</v>
      </c>
      <c r="O908" t="s">
        <v>93</v>
      </c>
      <c r="P908" t="s">
        <v>93</v>
      </c>
      <c r="T908">
        <f t="shared" si="129"/>
        <v>0</v>
      </c>
      <c r="V908" t="s">
        <v>93</v>
      </c>
      <c r="W908" t="s">
        <v>225</v>
      </c>
      <c r="X908">
        <v>298</v>
      </c>
      <c r="Y908" t="s">
        <v>179</v>
      </c>
      <c r="Z908">
        <v>-17.5</v>
      </c>
      <c r="AA908" t="s">
        <v>95</v>
      </c>
      <c r="AB908">
        <f t="shared" si="130"/>
        <v>-41.49377593360996</v>
      </c>
      <c r="AC908" t="s">
        <v>93</v>
      </c>
      <c r="AD908">
        <v>1.1000000000000001</v>
      </c>
      <c r="AE908" t="s">
        <v>95</v>
      </c>
      <c r="AF908" t="s">
        <v>93</v>
      </c>
      <c r="AH908" t="s">
        <v>93</v>
      </c>
      <c r="AI908" t="s">
        <v>93</v>
      </c>
      <c r="AJ908" t="s">
        <v>93</v>
      </c>
      <c r="AK908" t="s">
        <v>93</v>
      </c>
      <c r="BQ908">
        <v>0.71</v>
      </c>
      <c r="BW908">
        <v>0.28999999999999998</v>
      </c>
      <c r="CR908">
        <f t="shared" si="131"/>
        <v>0</v>
      </c>
      <c r="CS908">
        <f t="shared" si="132"/>
        <v>0</v>
      </c>
      <c r="CT908">
        <f t="shared" si="133"/>
        <v>-41.49377593360996</v>
      </c>
      <c r="CU908" s="7">
        <f t="shared" si="134"/>
        <v>-41.49377593360996</v>
      </c>
      <c r="CV908" s="9">
        <f t="shared" si="135"/>
        <v>421.75</v>
      </c>
      <c r="CW908" t="str">
        <f t="shared" si="127"/>
        <v>B5W2</v>
      </c>
    </row>
    <row r="909" spans="1:101" ht="15.75" thickBot="1" x14ac:dyDescent="0.3">
      <c r="A909" t="s">
        <v>91</v>
      </c>
      <c r="B909" t="s">
        <v>2458</v>
      </c>
      <c r="C909" t="s">
        <v>3144</v>
      </c>
      <c r="E909" t="s">
        <v>3145</v>
      </c>
      <c r="F909" t="s">
        <v>93</v>
      </c>
      <c r="G909" t="s">
        <v>2459</v>
      </c>
      <c r="H909">
        <v>238.5292</v>
      </c>
      <c r="I909">
        <v>998</v>
      </c>
      <c r="M909">
        <f t="shared" si="128"/>
        <v>0</v>
      </c>
      <c r="O909" t="s">
        <v>93</v>
      </c>
      <c r="P909" t="s">
        <v>93</v>
      </c>
      <c r="Q909">
        <v>8.4086926399999999</v>
      </c>
      <c r="R909" t="s">
        <v>95</v>
      </c>
      <c r="S909">
        <v>-8.1428448600000003</v>
      </c>
      <c r="T909">
        <f t="shared" si="129"/>
        <v>-34.137727624123173</v>
      </c>
      <c r="U909" t="s">
        <v>95</v>
      </c>
      <c r="V909">
        <v>472554</v>
      </c>
      <c r="W909" t="s">
        <v>184</v>
      </c>
      <c r="X909">
        <v>298</v>
      </c>
      <c r="Y909" t="s">
        <v>185</v>
      </c>
      <c r="Z909">
        <v>-11.6</v>
      </c>
      <c r="AA909" t="s">
        <v>95</v>
      </c>
      <c r="AB909">
        <f t="shared" si="130"/>
        <v>-48.631362533392142</v>
      </c>
      <c r="AC909" t="s">
        <v>93</v>
      </c>
      <c r="AD909">
        <v>2.4</v>
      </c>
      <c r="AE909" t="s">
        <v>95</v>
      </c>
      <c r="AF909" t="s">
        <v>93</v>
      </c>
      <c r="AH909" t="s">
        <v>93</v>
      </c>
      <c r="AI909" t="s">
        <v>93</v>
      </c>
      <c r="AW909">
        <v>0.25</v>
      </c>
      <c r="BR909">
        <v>0.5</v>
      </c>
      <c r="BY909">
        <v>0.25</v>
      </c>
      <c r="CR909">
        <f t="shared" si="131"/>
        <v>0</v>
      </c>
      <c r="CS909">
        <f t="shared" si="132"/>
        <v>-34.137727624123173</v>
      </c>
      <c r="CT909">
        <f t="shared" si="133"/>
        <v>-48.631362533392142</v>
      </c>
      <c r="CU909" s="7">
        <f t="shared" si="134"/>
        <v>-41.384545078757654</v>
      </c>
      <c r="CV909" s="9">
        <f t="shared" si="135"/>
        <v>238.5292</v>
      </c>
      <c r="CW909" t="str">
        <f t="shared" si="127"/>
        <v>Mn2GaCo</v>
      </c>
    </row>
    <row r="910" spans="1:101" ht="15.75" thickBot="1" x14ac:dyDescent="0.3">
      <c r="A910" t="s">
        <v>91</v>
      </c>
      <c r="B910" t="s">
        <v>1924</v>
      </c>
      <c r="C910" t="s">
        <v>3144</v>
      </c>
      <c r="E910" t="s">
        <v>3145</v>
      </c>
      <c r="F910" t="s">
        <v>93</v>
      </c>
      <c r="G910" t="s">
        <v>1925</v>
      </c>
      <c r="H910">
        <v>492.53819999999899</v>
      </c>
      <c r="I910">
        <v>737</v>
      </c>
      <c r="M910">
        <f t="shared" si="128"/>
        <v>0</v>
      </c>
      <c r="O910" t="s">
        <v>93</v>
      </c>
      <c r="P910" t="s">
        <v>93</v>
      </c>
      <c r="T910">
        <f t="shared" si="129"/>
        <v>0</v>
      </c>
      <c r="V910" t="s">
        <v>93</v>
      </c>
      <c r="W910" t="s">
        <v>358</v>
      </c>
      <c r="X910">
        <v>298</v>
      </c>
      <c r="Y910" t="s">
        <v>359</v>
      </c>
      <c r="Z910">
        <v>-20.2</v>
      </c>
      <c r="AA910" t="s">
        <v>95</v>
      </c>
      <c r="AB910">
        <f t="shared" si="130"/>
        <v>-41.012047390435988</v>
      </c>
      <c r="AC910" t="s">
        <v>93</v>
      </c>
      <c r="AD910">
        <v>2.2999999999999998</v>
      </c>
      <c r="AE910" t="s">
        <v>95</v>
      </c>
      <c r="AF910" t="s">
        <v>93</v>
      </c>
      <c r="AH910" t="s">
        <v>93</v>
      </c>
      <c r="AI910" t="s">
        <v>93</v>
      </c>
      <c r="AJ910" t="s">
        <v>93</v>
      </c>
      <c r="AK910" t="s">
        <v>93</v>
      </c>
      <c r="BO910">
        <v>0.25</v>
      </c>
      <c r="CR910">
        <f t="shared" si="131"/>
        <v>0</v>
      </c>
      <c r="CS910">
        <f t="shared" si="132"/>
        <v>0</v>
      </c>
      <c r="CT910">
        <f t="shared" si="133"/>
        <v>-41.012047390435988</v>
      </c>
      <c r="CU910" s="7">
        <f t="shared" si="134"/>
        <v>-41.012047390435988</v>
      </c>
      <c r="CV910" s="9">
        <f t="shared" si="135"/>
        <v>492.53819999999899</v>
      </c>
      <c r="CW910" t="str">
        <f t="shared" si="127"/>
        <v>Ag3Tm</v>
      </c>
    </row>
    <row r="911" spans="1:101" ht="15.75" thickBot="1" x14ac:dyDescent="0.3">
      <c r="A911" t="s">
        <v>91</v>
      </c>
      <c r="B911" t="s">
        <v>2773</v>
      </c>
      <c r="C911" t="s">
        <v>3144</v>
      </c>
      <c r="E911" t="s">
        <v>3145</v>
      </c>
      <c r="F911" t="s">
        <v>93</v>
      </c>
      <c r="G911" t="s">
        <v>2774</v>
      </c>
      <c r="H911">
        <v>310.10550000000001</v>
      </c>
      <c r="I911">
        <v>1134</v>
      </c>
      <c r="J911">
        <v>0</v>
      </c>
      <c r="K911" t="s">
        <v>95</v>
      </c>
      <c r="L911">
        <v>-8.9273289200000008</v>
      </c>
      <c r="M911">
        <f t="shared" si="128"/>
        <v>-28.788038006420397</v>
      </c>
      <c r="N911" t="s">
        <v>95</v>
      </c>
      <c r="O911" t="s">
        <v>2775</v>
      </c>
      <c r="P911" t="s">
        <v>93</v>
      </c>
      <c r="T911">
        <f t="shared" si="129"/>
        <v>0</v>
      </c>
      <c r="V911" t="s">
        <v>93</v>
      </c>
      <c r="W911" t="s">
        <v>172</v>
      </c>
      <c r="X911">
        <v>298</v>
      </c>
      <c r="Y911" t="s">
        <v>170</v>
      </c>
      <c r="Z911">
        <v>-16.5</v>
      </c>
      <c r="AA911" t="s">
        <v>95</v>
      </c>
      <c r="AB911">
        <f t="shared" si="130"/>
        <v>-53.207698670291236</v>
      </c>
      <c r="AC911" t="s">
        <v>93</v>
      </c>
      <c r="AD911">
        <v>3.3</v>
      </c>
      <c r="AE911" t="s">
        <v>95</v>
      </c>
      <c r="AF911" t="s">
        <v>93</v>
      </c>
      <c r="AJ911" t="s">
        <v>93</v>
      </c>
      <c r="AK911" t="s">
        <v>93</v>
      </c>
      <c r="BF911">
        <v>0.5</v>
      </c>
      <c r="CO911">
        <v>0.5</v>
      </c>
      <c r="CR911">
        <f t="shared" si="131"/>
        <v>-28.788038006420397</v>
      </c>
      <c r="CS911">
        <f t="shared" si="132"/>
        <v>0</v>
      </c>
      <c r="CT911">
        <f t="shared" si="133"/>
        <v>-53.207698670291236</v>
      </c>
      <c r="CU911" s="7">
        <f t="shared" si="134"/>
        <v>-40.997868338355815</v>
      </c>
      <c r="CV911" s="9">
        <f t="shared" si="135"/>
        <v>310.10550000000001</v>
      </c>
      <c r="CW911" t="str">
        <f t="shared" si="127"/>
        <v>RhPb</v>
      </c>
    </row>
    <row r="912" spans="1:101" ht="15.75" thickBot="1" x14ac:dyDescent="0.3">
      <c r="A912" t="s">
        <v>91</v>
      </c>
      <c r="B912" t="s">
        <v>2124</v>
      </c>
      <c r="C912" t="s">
        <v>3144</v>
      </c>
      <c r="E912" t="s">
        <v>3145</v>
      </c>
      <c r="F912" t="s">
        <v>93</v>
      </c>
      <c r="G912" t="s">
        <v>2125</v>
      </c>
      <c r="H912">
        <v>397.4092</v>
      </c>
      <c r="I912">
        <v>845</v>
      </c>
      <c r="J912">
        <v>0</v>
      </c>
      <c r="K912" t="s">
        <v>95</v>
      </c>
      <c r="L912">
        <v>-14.36106792</v>
      </c>
      <c r="M912">
        <f t="shared" si="128"/>
        <v>-36.13672738326138</v>
      </c>
      <c r="N912" t="s">
        <v>95</v>
      </c>
      <c r="O912" t="s">
        <v>2126</v>
      </c>
      <c r="P912" t="s">
        <v>93</v>
      </c>
      <c r="Q912">
        <v>0</v>
      </c>
      <c r="R912" t="s">
        <v>95</v>
      </c>
      <c r="S912">
        <v>-18.840378189999999</v>
      </c>
      <c r="T912">
        <f t="shared" si="129"/>
        <v>-47.40800713722782</v>
      </c>
      <c r="U912" t="s">
        <v>95</v>
      </c>
      <c r="V912">
        <v>17754</v>
      </c>
      <c r="W912" t="s">
        <v>391</v>
      </c>
      <c r="X912">
        <v>298</v>
      </c>
      <c r="Y912" t="s">
        <v>392</v>
      </c>
      <c r="Z912">
        <v>-15.2</v>
      </c>
      <c r="AA912" t="s">
        <v>95</v>
      </c>
      <c r="AB912">
        <f t="shared" si="130"/>
        <v>-38.247730550777383</v>
      </c>
      <c r="AC912" t="s">
        <v>93</v>
      </c>
      <c r="AD912">
        <v>2.2999999999999998</v>
      </c>
      <c r="AE912" t="s">
        <v>95</v>
      </c>
      <c r="AF912" t="s">
        <v>93</v>
      </c>
      <c r="AU912">
        <v>0.75</v>
      </c>
      <c r="CF912">
        <v>0.25</v>
      </c>
      <c r="CR912">
        <f t="shared" si="131"/>
        <v>-36.13672738326138</v>
      </c>
      <c r="CS912">
        <f t="shared" si="132"/>
        <v>-47.40800713722782</v>
      </c>
      <c r="CT912">
        <f t="shared" si="133"/>
        <v>-38.247730550777383</v>
      </c>
      <c r="CU912" s="7">
        <f t="shared" si="134"/>
        <v>-40.597488357088857</v>
      </c>
      <c r="CV912" s="9">
        <f t="shared" si="135"/>
        <v>397.4092</v>
      </c>
      <c r="CW912" t="str">
        <f t="shared" si="127"/>
        <v>Nb3Sn</v>
      </c>
    </row>
    <row r="913" spans="1:101" ht="15.75" thickBot="1" x14ac:dyDescent="0.3">
      <c r="A913" t="s">
        <v>91</v>
      </c>
      <c r="B913" t="s">
        <v>2969</v>
      </c>
      <c r="C913" t="s">
        <v>3144</v>
      </c>
      <c r="E913" t="s">
        <v>3145</v>
      </c>
      <c r="F913" t="s">
        <v>93</v>
      </c>
      <c r="G913" t="s">
        <v>2970</v>
      </c>
      <c r="H913">
        <v>1446.252</v>
      </c>
      <c r="I913">
        <v>1242</v>
      </c>
      <c r="J913">
        <v>0</v>
      </c>
      <c r="K913" t="s">
        <v>95</v>
      </c>
      <c r="L913">
        <v>-51.278169869999999</v>
      </c>
      <c r="M913">
        <f t="shared" si="128"/>
        <v>-35.455902477576522</v>
      </c>
      <c r="N913" t="s">
        <v>95</v>
      </c>
      <c r="O913" t="s">
        <v>2971</v>
      </c>
      <c r="P913" t="s">
        <v>93</v>
      </c>
      <c r="Q913">
        <v>0</v>
      </c>
      <c r="R913" t="s">
        <v>95</v>
      </c>
      <c r="S913">
        <v>-51.20805266</v>
      </c>
      <c r="T913">
        <f t="shared" si="129"/>
        <v>-35.407420463377065</v>
      </c>
      <c r="U913" t="s">
        <v>95</v>
      </c>
      <c r="V913">
        <v>17466</v>
      </c>
      <c r="W913" t="s">
        <v>339</v>
      </c>
      <c r="X913">
        <v>298</v>
      </c>
      <c r="Y913" t="s">
        <v>1403</v>
      </c>
      <c r="Z913">
        <v>-71.900000000000006</v>
      </c>
      <c r="AA913" t="s">
        <v>95</v>
      </c>
      <c r="AB913">
        <f t="shared" si="130"/>
        <v>-49.714710852603844</v>
      </c>
      <c r="AC913" t="s">
        <v>93</v>
      </c>
      <c r="AD913">
        <v>3.9</v>
      </c>
      <c r="AE913" t="s">
        <v>95</v>
      </c>
      <c r="AF913" t="s">
        <v>93</v>
      </c>
      <c r="BJ913">
        <v>0.625</v>
      </c>
      <c r="CO913">
        <v>0.375</v>
      </c>
      <c r="CR913">
        <f t="shared" si="131"/>
        <v>-35.455902477576522</v>
      </c>
      <c r="CS913">
        <f t="shared" si="132"/>
        <v>-35.407420463377065</v>
      </c>
      <c r="CT913">
        <f t="shared" si="133"/>
        <v>-49.714710852603844</v>
      </c>
      <c r="CU913" s="7">
        <f t="shared" si="134"/>
        <v>-40.192677931185813</v>
      </c>
      <c r="CV913" s="9">
        <f t="shared" si="135"/>
        <v>1446.252</v>
      </c>
      <c r="CW913" t="str">
        <f t="shared" si="127"/>
        <v>Ho5Pb3</v>
      </c>
    </row>
    <row r="914" spans="1:101" ht="15.75" thickBot="1" x14ac:dyDescent="0.3">
      <c r="A914" t="s">
        <v>91</v>
      </c>
      <c r="B914" t="s">
        <v>1754</v>
      </c>
      <c r="C914" t="s">
        <v>3144</v>
      </c>
      <c r="E914" t="s">
        <v>3145</v>
      </c>
      <c r="F914" t="s">
        <v>93</v>
      </c>
      <c r="G914" t="s">
        <v>1755</v>
      </c>
      <c r="H914">
        <v>269.70600000000002</v>
      </c>
      <c r="I914">
        <v>670</v>
      </c>
      <c r="J914">
        <v>0</v>
      </c>
      <c r="K914" t="s">
        <v>95</v>
      </c>
      <c r="L914">
        <v>-14.184563880000001</v>
      </c>
      <c r="M914">
        <f t="shared" si="128"/>
        <v>-52.592689372872684</v>
      </c>
      <c r="N914" t="s">
        <v>95</v>
      </c>
      <c r="O914" t="s">
        <v>1756</v>
      </c>
      <c r="P914" t="s">
        <v>93</v>
      </c>
      <c r="T914">
        <f t="shared" si="129"/>
        <v>0</v>
      </c>
      <c r="V914" t="s">
        <v>93</v>
      </c>
      <c r="W914" t="s">
        <v>178</v>
      </c>
      <c r="X914">
        <v>298</v>
      </c>
      <c r="Y914" t="s">
        <v>179</v>
      </c>
      <c r="Z914">
        <v>-7.4</v>
      </c>
      <c r="AA914" t="s">
        <v>95</v>
      </c>
      <c r="AB914">
        <f t="shared" si="130"/>
        <v>-27.43728356061786</v>
      </c>
      <c r="AC914" t="s">
        <v>93</v>
      </c>
      <c r="AD914">
        <v>1.9</v>
      </c>
      <c r="AE914" t="s">
        <v>95</v>
      </c>
      <c r="AF914" t="s">
        <v>93</v>
      </c>
      <c r="AJ914" t="s">
        <v>93</v>
      </c>
      <c r="AK914" t="s">
        <v>93</v>
      </c>
      <c r="AU914">
        <v>0.25</v>
      </c>
      <c r="AW914">
        <v>0.75</v>
      </c>
      <c r="CR914">
        <f t="shared" si="131"/>
        <v>-52.592689372872684</v>
      </c>
      <c r="CS914">
        <f t="shared" si="132"/>
        <v>0</v>
      </c>
      <c r="CT914">
        <f t="shared" si="133"/>
        <v>-27.43728356061786</v>
      </c>
      <c r="CU914" s="7">
        <f t="shared" si="134"/>
        <v>-40.01498646674527</v>
      </c>
      <c r="CV914" s="9">
        <f t="shared" si="135"/>
        <v>269.70600000000002</v>
      </c>
      <c r="CW914" t="str">
        <f t="shared" si="127"/>
        <v>NbCo3</v>
      </c>
    </row>
    <row r="915" spans="1:101" ht="15.75" thickBot="1" x14ac:dyDescent="0.3">
      <c r="A915" t="s">
        <v>91</v>
      </c>
      <c r="B915" t="s">
        <v>2458</v>
      </c>
      <c r="C915" t="s">
        <v>3144</v>
      </c>
      <c r="E915" t="s">
        <v>3145</v>
      </c>
      <c r="F915" t="s">
        <v>93</v>
      </c>
      <c r="G915" t="s">
        <v>2459</v>
      </c>
      <c r="H915">
        <v>238.5292</v>
      </c>
      <c r="I915">
        <v>1011</v>
      </c>
      <c r="J915">
        <v>13.49090086</v>
      </c>
      <c r="K915" t="s">
        <v>95</v>
      </c>
      <c r="L915">
        <v>-0.63699817000000003</v>
      </c>
      <c r="M915">
        <f t="shared" si="128"/>
        <v>-2.6705249084808069</v>
      </c>
      <c r="N915" t="s">
        <v>95</v>
      </c>
      <c r="O915" t="s">
        <v>2484</v>
      </c>
      <c r="P915" t="s">
        <v>93</v>
      </c>
      <c r="Q915">
        <v>0</v>
      </c>
      <c r="R915" t="s">
        <v>95</v>
      </c>
      <c r="S915">
        <v>-16.5515376</v>
      </c>
      <c r="T915">
        <f t="shared" si="129"/>
        <v>-69.389984957816495</v>
      </c>
      <c r="U915" t="s">
        <v>95</v>
      </c>
      <c r="V915">
        <v>20349</v>
      </c>
      <c r="W915" t="s">
        <v>184</v>
      </c>
      <c r="X915">
        <v>298</v>
      </c>
      <c r="Y915" t="s">
        <v>1983</v>
      </c>
      <c r="Z915">
        <v>-11.4</v>
      </c>
      <c r="AA915" t="s">
        <v>95</v>
      </c>
      <c r="AB915">
        <f t="shared" si="130"/>
        <v>-47.792890765575038</v>
      </c>
      <c r="AC915" t="s">
        <v>93</v>
      </c>
      <c r="AD915">
        <v>2.6</v>
      </c>
      <c r="AE915" t="s">
        <v>95</v>
      </c>
      <c r="AF915" t="s">
        <v>93</v>
      </c>
      <c r="AW915">
        <v>0.25</v>
      </c>
      <c r="BR915">
        <v>0.5</v>
      </c>
      <c r="BY915">
        <v>0.25</v>
      </c>
      <c r="CR915">
        <f t="shared" si="131"/>
        <v>-2.6705249084808069</v>
      </c>
      <c r="CS915">
        <f t="shared" si="132"/>
        <v>-69.389984957816495</v>
      </c>
      <c r="CT915">
        <f t="shared" si="133"/>
        <v>-47.792890765575038</v>
      </c>
      <c r="CU915" s="7">
        <f t="shared" si="134"/>
        <v>-39.951133543957447</v>
      </c>
      <c r="CV915" s="9">
        <f t="shared" si="135"/>
        <v>238.5292</v>
      </c>
      <c r="CW915" t="str">
        <f t="shared" si="127"/>
        <v>Mn2GaCo</v>
      </c>
    </row>
    <row r="916" spans="1:101" ht="15.75" thickBot="1" x14ac:dyDescent="0.3">
      <c r="A916" t="s">
        <v>91</v>
      </c>
      <c r="B916" t="s">
        <v>2976</v>
      </c>
      <c r="C916" t="s">
        <v>3144</v>
      </c>
      <c r="E916" t="s">
        <v>3145</v>
      </c>
      <c r="F916" t="s">
        <v>93</v>
      </c>
      <c r="G916" t="s">
        <v>2977</v>
      </c>
      <c r="H916">
        <v>1496.4349999999999</v>
      </c>
      <c r="I916">
        <v>1245</v>
      </c>
      <c r="M916">
        <f t="shared" si="128"/>
        <v>0</v>
      </c>
      <c r="O916" t="s">
        <v>93</v>
      </c>
      <c r="P916" t="s">
        <v>93</v>
      </c>
      <c r="Q916">
        <v>0</v>
      </c>
      <c r="R916" t="s">
        <v>95</v>
      </c>
      <c r="S916">
        <v>-44.732314100000004</v>
      </c>
      <c r="T916">
        <f t="shared" si="129"/>
        <v>-29.892587449504994</v>
      </c>
      <c r="U916" t="s">
        <v>95</v>
      </c>
      <c r="V916">
        <v>30697</v>
      </c>
      <c r="W916" t="s">
        <v>339</v>
      </c>
      <c r="X916">
        <v>298</v>
      </c>
      <c r="Y916" t="s">
        <v>1403</v>
      </c>
      <c r="Z916">
        <v>-74.8</v>
      </c>
      <c r="AA916" t="s">
        <v>95</v>
      </c>
      <c r="AB916">
        <f t="shared" si="130"/>
        <v>-49.985465456234316</v>
      </c>
      <c r="AC916" t="s">
        <v>93</v>
      </c>
      <c r="AD916">
        <v>2.4</v>
      </c>
      <c r="AE916" t="s">
        <v>95</v>
      </c>
      <c r="AF916" t="s">
        <v>93</v>
      </c>
      <c r="AH916" t="s">
        <v>93</v>
      </c>
      <c r="AI916" t="s">
        <v>93</v>
      </c>
      <c r="BL916">
        <v>0.625</v>
      </c>
      <c r="CO916">
        <v>0.375</v>
      </c>
      <c r="CR916">
        <f t="shared" si="131"/>
        <v>0</v>
      </c>
      <c r="CS916">
        <f t="shared" si="132"/>
        <v>-29.892587449504994</v>
      </c>
      <c r="CT916">
        <f t="shared" si="133"/>
        <v>-49.985465456234316</v>
      </c>
      <c r="CU916" s="7">
        <f t="shared" si="134"/>
        <v>-39.939026452869655</v>
      </c>
      <c r="CV916" s="9">
        <f t="shared" si="135"/>
        <v>1496.4349999999999</v>
      </c>
      <c r="CW916" t="str">
        <f t="shared" si="127"/>
        <v>Lu5Pb3</v>
      </c>
    </row>
    <row r="917" spans="1:101" ht="15.75" thickBot="1" x14ac:dyDescent="0.3">
      <c r="A917" t="s">
        <v>91</v>
      </c>
      <c r="B917" t="s">
        <v>2737</v>
      </c>
      <c r="C917" t="s">
        <v>3144</v>
      </c>
      <c r="E917" t="s">
        <v>3145</v>
      </c>
      <c r="F917" t="s">
        <v>93</v>
      </c>
      <c r="G917" t="s">
        <v>2738</v>
      </c>
      <c r="H917">
        <v>375.76799999999997</v>
      </c>
      <c r="I917">
        <v>1119</v>
      </c>
      <c r="J917">
        <v>0</v>
      </c>
      <c r="K917" t="s">
        <v>95</v>
      </c>
      <c r="L917">
        <v>-11.20790178</v>
      </c>
      <c r="M917">
        <f t="shared" si="128"/>
        <v>-29.826653094462547</v>
      </c>
      <c r="N917" t="s">
        <v>95</v>
      </c>
      <c r="O917" t="s">
        <v>2739</v>
      </c>
      <c r="P917" t="s">
        <v>93</v>
      </c>
      <c r="Q917">
        <v>4.0580079999999998E-2</v>
      </c>
      <c r="R917" t="s">
        <v>95</v>
      </c>
      <c r="S917">
        <v>-12.78910529</v>
      </c>
      <c r="T917">
        <f t="shared" si="129"/>
        <v>-34.034577957676021</v>
      </c>
      <c r="U917" t="s">
        <v>95</v>
      </c>
      <c r="V917">
        <v>503527</v>
      </c>
      <c r="W917" t="s">
        <v>184</v>
      </c>
      <c r="X917">
        <v>298</v>
      </c>
      <c r="Y917" t="s">
        <v>185</v>
      </c>
      <c r="Z917">
        <v>-20.399999999999999</v>
      </c>
      <c r="AA917" t="s">
        <v>95</v>
      </c>
      <c r="AB917">
        <f t="shared" si="130"/>
        <v>-54.28881650380022</v>
      </c>
      <c r="AC917" t="s">
        <v>93</v>
      </c>
      <c r="AD917">
        <v>2.6</v>
      </c>
      <c r="AE917" t="s">
        <v>95</v>
      </c>
      <c r="AF917" t="s">
        <v>93</v>
      </c>
      <c r="AV917">
        <v>0.5</v>
      </c>
      <c r="BR917">
        <v>0.25</v>
      </c>
      <c r="CF917">
        <v>0.25</v>
      </c>
      <c r="CR917">
        <f t="shared" si="131"/>
        <v>-29.826653094462547</v>
      </c>
      <c r="CS917">
        <f t="shared" si="132"/>
        <v>-34.034577957676021</v>
      </c>
      <c r="CT917">
        <f t="shared" si="133"/>
        <v>-54.28881650380022</v>
      </c>
      <c r="CU917" s="7">
        <f t="shared" si="134"/>
        <v>-39.38334918531293</v>
      </c>
      <c r="CV917" s="9">
        <f t="shared" si="135"/>
        <v>375.76799999999997</v>
      </c>
      <c r="CW917" t="str">
        <f t="shared" si="127"/>
        <v>MnSnRu2</v>
      </c>
    </row>
    <row r="918" spans="1:101" ht="15.75" thickBot="1" x14ac:dyDescent="0.3">
      <c r="A918" t="s">
        <v>91</v>
      </c>
      <c r="B918" t="s">
        <v>140</v>
      </c>
      <c r="C918" t="s">
        <v>3144</v>
      </c>
      <c r="E918" t="s">
        <v>3145</v>
      </c>
      <c r="F918" t="s">
        <v>93</v>
      </c>
      <c r="G918" t="s">
        <v>141</v>
      </c>
      <c r="H918">
        <v>286.358</v>
      </c>
      <c r="I918">
        <v>15</v>
      </c>
      <c r="J918">
        <v>0</v>
      </c>
      <c r="K918" t="s">
        <v>95</v>
      </c>
      <c r="L918">
        <v>-11.55240804</v>
      </c>
      <c r="M918">
        <f t="shared" si="128"/>
        <v>-40.342536405478455</v>
      </c>
      <c r="N918" t="s">
        <v>95</v>
      </c>
      <c r="O918" t="s">
        <v>142</v>
      </c>
      <c r="P918" t="s">
        <v>121</v>
      </c>
      <c r="Q918">
        <v>0</v>
      </c>
      <c r="R918" t="s">
        <v>95</v>
      </c>
      <c r="S918">
        <v>-11.49442732</v>
      </c>
      <c r="T918">
        <f t="shared" si="129"/>
        <v>-40.140060064674287</v>
      </c>
      <c r="U918" t="s">
        <v>95</v>
      </c>
      <c r="V918">
        <v>20652</v>
      </c>
      <c r="W918" t="s">
        <v>135</v>
      </c>
      <c r="X918">
        <v>298</v>
      </c>
      <c r="Y918" t="s">
        <v>136</v>
      </c>
      <c r="Z918">
        <v>-10.74</v>
      </c>
      <c r="AA918" t="s">
        <v>95</v>
      </c>
      <c r="AB918">
        <f t="shared" si="130"/>
        <v>-37.505500108256101</v>
      </c>
      <c r="AC918" t="s">
        <v>93</v>
      </c>
      <c r="AD918">
        <v>2</v>
      </c>
      <c r="AE918" t="s">
        <v>95</v>
      </c>
      <c r="AF918" t="s">
        <v>93</v>
      </c>
      <c r="AQ918">
        <v>0.5</v>
      </c>
      <c r="CR918">
        <f t="shared" si="131"/>
        <v>-40.342536405478455</v>
      </c>
      <c r="CS918">
        <f t="shared" si="132"/>
        <v>-40.140060064674287</v>
      </c>
      <c r="CT918">
        <f t="shared" si="133"/>
        <v>-37.505500108256101</v>
      </c>
      <c r="CU918" s="7">
        <f t="shared" si="134"/>
        <v>-39.329365526136279</v>
      </c>
      <c r="CV918" s="9">
        <f t="shared" si="135"/>
        <v>286.358</v>
      </c>
      <c r="CW918" t="str">
        <f t="shared" si="127"/>
        <v>HfAg</v>
      </c>
    </row>
    <row r="919" spans="1:101" ht="15.75" thickBot="1" x14ac:dyDescent="0.3">
      <c r="A919" t="s">
        <v>91</v>
      </c>
      <c r="B919" t="s">
        <v>548</v>
      </c>
      <c r="C919" t="s">
        <v>3144</v>
      </c>
      <c r="E919" t="s">
        <v>3145</v>
      </c>
      <c r="F919" t="s">
        <v>93</v>
      </c>
      <c r="G919" t="s">
        <v>549</v>
      </c>
      <c r="H919">
        <v>1446.2165</v>
      </c>
      <c r="I919">
        <v>223</v>
      </c>
      <c r="M919">
        <f t="shared" si="128"/>
        <v>0</v>
      </c>
      <c r="O919" t="s">
        <v>93</v>
      </c>
      <c r="P919" t="s">
        <v>93</v>
      </c>
      <c r="T919">
        <f t="shared" si="129"/>
        <v>0</v>
      </c>
      <c r="V919" t="s">
        <v>93</v>
      </c>
      <c r="W919" t="s">
        <v>93</v>
      </c>
      <c r="X919">
        <v>298</v>
      </c>
      <c r="Y919" t="s">
        <v>93</v>
      </c>
      <c r="Z919">
        <v>-56.8</v>
      </c>
      <c r="AA919" t="s">
        <v>95</v>
      </c>
      <c r="AB919">
        <f t="shared" si="130"/>
        <v>-39.274894180781374</v>
      </c>
      <c r="AC919" t="s">
        <v>93</v>
      </c>
      <c r="AD919">
        <v>2.2000000000000002</v>
      </c>
      <c r="AE919" t="s">
        <v>95</v>
      </c>
      <c r="AF919" t="s">
        <v>93</v>
      </c>
      <c r="AH919" t="s">
        <v>93</v>
      </c>
      <c r="AI919" t="s">
        <v>93</v>
      </c>
      <c r="AJ919" t="s">
        <v>93</v>
      </c>
      <c r="AK919" t="s">
        <v>93</v>
      </c>
      <c r="BF919">
        <v>0.3</v>
      </c>
      <c r="BG919">
        <v>0.7</v>
      </c>
      <c r="CR919">
        <f t="shared" si="131"/>
        <v>0</v>
      </c>
      <c r="CS919">
        <f t="shared" si="132"/>
        <v>0</v>
      </c>
      <c r="CT919">
        <f t="shared" si="133"/>
        <v>-39.274894180781374</v>
      </c>
      <c r="CU919" s="7">
        <f t="shared" si="134"/>
        <v>-39.274894180781374</v>
      </c>
      <c r="CV919" s="9">
        <f t="shared" si="135"/>
        <v>1446.2165</v>
      </c>
      <c r="CW919" t="str">
        <f t="shared" si="127"/>
        <v>Dy7Rh3</v>
      </c>
    </row>
    <row r="920" spans="1:101" ht="15.75" thickBot="1" x14ac:dyDescent="0.3">
      <c r="A920" t="s">
        <v>484</v>
      </c>
      <c r="B920" t="s">
        <v>93</v>
      </c>
      <c r="C920" t="s">
        <v>3138</v>
      </c>
      <c r="D920" t="s">
        <v>3139</v>
      </c>
      <c r="F920" t="s">
        <v>3140</v>
      </c>
      <c r="G920" t="s">
        <v>2317</v>
      </c>
      <c r="H920">
        <v>339.2996</v>
      </c>
      <c r="I920">
        <v>930</v>
      </c>
      <c r="M920">
        <f t="shared" si="128"/>
        <v>0</v>
      </c>
      <c r="O920" t="s">
        <v>93</v>
      </c>
      <c r="P920" t="s">
        <v>93</v>
      </c>
      <c r="T920">
        <f t="shared" si="129"/>
        <v>0</v>
      </c>
      <c r="V920" t="s">
        <v>93</v>
      </c>
      <c r="W920" t="s">
        <v>2318</v>
      </c>
      <c r="X920">
        <v>298</v>
      </c>
      <c r="Y920" t="s">
        <v>700</v>
      </c>
      <c r="Z920">
        <v>-13.3</v>
      </c>
      <c r="AA920" t="s">
        <v>95</v>
      </c>
      <c r="AB920">
        <f t="shared" si="130"/>
        <v>-39.198395754076927</v>
      </c>
      <c r="AC920" t="s">
        <v>93</v>
      </c>
      <c r="AD920">
        <v>1.2</v>
      </c>
      <c r="AE920" t="s">
        <v>95</v>
      </c>
      <c r="AF920" t="s">
        <v>93</v>
      </c>
      <c r="AH920" t="s">
        <v>93</v>
      </c>
      <c r="AI920" t="s">
        <v>93</v>
      </c>
      <c r="AJ920" t="s">
        <v>93</v>
      </c>
      <c r="AK920" t="s">
        <v>93</v>
      </c>
      <c r="AW920">
        <v>0.76800000000000002</v>
      </c>
      <c r="BG920">
        <v>0.23200000000000001</v>
      </c>
      <c r="CR920">
        <f t="shared" si="131"/>
        <v>0</v>
      </c>
      <c r="CS920">
        <f t="shared" si="132"/>
        <v>0</v>
      </c>
      <c r="CT920">
        <f t="shared" si="133"/>
        <v>-39.198395754076927</v>
      </c>
      <c r="CU920" s="7">
        <f t="shared" si="134"/>
        <v>-39.198395754076927</v>
      </c>
      <c r="CV920" s="9">
        <f t="shared" si="135"/>
        <v>339.2996</v>
      </c>
      <c r="CW920" t="str">
        <f t="shared" si="127"/>
        <v>Co3Dy</v>
      </c>
    </row>
    <row r="921" spans="1:101" ht="15.75" thickBot="1" x14ac:dyDescent="0.3">
      <c r="A921" t="s">
        <v>91</v>
      </c>
      <c r="B921" t="s">
        <v>1812</v>
      </c>
      <c r="C921" t="s">
        <v>3144</v>
      </c>
      <c r="E921" t="s">
        <v>3145</v>
      </c>
      <c r="F921" t="s">
        <v>93</v>
      </c>
      <c r="G921" t="s">
        <v>1813</v>
      </c>
      <c r="H921">
        <v>486.66419999999999</v>
      </c>
      <c r="I921">
        <v>692</v>
      </c>
      <c r="M921">
        <f t="shared" si="128"/>
        <v>0</v>
      </c>
      <c r="O921" t="s">
        <v>93</v>
      </c>
      <c r="P921" t="s">
        <v>1805</v>
      </c>
      <c r="T921">
        <f t="shared" si="129"/>
        <v>0</v>
      </c>
      <c r="V921" t="s">
        <v>93</v>
      </c>
      <c r="W921" t="s">
        <v>93</v>
      </c>
      <c r="X921">
        <v>298</v>
      </c>
      <c r="Y921" t="s">
        <v>93</v>
      </c>
      <c r="Z921">
        <v>-18.899999999999999</v>
      </c>
      <c r="AA921" t="s">
        <v>95</v>
      </c>
      <c r="AB921">
        <f t="shared" si="130"/>
        <v>-38.835813277409763</v>
      </c>
      <c r="AC921" t="s">
        <v>93</v>
      </c>
      <c r="AD921">
        <v>2.4</v>
      </c>
      <c r="AE921" t="s">
        <v>95</v>
      </c>
      <c r="AF921" t="s">
        <v>93</v>
      </c>
      <c r="AH921" t="s">
        <v>93</v>
      </c>
      <c r="AI921" t="s">
        <v>93</v>
      </c>
      <c r="AJ921" t="s">
        <v>93</v>
      </c>
      <c r="AK921" t="s">
        <v>93</v>
      </c>
      <c r="AX921">
        <v>0.83299999999999996</v>
      </c>
      <c r="BO921">
        <v>0.16700000000000001</v>
      </c>
      <c r="CR921">
        <f t="shared" si="131"/>
        <v>0</v>
      </c>
      <c r="CS921">
        <f t="shared" si="132"/>
        <v>0</v>
      </c>
      <c r="CT921">
        <f t="shared" si="133"/>
        <v>-38.835813277409763</v>
      </c>
      <c r="CU921" s="7">
        <f t="shared" si="134"/>
        <v>-38.835813277409763</v>
      </c>
      <c r="CV921" s="9">
        <f t="shared" si="135"/>
        <v>486.66419999999999</v>
      </c>
      <c r="CW921" t="str">
        <f t="shared" si="127"/>
        <v>TmCu5</v>
      </c>
    </row>
    <row r="922" spans="1:101" ht="15.75" thickBot="1" x14ac:dyDescent="0.3">
      <c r="A922" t="s">
        <v>91</v>
      </c>
      <c r="B922" t="s">
        <v>1803</v>
      </c>
      <c r="C922" t="s">
        <v>3144</v>
      </c>
      <c r="E922" t="s">
        <v>3145</v>
      </c>
      <c r="F922" t="s">
        <v>93</v>
      </c>
      <c r="G922" t="s">
        <v>1804</v>
      </c>
      <c r="H922">
        <v>476.65539999999999</v>
      </c>
      <c r="I922">
        <v>688</v>
      </c>
      <c r="M922">
        <f t="shared" si="128"/>
        <v>0</v>
      </c>
      <c r="O922" t="s">
        <v>93</v>
      </c>
      <c r="P922" t="s">
        <v>1805</v>
      </c>
      <c r="T922">
        <f t="shared" si="129"/>
        <v>0</v>
      </c>
      <c r="V922" t="s">
        <v>93</v>
      </c>
      <c r="W922" t="s">
        <v>93</v>
      </c>
      <c r="X922">
        <v>298</v>
      </c>
      <c r="Y922" t="s">
        <v>93</v>
      </c>
      <c r="Z922">
        <v>-18.399999999999999</v>
      </c>
      <c r="AA922" t="s">
        <v>95</v>
      </c>
      <c r="AB922">
        <f t="shared" si="130"/>
        <v>-38.602311019659062</v>
      </c>
      <c r="AC922" t="s">
        <v>93</v>
      </c>
      <c r="AD922">
        <v>2</v>
      </c>
      <c r="AE922" t="s">
        <v>95</v>
      </c>
      <c r="AF922" t="s">
        <v>93</v>
      </c>
      <c r="AH922" t="s">
        <v>93</v>
      </c>
      <c r="AI922" t="s">
        <v>93</v>
      </c>
      <c r="AJ922" t="s">
        <v>93</v>
      </c>
      <c r="AK922" t="s">
        <v>93</v>
      </c>
      <c r="AX922">
        <v>0.83299999999999996</v>
      </c>
      <c r="BK922">
        <v>0.16700000000000001</v>
      </c>
      <c r="CR922">
        <f t="shared" si="131"/>
        <v>0</v>
      </c>
      <c r="CS922">
        <f t="shared" si="132"/>
        <v>0</v>
      </c>
      <c r="CT922">
        <f t="shared" si="133"/>
        <v>-38.602311019659062</v>
      </c>
      <c r="CU922" s="7">
        <f t="shared" si="134"/>
        <v>-38.602311019659062</v>
      </c>
      <c r="CV922" s="9">
        <f t="shared" si="135"/>
        <v>476.65539999999999</v>
      </c>
      <c r="CW922" t="str">
        <f t="shared" si="127"/>
        <v>TbCu5</v>
      </c>
    </row>
    <row r="923" spans="1:101" ht="15.75" thickBot="1" x14ac:dyDescent="0.3">
      <c r="A923" t="s">
        <v>484</v>
      </c>
      <c r="B923" t="s">
        <v>93</v>
      </c>
      <c r="C923" t="s">
        <v>3138</v>
      </c>
      <c r="D923" t="s">
        <v>3139</v>
      </c>
      <c r="F923" t="s">
        <v>3140</v>
      </c>
      <c r="G923" t="s">
        <v>2310</v>
      </c>
      <c r="H923">
        <v>432.87189999999998</v>
      </c>
      <c r="I923">
        <v>925</v>
      </c>
      <c r="M923">
        <f t="shared" si="128"/>
        <v>0</v>
      </c>
      <c r="O923" t="s">
        <v>93</v>
      </c>
      <c r="P923" t="s">
        <v>93</v>
      </c>
      <c r="T923">
        <f t="shared" si="129"/>
        <v>0</v>
      </c>
      <c r="V923" t="s">
        <v>93</v>
      </c>
      <c r="W923" t="s">
        <v>93</v>
      </c>
      <c r="X923">
        <v>298</v>
      </c>
      <c r="Y923" t="s">
        <v>170</v>
      </c>
      <c r="Z923">
        <v>-16.600000000000001</v>
      </c>
      <c r="AA923" t="s">
        <v>95</v>
      </c>
      <c r="AB923">
        <f t="shared" si="130"/>
        <v>-38.348527589801975</v>
      </c>
      <c r="AC923" t="s">
        <v>93</v>
      </c>
      <c r="AD923">
        <v>0.9</v>
      </c>
      <c r="AE923" t="s">
        <v>95</v>
      </c>
      <c r="AF923" t="s">
        <v>93</v>
      </c>
      <c r="AH923" t="s">
        <v>93</v>
      </c>
      <c r="AI923" t="s">
        <v>93</v>
      </c>
      <c r="AJ923" t="s">
        <v>93</v>
      </c>
      <c r="AK923" t="s">
        <v>93</v>
      </c>
      <c r="AL923">
        <v>0.17</v>
      </c>
      <c r="AS923">
        <v>0.5</v>
      </c>
      <c r="AW923">
        <v>0.33</v>
      </c>
      <c r="CR923">
        <f t="shared" si="131"/>
        <v>0</v>
      </c>
      <c r="CS923">
        <f t="shared" si="132"/>
        <v>0</v>
      </c>
      <c r="CT923">
        <f t="shared" si="133"/>
        <v>-38.348527589801975</v>
      </c>
      <c r="CU923" s="7">
        <f t="shared" si="134"/>
        <v>-38.348527589801975</v>
      </c>
      <c r="CV923" s="9">
        <f t="shared" si="135"/>
        <v>432.87189999999998</v>
      </c>
      <c r="CW923" t="str">
        <f t="shared" si="127"/>
        <v>Co2LaNi3</v>
      </c>
    </row>
    <row r="924" spans="1:101" ht="15.75" thickBot="1" x14ac:dyDescent="0.3">
      <c r="A924" t="s">
        <v>91</v>
      </c>
      <c r="B924" t="s">
        <v>1940</v>
      </c>
      <c r="C924" t="s">
        <v>3144</v>
      </c>
      <c r="E924" t="s">
        <v>3145</v>
      </c>
      <c r="F924" t="s">
        <v>93</v>
      </c>
      <c r="G924" t="s">
        <v>1941</v>
      </c>
      <c r="H924">
        <v>512.43600000000004</v>
      </c>
      <c r="I924">
        <v>746</v>
      </c>
      <c r="M924">
        <f t="shared" si="128"/>
        <v>0</v>
      </c>
      <c r="O924" t="s">
        <v>93</v>
      </c>
      <c r="P924" t="s">
        <v>93</v>
      </c>
      <c r="T924">
        <f t="shared" si="129"/>
        <v>0</v>
      </c>
      <c r="V924" t="s">
        <v>93</v>
      </c>
      <c r="W924" t="s">
        <v>172</v>
      </c>
      <c r="X924">
        <v>298</v>
      </c>
      <c r="Y924" t="s">
        <v>179</v>
      </c>
      <c r="Z924">
        <v>-19.579999999999998</v>
      </c>
      <c r="AA924" t="s">
        <v>95</v>
      </c>
      <c r="AB924">
        <f t="shared" si="130"/>
        <v>-38.209649595266526</v>
      </c>
      <c r="AC924" t="s">
        <v>93</v>
      </c>
      <c r="AD924">
        <v>0.6</v>
      </c>
      <c r="AE924" t="s">
        <v>95</v>
      </c>
      <c r="AF924" t="s">
        <v>93</v>
      </c>
      <c r="AH924" t="s">
        <v>93</v>
      </c>
      <c r="AI924" t="s">
        <v>93</v>
      </c>
      <c r="AJ924" t="s">
        <v>93</v>
      </c>
      <c r="AK924" t="s">
        <v>93</v>
      </c>
      <c r="AW924">
        <v>0.625</v>
      </c>
      <c r="CA924">
        <v>0.375</v>
      </c>
      <c r="CR924">
        <f t="shared" si="131"/>
        <v>0</v>
      </c>
      <c r="CS924">
        <f t="shared" si="132"/>
        <v>0</v>
      </c>
      <c r="CT924">
        <f t="shared" si="133"/>
        <v>-38.209649595266526</v>
      </c>
      <c r="CU924" s="7">
        <f t="shared" si="134"/>
        <v>-38.209649595266526</v>
      </c>
      <c r="CV924" s="9">
        <f t="shared" si="135"/>
        <v>512.43600000000004</v>
      </c>
      <c r="CW924" t="str">
        <f t="shared" si="127"/>
        <v>Co5Ge3</v>
      </c>
    </row>
    <row r="925" spans="1:101" ht="15.75" thickBot="1" x14ac:dyDescent="0.3">
      <c r="A925" t="s">
        <v>91</v>
      </c>
      <c r="B925" t="s">
        <v>1814</v>
      </c>
      <c r="C925" t="s">
        <v>3144</v>
      </c>
      <c r="E925" t="s">
        <v>3145</v>
      </c>
      <c r="F925" t="s">
        <v>93</v>
      </c>
      <c r="G925" t="s">
        <v>1815</v>
      </c>
      <c r="H925">
        <v>492.697</v>
      </c>
      <c r="I925">
        <v>693</v>
      </c>
      <c r="M925">
        <f t="shared" si="128"/>
        <v>0</v>
      </c>
      <c r="O925" t="s">
        <v>93</v>
      </c>
      <c r="P925" t="s">
        <v>1805</v>
      </c>
      <c r="T925">
        <f t="shared" si="129"/>
        <v>0</v>
      </c>
      <c r="V925" t="s">
        <v>93</v>
      </c>
      <c r="W925" t="s">
        <v>93</v>
      </c>
      <c r="X925">
        <v>298</v>
      </c>
      <c r="Y925" t="s">
        <v>93</v>
      </c>
      <c r="Z925">
        <v>-18.8</v>
      </c>
      <c r="AA925" t="s">
        <v>95</v>
      </c>
      <c r="AB925">
        <f t="shared" si="130"/>
        <v>-38.157325902126466</v>
      </c>
      <c r="AC925" t="s">
        <v>93</v>
      </c>
      <c r="AD925">
        <v>1.9</v>
      </c>
      <c r="AE925" t="s">
        <v>95</v>
      </c>
      <c r="AF925" t="s">
        <v>93</v>
      </c>
      <c r="AH925" t="s">
        <v>93</v>
      </c>
      <c r="AI925" t="s">
        <v>93</v>
      </c>
      <c r="AJ925" t="s">
        <v>93</v>
      </c>
      <c r="AK925" t="s">
        <v>93</v>
      </c>
      <c r="AX925">
        <v>0.83299999999999996</v>
      </c>
      <c r="BL925">
        <v>0.16700000000000001</v>
      </c>
      <c r="CR925">
        <f t="shared" si="131"/>
        <v>0</v>
      </c>
      <c r="CS925">
        <f t="shared" si="132"/>
        <v>0</v>
      </c>
      <c r="CT925">
        <f t="shared" si="133"/>
        <v>-38.157325902126466</v>
      </c>
      <c r="CU925" s="7">
        <f t="shared" si="134"/>
        <v>-38.157325902126466</v>
      </c>
      <c r="CV925" s="9">
        <f t="shared" si="135"/>
        <v>492.697</v>
      </c>
      <c r="CW925" t="str">
        <f t="shared" si="127"/>
        <v>Cu5Lu</v>
      </c>
    </row>
    <row r="926" spans="1:101" ht="15.75" thickBot="1" x14ac:dyDescent="0.3">
      <c r="A926" t="s">
        <v>91</v>
      </c>
      <c r="B926" t="s">
        <v>93</v>
      </c>
      <c r="C926" t="s">
        <v>3144</v>
      </c>
      <c r="E926" t="s">
        <v>3145</v>
      </c>
      <c r="G926" t="s">
        <v>2109</v>
      </c>
      <c r="H926">
        <v>650.86</v>
      </c>
      <c r="I926">
        <v>839</v>
      </c>
      <c r="J926">
        <v>0</v>
      </c>
      <c r="K926" t="s">
        <v>95</v>
      </c>
      <c r="L926">
        <v>-21.589819049999999</v>
      </c>
      <c r="M926">
        <f t="shared" si="128"/>
        <v>-33.171218157514673</v>
      </c>
      <c r="N926" t="s">
        <v>95</v>
      </c>
      <c r="O926" t="s">
        <v>2110</v>
      </c>
      <c r="P926" t="s">
        <v>93</v>
      </c>
      <c r="Q926">
        <v>0</v>
      </c>
      <c r="R926" t="s">
        <v>95</v>
      </c>
      <c r="S926">
        <v>-27.845876409999999</v>
      </c>
      <c r="T926">
        <f t="shared" si="129"/>
        <v>-42.783204391113294</v>
      </c>
      <c r="U926" t="s">
        <v>95</v>
      </c>
      <c r="V926">
        <v>17812</v>
      </c>
      <c r="W926" t="s">
        <v>2111</v>
      </c>
      <c r="X926">
        <v>846</v>
      </c>
      <c r="Y926" t="s">
        <v>633</v>
      </c>
      <c r="AB926">
        <f t="shared" si="130"/>
        <v>0</v>
      </c>
      <c r="AC926" t="s">
        <v>93</v>
      </c>
      <c r="AD926">
        <v>1</v>
      </c>
      <c r="AE926" t="s">
        <v>95</v>
      </c>
      <c r="AF926" t="s">
        <v>93</v>
      </c>
      <c r="AS926">
        <v>0.42899999999999999</v>
      </c>
      <c r="CF926">
        <v>0.57099999999999995</v>
      </c>
      <c r="CG926">
        <v>-29.8</v>
      </c>
      <c r="CH926" t="s">
        <v>95</v>
      </c>
      <c r="CI926" t="s">
        <v>93</v>
      </c>
      <c r="CR926">
        <f t="shared" si="131"/>
        <v>-33.171218157514673</v>
      </c>
      <c r="CS926">
        <f t="shared" si="132"/>
        <v>-42.783204391113294</v>
      </c>
      <c r="CT926">
        <f t="shared" si="133"/>
        <v>0</v>
      </c>
      <c r="CU926" s="7">
        <f t="shared" si="134"/>
        <v>-37.977211274313987</v>
      </c>
      <c r="CV926" s="9">
        <f t="shared" si="135"/>
        <v>650.86</v>
      </c>
      <c r="CW926" t="str">
        <f t="shared" si="127"/>
        <v>Ni3Sn4</v>
      </c>
    </row>
    <row r="927" spans="1:101" ht="15.75" thickBot="1" x14ac:dyDescent="0.3">
      <c r="A927" t="s">
        <v>91</v>
      </c>
      <c r="B927" t="s">
        <v>1810</v>
      </c>
      <c r="C927" t="s">
        <v>3144</v>
      </c>
      <c r="E927" t="s">
        <v>3145</v>
      </c>
      <c r="F927" t="s">
        <v>93</v>
      </c>
      <c r="G927" t="s">
        <v>1811</v>
      </c>
      <c r="H927">
        <v>484.99</v>
      </c>
      <c r="I927">
        <v>691</v>
      </c>
      <c r="M927">
        <f t="shared" si="128"/>
        <v>0</v>
      </c>
      <c r="O927" t="s">
        <v>93</v>
      </c>
      <c r="P927" t="s">
        <v>1805</v>
      </c>
      <c r="T927">
        <f t="shared" si="129"/>
        <v>0</v>
      </c>
      <c r="V927" t="s">
        <v>93</v>
      </c>
      <c r="W927" t="s">
        <v>93</v>
      </c>
      <c r="X927">
        <v>298</v>
      </c>
      <c r="Y927" t="s">
        <v>93</v>
      </c>
      <c r="Z927">
        <v>-18.399999999999999</v>
      </c>
      <c r="AA927" t="s">
        <v>95</v>
      </c>
      <c r="AB927">
        <f t="shared" si="130"/>
        <v>-37.938926575805681</v>
      </c>
      <c r="AC927" t="s">
        <v>93</v>
      </c>
      <c r="AD927">
        <v>2</v>
      </c>
      <c r="AE927" t="s">
        <v>95</v>
      </c>
      <c r="AF927" t="s">
        <v>93</v>
      </c>
      <c r="AH927" t="s">
        <v>93</v>
      </c>
      <c r="AI927" t="s">
        <v>93</v>
      </c>
      <c r="AJ927" t="s">
        <v>93</v>
      </c>
      <c r="AK927" t="s">
        <v>93</v>
      </c>
      <c r="AX927">
        <v>0.83299999999999996</v>
      </c>
      <c r="BH927">
        <v>0.16700000000000001</v>
      </c>
      <c r="CR927">
        <f t="shared" si="131"/>
        <v>0</v>
      </c>
      <c r="CS927">
        <f t="shared" si="132"/>
        <v>0</v>
      </c>
      <c r="CT927">
        <f t="shared" si="133"/>
        <v>-37.938926575805681</v>
      </c>
      <c r="CU927" s="7">
        <f t="shared" si="134"/>
        <v>-37.938926575805681</v>
      </c>
      <c r="CV927" s="9">
        <f t="shared" si="135"/>
        <v>484.99</v>
      </c>
      <c r="CW927" t="str">
        <f t="shared" si="127"/>
        <v>Cu5Er</v>
      </c>
    </row>
    <row r="928" spans="1:101" ht="15.75" thickBot="1" x14ac:dyDescent="0.3">
      <c r="A928" t="s">
        <v>91</v>
      </c>
      <c r="B928" t="s">
        <v>399</v>
      </c>
      <c r="C928" t="s">
        <v>3144</v>
      </c>
      <c r="E928" t="s">
        <v>3145</v>
      </c>
      <c r="F928" t="s">
        <v>93</v>
      </c>
      <c r="G928" t="s">
        <v>400</v>
      </c>
      <c r="H928">
        <v>1243.9659999999999</v>
      </c>
      <c r="I928">
        <v>165</v>
      </c>
      <c r="M928">
        <f t="shared" si="128"/>
        <v>0</v>
      </c>
      <c r="O928" t="s">
        <v>93</v>
      </c>
      <c r="P928" t="s">
        <v>93</v>
      </c>
      <c r="T928">
        <f t="shared" si="129"/>
        <v>0</v>
      </c>
      <c r="V928" t="s">
        <v>93</v>
      </c>
      <c r="W928" t="s">
        <v>401</v>
      </c>
      <c r="X928">
        <v>298</v>
      </c>
      <c r="Y928" t="s">
        <v>402</v>
      </c>
      <c r="Z928">
        <v>-47.15</v>
      </c>
      <c r="AA928" t="s">
        <v>95</v>
      </c>
      <c r="AB928">
        <f t="shared" si="130"/>
        <v>-37.90296519358246</v>
      </c>
      <c r="AC928" t="s">
        <v>93</v>
      </c>
      <c r="AD928">
        <v>3.04</v>
      </c>
      <c r="AE928" t="s">
        <v>95</v>
      </c>
      <c r="AF928" t="s">
        <v>93</v>
      </c>
      <c r="AH928" t="s">
        <v>93</v>
      </c>
      <c r="AI928" t="s">
        <v>93</v>
      </c>
      <c r="AJ928" t="s">
        <v>93</v>
      </c>
      <c r="AK928" t="s">
        <v>93</v>
      </c>
      <c r="AP928">
        <v>0.56000000000000005</v>
      </c>
      <c r="BC928">
        <v>0.44</v>
      </c>
      <c r="CR928">
        <f t="shared" si="131"/>
        <v>0</v>
      </c>
      <c r="CS928">
        <f t="shared" si="132"/>
        <v>0</v>
      </c>
      <c r="CT928">
        <f t="shared" si="133"/>
        <v>-37.90296519358246</v>
      </c>
      <c r="CU928" s="7">
        <f t="shared" si="134"/>
        <v>-37.90296519358246</v>
      </c>
      <c r="CV928" s="9">
        <f t="shared" si="135"/>
        <v>1243.9659999999999</v>
      </c>
      <c r="CW928" t="str">
        <f t="shared" si="127"/>
        <v>Au4Zr5</v>
      </c>
    </row>
    <row r="929" spans="1:101" ht="15.75" thickBot="1" x14ac:dyDescent="0.3">
      <c r="A929" t="s">
        <v>91</v>
      </c>
      <c r="B929" t="s">
        <v>1705</v>
      </c>
      <c r="C929" t="s">
        <v>3144</v>
      </c>
      <c r="E929" t="s">
        <v>3145</v>
      </c>
      <c r="F929" t="s">
        <v>93</v>
      </c>
      <c r="G929" t="s">
        <v>1706</v>
      </c>
      <c r="H929">
        <v>155.768</v>
      </c>
      <c r="I929">
        <v>654</v>
      </c>
      <c r="J929">
        <v>0</v>
      </c>
      <c r="K929" t="s">
        <v>95</v>
      </c>
      <c r="L929">
        <v>-6.2639212899999999</v>
      </c>
      <c r="M929">
        <f t="shared" si="128"/>
        <v>-40.213145768065324</v>
      </c>
      <c r="N929" t="s">
        <v>95</v>
      </c>
      <c r="O929" t="s">
        <v>1707</v>
      </c>
      <c r="P929" t="s">
        <v>93</v>
      </c>
      <c r="Q929">
        <v>0</v>
      </c>
      <c r="R929" t="s">
        <v>95</v>
      </c>
      <c r="S929">
        <v>-9.6748206000000003</v>
      </c>
      <c r="T929">
        <f t="shared" si="129"/>
        <v>-62.110450156643211</v>
      </c>
      <c r="U929" t="s">
        <v>95</v>
      </c>
      <c r="V929">
        <v>27645</v>
      </c>
      <c r="W929" t="s">
        <v>135</v>
      </c>
      <c r="X929">
        <v>298</v>
      </c>
      <c r="Y929" t="s">
        <v>136</v>
      </c>
      <c r="Z929">
        <v>-1.6</v>
      </c>
      <c r="AA929" t="s">
        <v>95</v>
      </c>
      <c r="AB929">
        <f t="shared" si="130"/>
        <v>-10.271686097272868</v>
      </c>
      <c r="AC929" t="s">
        <v>93</v>
      </c>
      <c r="AD929">
        <v>2.4</v>
      </c>
      <c r="AE929" t="s">
        <v>95</v>
      </c>
      <c r="AF929" t="s">
        <v>93</v>
      </c>
      <c r="BA929">
        <v>0.5</v>
      </c>
      <c r="CR929">
        <f t="shared" si="131"/>
        <v>-40.213145768065324</v>
      </c>
      <c r="CS929">
        <f t="shared" si="132"/>
        <v>-62.110450156643211</v>
      </c>
      <c r="CT929">
        <f t="shared" si="133"/>
        <v>-10.271686097272868</v>
      </c>
      <c r="CU929" s="7">
        <f t="shared" si="134"/>
        <v>-37.531760673993801</v>
      </c>
      <c r="CV929" s="9">
        <f t="shared" si="135"/>
        <v>155.768</v>
      </c>
      <c r="CW929" t="str">
        <f t="shared" si="127"/>
        <v>TiAg</v>
      </c>
    </row>
    <row r="930" spans="1:101" ht="15.75" thickBot="1" x14ac:dyDescent="0.3">
      <c r="A930" t="s">
        <v>91</v>
      </c>
      <c r="B930" t="s">
        <v>2585</v>
      </c>
      <c r="C930" t="s">
        <v>3144</v>
      </c>
      <c r="E930" t="s">
        <v>3145</v>
      </c>
      <c r="F930" t="s">
        <v>93</v>
      </c>
      <c r="G930" t="s">
        <v>2586</v>
      </c>
      <c r="H930">
        <v>357.03399999999999</v>
      </c>
      <c r="I930">
        <v>1054</v>
      </c>
      <c r="M930">
        <f t="shared" si="128"/>
        <v>0</v>
      </c>
      <c r="O930" t="s">
        <v>93</v>
      </c>
      <c r="P930" t="s">
        <v>93</v>
      </c>
      <c r="T930">
        <f t="shared" si="129"/>
        <v>0</v>
      </c>
      <c r="V930" t="s">
        <v>93</v>
      </c>
      <c r="W930" t="s">
        <v>194</v>
      </c>
      <c r="X930">
        <v>298</v>
      </c>
      <c r="Y930" t="s">
        <v>103</v>
      </c>
      <c r="Z930">
        <v>-13.2</v>
      </c>
      <c r="AA930" t="s">
        <v>95</v>
      </c>
      <c r="AB930">
        <f t="shared" si="130"/>
        <v>-36.971268842743264</v>
      </c>
      <c r="AC930" t="s">
        <v>93</v>
      </c>
      <c r="AD930">
        <v>2.8</v>
      </c>
      <c r="AE930" t="s">
        <v>95</v>
      </c>
      <c r="AF930" t="s">
        <v>93</v>
      </c>
      <c r="AH930" t="s">
        <v>93</v>
      </c>
      <c r="AI930" t="s">
        <v>93</v>
      </c>
      <c r="AJ930" t="s">
        <v>93</v>
      </c>
      <c r="AK930" t="s">
        <v>93</v>
      </c>
      <c r="BB930">
        <v>0.25</v>
      </c>
      <c r="BR930">
        <v>0.75</v>
      </c>
      <c r="CR930">
        <f t="shared" si="131"/>
        <v>0</v>
      </c>
      <c r="CS930">
        <f t="shared" si="132"/>
        <v>0</v>
      </c>
      <c r="CT930">
        <f t="shared" si="133"/>
        <v>-36.971268842743264</v>
      </c>
      <c r="CU930" s="7">
        <f t="shared" si="134"/>
        <v>-36.971268842743264</v>
      </c>
      <c r="CV930" s="9">
        <f t="shared" si="135"/>
        <v>357.03399999999999</v>
      </c>
      <c r="CW930" t="str">
        <f t="shared" si="127"/>
        <v>IrMn3</v>
      </c>
    </row>
    <row r="931" spans="1:101" ht="15.75" thickBot="1" x14ac:dyDescent="0.3">
      <c r="A931" t="s">
        <v>91</v>
      </c>
      <c r="B931" t="s">
        <v>2552</v>
      </c>
      <c r="C931" t="s">
        <v>3144</v>
      </c>
      <c r="E931" t="s">
        <v>3145</v>
      </c>
      <c r="F931" t="s">
        <v>93</v>
      </c>
      <c r="G931" t="s">
        <v>2553</v>
      </c>
      <c r="H931">
        <v>283.10000000000002</v>
      </c>
      <c r="I931">
        <v>1042</v>
      </c>
      <c r="J931">
        <v>0</v>
      </c>
      <c r="K931" t="s">
        <v>95</v>
      </c>
      <c r="L931">
        <v>-12.29038368</v>
      </c>
      <c r="M931">
        <f t="shared" si="128"/>
        <v>-43.413577110561633</v>
      </c>
      <c r="N931" t="s">
        <v>95</v>
      </c>
      <c r="O931" t="s">
        <v>2554</v>
      </c>
      <c r="P931" t="s">
        <v>93</v>
      </c>
      <c r="Q931">
        <v>0</v>
      </c>
      <c r="R931" t="s">
        <v>95</v>
      </c>
      <c r="S931">
        <v>-13.281832270000001</v>
      </c>
      <c r="T931">
        <f t="shared" si="129"/>
        <v>-46.91569152243023</v>
      </c>
      <c r="U931" t="s">
        <v>95</v>
      </c>
      <c r="V931">
        <v>17718</v>
      </c>
      <c r="W931" t="s">
        <v>159</v>
      </c>
      <c r="X931">
        <v>298</v>
      </c>
      <c r="Y931" t="s">
        <v>160</v>
      </c>
      <c r="Z931">
        <v>-5.8</v>
      </c>
      <c r="AA931" t="s">
        <v>95</v>
      </c>
      <c r="AB931">
        <f t="shared" si="130"/>
        <v>-20.487460261391732</v>
      </c>
      <c r="AC931" t="s">
        <v>93</v>
      </c>
      <c r="AD931">
        <v>5.3</v>
      </c>
      <c r="AE931" t="s">
        <v>95</v>
      </c>
      <c r="AF931" t="s">
        <v>93</v>
      </c>
      <c r="AP931">
        <v>0.33329999999999999</v>
      </c>
      <c r="BS931">
        <v>0.66669999999999996</v>
      </c>
      <c r="CR931">
        <f t="shared" si="131"/>
        <v>-43.413577110561633</v>
      </c>
      <c r="CS931">
        <f t="shared" si="132"/>
        <v>-46.91569152243023</v>
      </c>
      <c r="CT931">
        <f t="shared" si="133"/>
        <v>-20.487460261391732</v>
      </c>
      <c r="CU931" s="7">
        <f t="shared" si="134"/>
        <v>-36.9389096314612</v>
      </c>
      <c r="CV931" s="9">
        <f t="shared" si="135"/>
        <v>283.10000000000002</v>
      </c>
      <c r="CW931" t="str">
        <f t="shared" si="127"/>
        <v>ZrMo2</v>
      </c>
    </row>
    <row r="932" spans="1:101" ht="15.75" thickBot="1" x14ac:dyDescent="0.3">
      <c r="A932" t="s">
        <v>91</v>
      </c>
      <c r="B932" t="s">
        <v>1458</v>
      </c>
      <c r="C932" t="s">
        <v>3144</v>
      </c>
      <c r="E932" t="s">
        <v>3145</v>
      </c>
      <c r="F932" t="s">
        <v>93</v>
      </c>
      <c r="G932" t="s">
        <v>1459</v>
      </c>
      <c r="H932">
        <v>450.483</v>
      </c>
      <c r="I932">
        <v>560</v>
      </c>
      <c r="M932">
        <f t="shared" si="128"/>
        <v>0</v>
      </c>
      <c r="O932" t="s">
        <v>93</v>
      </c>
      <c r="P932" t="s">
        <v>93</v>
      </c>
      <c r="T932">
        <f t="shared" si="129"/>
        <v>0</v>
      </c>
      <c r="V932" t="s">
        <v>93</v>
      </c>
      <c r="W932" t="s">
        <v>1460</v>
      </c>
      <c r="X932">
        <v>298</v>
      </c>
      <c r="Y932" t="s">
        <v>1273</v>
      </c>
      <c r="Z932">
        <v>-16.600000000000001</v>
      </c>
      <c r="AA932" t="s">
        <v>95</v>
      </c>
      <c r="AB932">
        <f t="shared" si="130"/>
        <v>-36.849337266889094</v>
      </c>
      <c r="AC932" t="s">
        <v>93</v>
      </c>
      <c r="AD932">
        <v>1.7</v>
      </c>
      <c r="AE932" t="s">
        <v>95</v>
      </c>
      <c r="AF932" t="s">
        <v>93</v>
      </c>
      <c r="AH932" t="s">
        <v>93</v>
      </c>
      <c r="AI932" t="s">
        <v>93</v>
      </c>
      <c r="AJ932" t="s">
        <v>93</v>
      </c>
      <c r="AK932" t="s">
        <v>93</v>
      </c>
      <c r="BD932">
        <v>0.28999999999999998</v>
      </c>
      <c r="BY932">
        <v>0.71</v>
      </c>
      <c r="CR932">
        <f t="shared" si="131"/>
        <v>0</v>
      </c>
      <c r="CS932">
        <f t="shared" si="132"/>
        <v>0</v>
      </c>
      <c r="CT932">
        <f t="shared" si="133"/>
        <v>-36.849337266889094</v>
      </c>
      <c r="CU932" s="7">
        <f t="shared" si="134"/>
        <v>-36.849337266889094</v>
      </c>
      <c r="CV932" s="9">
        <f t="shared" si="135"/>
        <v>450.483</v>
      </c>
      <c r="CW932" t="str">
        <f t="shared" si="127"/>
        <v>Ga5V2</v>
      </c>
    </row>
    <row r="933" spans="1:101" ht="15.75" thickBot="1" x14ac:dyDescent="0.3">
      <c r="A933" t="s">
        <v>91</v>
      </c>
      <c r="B933" t="s">
        <v>1686</v>
      </c>
      <c r="C933" t="s">
        <v>3144</v>
      </c>
      <c r="E933" t="s">
        <v>3145</v>
      </c>
      <c r="F933" t="s">
        <v>93</v>
      </c>
      <c r="G933" t="s">
        <v>1687</v>
      </c>
      <c r="H933">
        <v>1169.1119999999901</v>
      </c>
      <c r="I933">
        <v>646</v>
      </c>
      <c r="M933">
        <f t="shared" si="128"/>
        <v>0</v>
      </c>
      <c r="O933" t="s">
        <v>93</v>
      </c>
      <c r="P933" t="s">
        <v>93</v>
      </c>
      <c r="Q933">
        <v>1.0862236000000001</v>
      </c>
      <c r="R933" t="s">
        <v>95</v>
      </c>
      <c r="S933">
        <v>-35.932857630000001</v>
      </c>
      <c r="T933">
        <f t="shared" si="129"/>
        <v>-30.735171335167465</v>
      </c>
      <c r="U933" t="s">
        <v>95</v>
      </c>
      <c r="V933">
        <v>30538</v>
      </c>
      <c r="W933" t="s">
        <v>339</v>
      </c>
      <c r="X933">
        <v>298</v>
      </c>
      <c r="Y933" t="s">
        <v>1403</v>
      </c>
      <c r="Z933">
        <v>-50.2</v>
      </c>
      <c r="AA933" t="s">
        <v>95</v>
      </c>
      <c r="AB933">
        <f t="shared" si="130"/>
        <v>-42.938572181279831</v>
      </c>
      <c r="AC933" t="s">
        <v>93</v>
      </c>
      <c r="AD933">
        <v>2</v>
      </c>
      <c r="AE933" t="s">
        <v>95</v>
      </c>
      <c r="AF933" t="s">
        <v>93</v>
      </c>
      <c r="AH933" t="s">
        <v>93</v>
      </c>
      <c r="AI933" t="s">
        <v>93</v>
      </c>
      <c r="BJ933">
        <v>0.625</v>
      </c>
      <c r="BZ933">
        <v>0.375</v>
      </c>
      <c r="CR933">
        <f t="shared" si="131"/>
        <v>0</v>
      </c>
      <c r="CS933">
        <f t="shared" si="132"/>
        <v>-30.735171335167465</v>
      </c>
      <c r="CT933">
        <f t="shared" si="133"/>
        <v>-42.938572181279831</v>
      </c>
      <c r="CU933" s="7">
        <f t="shared" si="134"/>
        <v>-36.836871758223651</v>
      </c>
      <c r="CV933" s="9">
        <f t="shared" si="135"/>
        <v>1169.1119999999901</v>
      </c>
      <c r="CW933" t="str">
        <f t="shared" si="127"/>
        <v>Ho5In3</v>
      </c>
    </row>
    <row r="934" spans="1:101" ht="15.75" thickBot="1" x14ac:dyDescent="0.3">
      <c r="A934" t="s">
        <v>91</v>
      </c>
      <c r="B934" t="s">
        <v>2449</v>
      </c>
      <c r="C934" t="s">
        <v>3144</v>
      </c>
      <c r="E934" t="s">
        <v>3145</v>
      </c>
      <c r="F934" t="s">
        <v>93</v>
      </c>
      <c r="G934" t="s">
        <v>2450</v>
      </c>
      <c r="H934">
        <v>243.21719999999999</v>
      </c>
      <c r="I934">
        <v>994</v>
      </c>
      <c r="M934">
        <f t="shared" si="128"/>
        <v>0</v>
      </c>
      <c r="O934" t="s">
        <v>93</v>
      </c>
      <c r="P934" t="s">
        <v>93</v>
      </c>
      <c r="T934">
        <f t="shared" si="129"/>
        <v>0</v>
      </c>
      <c r="V934" t="s">
        <v>93</v>
      </c>
      <c r="W934" t="s">
        <v>184</v>
      </c>
      <c r="X934">
        <v>298</v>
      </c>
      <c r="Y934" t="s">
        <v>1983</v>
      </c>
      <c r="Z934">
        <v>-8.9</v>
      </c>
      <c r="AA934" t="s">
        <v>95</v>
      </c>
      <c r="AB934">
        <f t="shared" si="130"/>
        <v>-36.592806758732522</v>
      </c>
      <c r="AC934" t="s">
        <v>93</v>
      </c>
      <c r="AD934">
        <v>2</v>
      </c>
      <c r="AE934" t="s">
        <v>95</v>
      </c>
      <c r="AF934" t="s">
        <v>93</v>
      </c>
      <c r="AH934" t="s">
        <v>93</v>
      </c>
      <c r="AI934" t="s">
        <v>93</v>
      </c>
      <c r="AJ934" t="s">
        <v>93</v>
      </c>
      <c r="AK934" t="s">
        <v>93</v>
      </c>
      <c r="AT934">
        <v>0.5</v>
      </c>
      <c r="AW934">
        <v>0.25</v>
      </c>
      <c r="CA934">
        <v>0.25</v>
      </c>
      <c r="CR934">
        <f t="shared" si="131"/>
        <v>0</v>
      </c>
      <c r="CS934">
        <f t="shared" si="132"/>
        <v>0</v>
      </c>
      <c r="CT934">
        <f t="shared" si="133"/>
        <v>-36.592806758732522</v>
      </c>
      <c r="CU934" s="7">
        <f t="shared" si="134"/>
        <v>-36.592806758732522</v>
      </c>
      <c r="CV934" s="9">
        <f t="shared" si="135"/>
        <v>243.21719999999999</v>
      </c>
      <c r="CW934" t="str">
        <f t="shared" si="127"/>
        <v>Fe2CoGe</v>
      </c>
    </row>
    <row r="935" spans="1:101" ht="15.75" thickBot="1" x14ac:dyDescent="0.3">
      <c r="A935" t="s">
        <v>91</v>
      </c>
      <c r="B935" t="s">
        <v>1808</v>
      </c>
      <c r="C935" t="s">
        <v>3144</v>
      </c>
      <c r="E935" t="s">
        <v>3145</v>
      </c>
      <c r="F935" t="s">
        <v>93</v>
      </c>
      <c r="G935" t="s">
        <v>1809</v>
      </c>
      <c r="H935">
        <v>482.66039999999998</v>
      </c>
      <c r="I935">
        <v>690</v>
      </c>
      <c r="M935">
        <f t="shared" si="128"/>
        <v>0</v>
      </c>
      <c r="O935" t="s">
        <v>93</v>
      </c>
      <c r="P935" t="s">
        <v>1805</v>
      </c>
      <c r="T935">
        <f t="shared" si="129"/>
        <v>0</v>
      </c>
      <c r="V935" t="s">
        <v>93</v>
      </c>
      <c r="W935" t="s">
        <v>93</v>
      </c>
      <c r="X935">
        <v>298</v>
      </c>
      <c r="Y935" t="s">
        <v>93</v>
      </c>
      <c r="Z935">
        <v>-17.3</v>
      </c>
      <c r="AA935" t="s">
        <v>95</v>
      </c>
      <c r="AB935">
        <f t="shared" si="130"/>
        <v>-35.843006801469528</v>
      </c>
      <c r="AC935" t="s">
        <v>93</v>
      </c>
      <c r="AD935">
        <v>2.1</v>
      </c>
      <c r="AE935" t="s">
        <v>95</v>
      </c>
      <c r="AF935" t="s">
        <v>93</v>
      </c>
      <c r="AH935" t="s">
        <v>93</v>
      </c>
      <c r="AI935" t="s">
        <v>93</v>
      </c>
      <c r="AJ935" t="s">
        <v>93</v>
      </c>
      <c r="AK935" t="s">
        <v>93</v>
      </c>
      <c r="AX935">
        <v>0.83299999999999996</v>
      </c>
      <c r="BJ935">
        <v>0.16700000000000001</v>
      </c>
      <c r="CR935">
        <f t="shared" si="131"/>
        <v>0</v>
      </c>
      <c r="CS935">
        <f t="shared" si="132"/>
        <v>0</v>
      </c>
      <c r="CT935">
        <f t="shared" si="133"/>
        <v>-35.843006801469528</v>
      </c>
      <c r="CU935" s="7">
        <f t="shared" si="134"/>
        <v>-35.843006801469528</v>
      </c>
      <c r="CV935" s="9">
        <f t="shared" si="135"/>
        <v>482.66039999999998</v>
      </c>
      <c r="CW935" t="str">
        <f t="shared" si="127"/>
        <v>HoCu5</v>
      </c>
    </row>
    <row r="936" spans="1:101" ht="15.75" thickBot="1" x14ac:dyDescent="0.3">
      <c r="A936" t="s">
        <v>91</v>
      </c>
      <c r="B936" t="s">
        <v>1125</v>
      </c>
      <c r="C936" t="s">
        <v>3144</v>
      </c>
      <c r="E936" t="s">
        <v>3145</v>
      </c>
      <c r="F936" t="s">
        <v>93</v>
      </c>
      <c r="G936" t="s">
        <v>1126</v>
      </c>
      <c r="H936">
        <v>475.83231999999998</v>
      </c>
      <c r="I936">
        <v>445</v>
      </c>
      <c r="M936">
        <f t="shared" si="128"/>
        <v>0</v>
      </c>
      <c r="O936" t="s">
        <v>93</v>
      </c>
      <c r="P936" t="s">
        <v>93</v>
      </c>
      <c r="T936">
        <f t="shared" si="129"/>
        <v>0</v>
      </c>
      <c r="V936" t="s">
        <v>93</v>
      </c>
      <c r="W936" t="s">
        <v>97</v>
      </c>
      <c r="X936">
        <v>298</v>
      </c>
      <c r="Y936" t="s">
        <v>98</v>
      </c>
      <c r="Z936">
        <v>-16.899999999999999</v>
      </c>
      <c r="AA936" t="s">
        <v>95</v>
      </c>
      <c r="AB936">
        <f t="shared" si="130"/>
        <v>-35.516713114401306</v>
      </c>
      <c r="AC936" t="s">
        <v>93</v>
      </c>
      <c r="AD936">
        <v>1.8</v>
      </c>
      <c r="AE936" t="s">
        <v>95</v>
      </c>
      <c r="AF936" t="s">
        <v>93</v>
      </c>
      <c r="AH936" t="s">
        <v>93</v>
      </c>
      <c r="AI936" t="s">
        <v>93</v>
      </c>
      <c r="AJ936" t="s">
        <v>93</v>
      </c>
      <c r="AK936" t="s">
        <v>93</v>
      </c>
      <c r="AR936">
        <v>0.62</v>
      </c>
      <c r="BV936">
        <v>0.38</v>
      </c>
      <c r="CR936">
        <f t="shared" si="131"/>
        <v>0</v>
      </c>
      <c r="CS936">
        <f t="shared" si="132"/>
        <v>0</v>
      </c>
      <c r="CT936">
        <f t="shared" si="133"/>
        <v>-35.516713114401306</v>
      </c>
      <c r="CU936" s="7">
        <f t="shared" si="134"/>
        <v>-35.516713114401306</v>
      </c>
      <c r="CV936" s="9">
        <f t="shared" si="135"/>
        <v>475.83231999999998</v>
      </c>
      <c r="CW936" t="str">
        <f t="shared" si="127"/>
        <v>Al8Cr5</v>
      </c>
    </row>
    <row r="937" spans="1:101" ht="15.75" thickBot="1" x14ac:dyDescent="0.3">
      <c r="A937" t="s">
        <v>91</v>
      </c>
      <c r="B937" t="s">
        <v>2060</v>
      </c>
      <c r="C937" t="s">
        <v>3144</v>
      </c>
      <c r="E937" t="s">
        <v>3145</v>
      </c>
      <c r="G937" t="s">
        <v>2061</v>
      </c>
      <c r="H937">
        <v>558.21</v>
      </c>
      <c r="I937">
        <v>813</v>
      </c>
      <c r="J937">
        <v>0</v>
      </c>
      <c r="K937" t="s">
        <v>95</v>
      </c>
      <c r="L937">
        <v>-17.337089840000001</v>
      </c>
      <c r="M937">
        <f t="shared" si="128"/>
        <v>-31.058364844771681</v>
      </c>
      <c r="N937" t="s">
        <v>95</v>
      </c>
      <c r="O937" t="s">
        <v>2062</v>
      </c>
      <c r="P937" t="s">
        <v>93</v>
      </c>
      <c r="Q937">
        <v>0.15576867</v>
      </c>
      <c r="R937" t="s">
        <v>95</v>
      </c>
      <c r="S937">
        <v>-22.180761029999999</v>
      </c>
      <c r="T937">
        <f t="shared" si="129"/>
        <v>-39.735513570161764</v>
      </c>
      <c r="U937" t="s">
        <v>95</v>
      </c>
      <c r="V937">
        <v>18093</v>
      </c>
      <c r="W937" t="s">
        <v>1100</v>
      </c>
      <c r="X937">
        <v>1173</v>
      </c>
      <c r="Y937" t="s">
        <v>2063</v>
      </c>
      <c r="AB937">
        <f t="shared" si="130"/>
        <v>0</v>
      </c>
      <c r="AC937" t="s">
        <v>93</v>
      </c>
      <c r="AD937">
        <v>1.6</v>
      </c>
      <c r="AE937" t="s">
        <v>95</v>
      </c>
      <c r="AF937" t="s">
        <v>93</v>
      </c>
      <c r="AV937">
        <v>0.4</v>
      </c>
      <c r="CF937">
        <v>0.6</v>
      </c>
      <c r="CG937">
        <v>-28.1</v>
      </c>
      <c r="CH937" t="s">
        <v>95</v>
      </c>
      <c r="CI937" t="s">
        <v>93</v>
      </c>
      <c r="CR937">
        <f t="shared" si="131"/>
        <v>-31.058364844771681</v>
      </c>
      <c r="CS937">
        <f t="shared" si="132"/>
        <v>-39.735513570161764</v>
      </c>
      <c r="CT937">
        <f t="shared" si="133"/>
        <v>0</v>
      </c>
      <c r="CU937" s="7">
        <f t="shared" si="134"/>
        <v>-35.396939207466723</v>
      </c>
      <c r="CV937" s="9">
        <f t="shared" si="135"/>
        <v>558.21</v>
      </c>
      <c r="CW937" t="str">
        <f t="shared" si="127"/>
        <v>Sn3Ru2</v>
      </c>
    </row>
    <row r="938" spans="1:101" ht="15.75" thickBot="1" x14ac:dyDescent="0.3">
      <c r="A938" t="s">
        <v>91</v>
      </c>
      <c r="B938" t="s">
        <v>93</v>
      </c>
      <c r="C938" t="s">
        <v>3144</v>
      </c>
      <c r="E938" t="s">
        <v>3145</v>
      </c>
      <c r="F938" t="s">
        <v>93</v>
      </c>
      <c r="G938" t="s">
        <v>2936</v>
      </c>
      <c r="H938">
        <v>288.17500000000001</v>
      </c>
      <c r="I938">
        <v>1218</v>
      </c>
      <c r="M938">
        <f t="shared" si="128"/>
        <v>0</v>
      </c>
      <c r="O938" t="s">
        <v>93</v>
      </c>
      <c r="P938" t="s">
        <v>93</v>
      </c>
      <c r="T938">
        <f t="shared" si="129"/>
        <v>0</v>
      </c>
      <c r="V938" t="s">
        <v>93</v>
      </c>
      <c r="W938" t="s">
        <v>184</v>
      </c>
      <c r="X938">
        <v>298</v>
      </c>
      <c r="Y938" t="s">
        <v>185</v>
      </c>
      <c r="Z938">
        <v>-10.199999999999999</v>
      </c>
      <c r="AA938" t="s">
        <v>95</v>
      </c>
      <c r="AB938">
        <f t="shared" si="130"/>
        <v>-35.39515919146352</v>
      </c>
      <c r="AC938" t="s">
        <v>93</v>
      </c>
      <c r="AD938">
        <v>2.4</v>
      </c>
      <c r="AE938" t="s">
        <v>95</v>
      </c>
      <c r="AF938" t="s">
        <v>93</v>
      </c>
      <c r="AH938" t="s">
        <v>93</v>
      </c>
      <c r="AI938" t="s">
        <v>93</v>
      </c>
      <c r="AJ938" t="s">
        <v>93</v>
      </c>
      <c r="AK938" t="s">
        <v>93</v>
      </c>
      <c r="AS938">
        <v>0.25</v>
      </c>
      <c r="AT938">
        <v>0.25</v>
      </c>
      <c r="BR938">
        <v>0.25</v>
      </c>
      <c r="CF938">
        <v>0.25</v>
      </c>
      <c r="CR938">
        <f t="shared" si="131"/>
        <v>0</v>
      </c>
      <c r="CS938">
        <f t="shared" si="132"/>
        <v>0</v>
      </c>
      <c r="CT938">
        <f t="shared" si="133"/>
        <v>-35.39515919146352</v>
      </c>
      <c r="CU938" s="7">
        <f t="shared" si="134"/>
        <v>-35.39515919146352</v>
      </c>
      <c r="CV938" s="9">
        <f t="shared" si="135"/>
        <v>288.17500000000001</v>
      </c>
      <c r="CW938" t="str">
        <f t="shared" ref="CW938:CW1001" si="136">G938</f>
        <v>FeNiMnSn</v>
      </c>
    </row>
    <row r="939" spans="1:101" ht="15.75" thickBot="1" x14ac:dyDescent="0.3">
      <c r="A939" t="s">
        <v>91</v>
      </c>
      <c r="B939" t="s">
        <v>1693</v>
      </c>
      <c r="C939" t="s">
        <v>3144</v>
      </c>
      <c r="E939" t="s">
        <v>3145</v>
      </c>
      <c r="F939" t="s">
        <v>93</v>
      </c>
      <c r="G939" t="s">
        <v>1694</v>
      </c>
      <c r="H939">
        <v>1219.2950000000001</v>
      </c>
      <c r="I939">
        <v>649</v>
      </c>
      <c r="M939">
        <f t="shared" si="128"/>
        <v>0</v>
      </c>
      <c r="O939" t="s">
        <v>93</v>
      </c>
      <c r="P939" t="s">
        <v>93</v>
      </c>
      <c r="Q939">
        <v>0</v>
      </c>
      <c r="R939" t="s">
        <v>95</v>
      </c>
      <c r="S939">
        <v>-33.989593130000003</v>
      </c>
      <c r="T939">
        <f t="shared" si="129"/>
        <v>-27.876431158989416</v>
      </c>
      <c r="U939" t="s">
        <v>95</v>
      </c>
      <c r="V939">
        <v>30575</v>
      </c>
      <c r="W939" t="s">
        <v>339</v>
      </c>
      <c r="X939">
        <v>298</v>
      </c>
      <c r="Y939" t="s">
        <v>1403</v>
      </c>
      <c r="Z939">
        <v>-52.3</v>
      </c>
      <c r="AA939" t="s">
        <v>95</v>
      </c>
      <c r="AB939">
        <f t="shared" si="130"/>
        <v>-42.893639357169505</v>
      </c>
      <c r="AC939" t="s">
        <v>93</v>
      </c>
      <c r="AD939">
        <v>1.9</v>
      </c>
      <c r="AE939" t="s">
        <v>95</v>
      </c>
      <c r="AF939" t="s">
        <v>93</v>
      </c>
      <c r="AH939" t="s">
        <v>93</v>
      </c>
      <c r="AI939" t="s">
        <v>93</v>
      </c>
      <c r="BL939">
        <v>0.625</v>
      </c>
      <c r="BZ939">
        <v>0.375</v>
      </c>
      <c r="CR939">
        <f t="shared" si="131"/>
        <v>0</v>
      </c>
      <c r="CS939">
        <f t="shared" si="132"/>
        <v>-27.876431158989416</v>
      </c>
      <c r="CT939">
        <f t="shared" si="133"/>
        <v>-42.893639357169505</v>
      </c>
      <c r="CU939" s="7">
        <f t="shared" si="134"/>
        <v>-35.385035258079462</v>
      </c>
      <c r="CV939" s="9">
        <f t="shared" si="135"/>
        <v>1219.2950000000001</v>
      </c>
      <c r="CW939" t="str">
        <f t="shared" si="136"/>
        <v>Lu5In3</v>
      </c>
    </row>
    <row r="940" spans="1:101" ht="15.75" thickBot="1" x14ac:dyDescent="0.3">
      <c r="A940" t="s">
        <v>91</v>
      </c>
      <c r="B940" t="s">
        <v>1688</v>
      </c>
      <c r="C940" t="s">
        <v>3144</v>
      </c>
      <c r="E940" t="s">
        <v>3145</v>
      </c>
      <c r="F940" t="s">
        <v>93</v>
      </c>
      <c r="G940" t="s">
        <v>1689</v>
      </c>
      <c r="H940">
        <v>1180.76</v>
      </c>
      <c r="I940">
        <v>647</v>
      </c>
      <c r="M940">
        <f t="shared" si="128"/>
        <v>0</v>
      </c>
      <c r="O940" t="s">
        <v>93</v>
      </c>
      <c r="P940" t="s">
        <v>93</v>
      </c>
      <c r="Q940">
        <v>0.75389068999999997</v>
      </c>
      <c r="R940" t="s">
        <v>95</v>
      </c>
      <c r="S940">
        <v>-35.715062230000001</v>
      </c>
      <c r="T940">
        <f t="shared" si="129"/>
        <v>-30.247520435990378</v>
      </c>
      <c r="U940" t="s">
        <v>95</v>
      </c>
      <c r="V940">
        <v>29991</v>
      </c>
      <c r="W940" t="s">
        <v>339</v>
      </c>
      <c r="X940">
        <v>298</v>
      </c>
      <c r="Y940" t="s">
        <v>1403</v>
      </c>
      <c r="Z940">
        <v>-47.7</v>
      </c>
      <c r="AA940" t="s">
        <v>95</v>
      </c>
      <c r="AB940">
        <f t="shared" si="130"/>
        <v>-40.397709949524035</v>
      </c>
      <c r="AC940" t="s">
        <v>93</v>
      </c>
      <c r="AD940">
        <v>2.5</v>
      </c>
      <c r="AE940" t="s">
        <v>95</v>
      </c>
      <c r="AF940" t="s">
        <v>93</v>
      </c>
      <c r="AH940" t="s">
        <v>93</v>
      </c>
      <c r="AI940" t="s">
        <v>93</v>
      </c>
      <c r="BH940">
        <v>0.625</v>
      </c>
      <c r="BZ940">
        <v>0.375</v>
      </c>
      <c r="CR940">
        <f t="shared" si="131"/>
        <v>0</v>
      </c>
      <c r="CS940">
        <f t="shared" si="132"/>
        <v>-30.247520435990378</v>
      </c>
      <c r="CT940">
        <f t="shared" si="133"/>
        <v>-40.397709949524035</v>
      </c>
      <c r="CU940" s="7">
        <f t="shared" si="134"/>
        <v>-35.322615192757205</v>
      </c>
      <c r="CV940" s="9">
        <f t="shared" si="135"/>
        <v>1180.76</v>
      </c>
      <c r="CW940" t="str">
        <f t="shared" si="136"/>
        <v>Er5In3</v>
      </c>
    </row>
    <row r="941" spans="1:101" ht="15.75" thickBot="1" x14ac:dyDescent="0.3">
      <c r="A941" t="s">
        <v>91</v>
      </c>
      <c r="B941" t="s">
        <v>1294</v>
      </c>
      <c r="C941" t="s">
        <v>3144</v>
      </c>
      <c r="E941" t="s">
        <v>3145</v>
      </c>
      <c r="F941" t="s">
        <v>93</v>
      </c>
      <c r="G941" t="s">
        <v>1295</v>
      </c>
      <c r="H941">
        <v>400.005</v>
      </c>
      <c r="I941">
        <v>507</v>
      </c>
      <c r="M941">
        <f t="shared" si="128"/>
        <v>0</v>
      </c>
      <c r="O941" t="s">
        <v>93</v>
      </c>
      <c r="P941" t="s">
        <v>93</v>
      </c>
      <c r="T941">
        <f t="shared" si="129"/>
        <v>0</v>
      </c>
      <c r="V941" t="s">
        <v>93</v>
      </c>
      <c r="W941" t="s">
        <v>1296</v>
      </c>
      <c r="X941">
        <v>298</v>
      </c>
      <c r="Y941" t="s">
        <v>1297</v>
      </c>
      <c r="Z941">
        <v>-14.1</v>
      </c>
      <c r="AA941" t="s">
        <v>95</v>
      </c>
      <c r="AB941">
        <f t="shared" si="130"/>
        <v>-35.249559380507748</v>
      </c>
      <c r="AC941" t="s">
        <v>93</v>
      </c>
      <c r="AD941">
        <v>0.8</v>
      </c>
      <c r="AE941" t="s">
        <v>95</v>
      </c>
      <c r="AF941" t="s">
        <v>93</v>
      </c>
      <c r="AH941" t="s">
        <v>93</v>
      </c>
      <c r="AI941" t="s">
        <v>93</v>
      </c>
      <c r="AJ941" t="s">
        <v>93</v>
      </c>
      <c r="AK941" t="s">
        <v>93</v>
      </c>
      <c r="BU941">
        <v>0.3</v>
      </c>
      <c r="BV941">
        <v>0.7</v>
      </c>
      <c r="CR941">
        <f t="shared" si="131"/>
        <v>0</v>
      </c>
      <c r="CS941">
        <f t="shared" si="132"/>
        <v>0</v>
      </c>
      <c r="CT941">
        <f t="shared" si="133"/>
        <v>-35.249559380507748</v>
      </c>
      <c r="CU941" s="7">
        <f t="shared" si="134"/>
        <v>-35.249559380507748</v>
      </c>
      <c r="CV941" s="9">
        <f t="shared" si="135"/>
        <v>400.005</v>
      </c>
      <c r="CW941" t="str">
        <f t="shared" si="136"/>
        <v>C3Cr7</v>
      </c>
    </row>
    <row r="942" spans="1:101" ht="15.75" thickBot="1" x14ac:dyDescent="0.3">
      <c r="A942" t="s">
        <v>91</v>
      </c>
      <c r="B942" t="s">
        <v>2388</v>
      </c>
      <c r="C942" t="s">
        <v>3144</v>
      </c>
      <c r="E942" t="s">
        <v>3145</v>
      </c>
      <c r="F942" t="s">
        <v>93</v>
      </c>
      <c r="G942" t="s">
        <v>2389</v>
      </c>
      <c r="H942">
        <v>280.62819999999999</v>
      </c>
      <c r="I942">
        <v>968</v>
      </c>
      <c r="J942">
        <v>0</v>
      </c>
      <c r="K942" t="s">
        <v>95</v>
      </c>
      <c r="L942">
        <v>-13.83723253</v>
      </c>
      <c r="M942">
        <f t="shared" si="128"/>
        <v>-49.308061449277012</v>
      </c>
      <c r="N942" t="s">
        <v>95</v>
      </c>
      <c r="O942" t="s">
        <v>2390</v>
      </c>
      <c r="P942" t="s">
        <v>93</v>
      </c>
      <c r="Q942">
        <v>0</v>
      </c>
      <c r="R942" t="s">
        <v>95</v>
      </c>
      <c r="S942">
        <v>-13.50590356</v>
      </c>
      <c r="T942">
        <f t="shared" si="129"/>
        <v>-48.127392614142131</v>
      </c>
      <c r="U942" t="s">
        <v>95</v>
      </c>
      <c r="V942">
        <v>17236</v>
      </c>
      <c r="W942" t="s">
        <v>159</v>
      </c>
      <c r="X942">
        <v>298</v>
      </c>
      <c r="Y942" t="s">
        <v>160</v>
      </c>
      <c r="Z942">
        <v>-2.2000000000000002</v>
      </c>
      <c r="AA942" t="s">
        <v>95</v>
      </c>
      <c r="AB942">
        <f t="shared" si="130"/>
        <v>-7.8395542571986718</v>
      </c>
      <c r="AC942" t="s">
        <v>93</v>
      </c>
      <c r="AD942">
        <v>2.8</v>
      </c>
      <c r="AE942" t="s">
        <v>95</v>
      </c>
      <c r="AF942" t="s">
        <v>93</v>
      </c>
      <c r="AT942">
        <v>0.66669999999999996</v>
      </c>
      <c r="BO942">
        <v>0.33329999999999999</v>
      </c>
      <c r="CR942">
        <f t="shared" si="131"/>
        <v>-49.308061449277012</v>
      </c>
      <c r="CS942">
        <f t="shared" si="132"/>
        <v>-48.127392614142131</v>
      </c>
      <c r="CT942">
        <f t="shared" si="133"/>
        <v>-7.8395542571986718</v>
      </c>
      <c r="CU942" s="7">
        <f t="shared" si="134"/>
        <v>-35.091669440205941</v>
      </c>
      <c r="CV942" s="9">
        <f t="shared" si="135"/>
        <v>280.62819999999999</v>
      </c>
      <c r="CW942" t="str">
        <f t="shared" si="136"/>
        <v>TmFe2</v>
      </c>
    </row>
    <row r="943" spans="1:101" ht="15.75" thickBot="1" x14ac:dyDescent="0.3">
      <c r="A943" t="s">
        <v>484</v>
      </c>
      <c r="B943" t="s">
        <v>93</v>
      </c>
      <c r="C943" t="s">
        <v>3138</v>
      </c>
      <c r="D943" t="s">
        <v>3139</v>
      </c>
      <c r="F943" t="s">
        <v>3140</v>
      </c>
      <c r="G943" t="s">
        <v>2300</v>
      </c>
      <c r="H943">
        <v>447.34154000000001</v>
      </c>
      <c r="I943">
        <v>920</v>
      </c>
      <c r="J943">
        <v>1.6464511100000001</v>
      </c>
      <c r="K943" t="s">
        <v>95</v>
      </c>
      <c r="L943">
        <v>-14.88256913</v>
      </c>
      <c r="M943">
        <f t="shared" si="128"/>
        <v>-33.268918263213386</v>
      </c>
      <c r="N943" t="s">
        <v>95</v>
      </c>
      <c r="O943" t="s">
        <v>2301</v>
      </c>
      <c r="P943" t="s">
        <v>93</v>
      </c>
      <c r="Q943">
        <v>2.7464000300000002</v>
      </c>
      <c r="R943" t="s">
        <v>95</v>
      </c>
      <c r="S943">
        <v>-15.49760242</v>
      </c>
      <c r="T943">
        <f t="shared" si="129"/>
        <v>-34.643781169975853</v>
      </c>
      <c r="U943" t="s">
        <v>95</v>
      </c>
      <c r="V943">
        <v>18919</v>
      </c>
      <c r="W943" t="s">
        <v>1313</v>
      </c>
      <c r="X943">
        <v>298</v>
      </c>
      <c r="Y943" t="s">
        <v>179</v>
      </c>
      <c r="Z943">
        <v>-16.399999999999999</v>
      </c>
      <c r="AA943" t="s">
        <v>95</v>
      </c>
      <c r="AB943">
        <f t="shared" si="130"/>
        <v>-36.661026382660545</v>
      </c>
      <c r="AC943" t="s">
        <v>93</v>
      </c>
      <c r="AD943">
        <v>4</v>
      </c>
      <c r="AE943" t="s">
        <v>95</v>
      </c>
      <c r="AF943" t="s">
        <v>93</v>
      </c>
      <c r="AM943">
        <v>0.751</v>
      </c>
      <c r="AR943">
        <v>0.249</v>
      </c>
      <c r="CR943">
        <f t="shared" si="131"/>
        <v>-33.268918263213386</v>
      </c>
      <c r="CS943">
        <f t="shared" si="132"/>
        <v>-34.643781169975853</v>
      </c>
      <c r="CT943">
        <f t="shared" si="133"/>
        <v>-36.661026382660545</v>
      </c>
      <c r="CU943" s="7">
        <f t="shared" si="134"/>
        <v>-34.857908605283257</v>
      </c>
      <c r="CV943" s="9">
        <f t="shared" si="135"/>
        <v>447.34154000000001</v>
      </c>
      <c r="CW943" t="str">
        <f t="shared" si="136"/>
        <v>Ce3Al</v>
      </c>
    </row>
    <row r="944" spans="1:101" ht="15.75" thickBot="1" x14ac:dyDescent="0.3">
      <c r="A944" t="s">
        <v>91</v>
      </c>
      <c r="B944" t="s">
        <v>2562</v>
      </c>
      <c r="C944" t="s">
        <v>3144</v>
      </c>
      <c r="E944" t="s">
        <v>3145</v>
      </c>
      <c r="F944" t="s">
        <v>93</v>
      </c>
      <c r="G944" t="s">
        <v>2563</v>
      </c>
      <c r="H944">
        <v>370.37</v>
      </c>
      <c r="I944">
        <v>1046</v>
      </c>
      <c r="J944">
        <v>0</v>
      </c>
      <c r="K944" t="s">
        <v>95</v>
      </c>
      <c r="L944">
        <v>-15.502305979999999</v>
      </c>
      <c r="M944">
        <f t="shared" si="128"/>
        <v>-41.856268002267996</v>
      </c>
      <c r="N944" t="s">
        <v>95</v>
      </c>
      <c r="O944" t="s">
        <v>2564</v>
      </c>
      <c r="P944" t="s">
        <v>93</v>
      </c>
      <c r="Q944">
        <v>0</v>
      </c>
      <c r="R944" t="s">
        <v>95</v>
      </c>
      <c r="S944">
        <v>-16.40894574</v>
      </c>
      <c r="T944">
        <f t="shared" si="129"/>
        <v>-44.304197802197798</v>
      </c>
      <c r="U944" t="s">
        <v>95</v>
      </c>
      <c r="V944">
        <v>17365</v>
      </c>
      <c r="W944" t="s">
        <v>159</v>
      </c>
      <c r="X944">
        <v>298</v>
      </c>
      <c r="Y944" t="s">
        <v>160</v>
      </c>
      <c r="Z944">
        <v>-6.4</v>
      </c>
      <c r="AA944" t="s">
        <v>95</v>
      </c>
      <c r="AB944">
        <f t="shared" si="130"/>
        <v>-17.28001728001728</v>
      </c>
      <c r="AC944" t="s">
        <v>93</v>
      </c>
      <c r="AD944">
        <v>4.3</v>
      </c>
      <c r="AE944" t="s">
        <v>95</v>
      </c>
      <c r="AF944" t="s">
        <v>93</v>
      </c>
      <c r="AQ944">
        <v>0.33329999999999999</v>
      </c>
      <c r="BS944">
        <v>0.66669999999999996</v>
      </c>
      <c r="CR944">
        <f t="shared" si="131"/>
        <v>-41.856268002267996</v>
      </c>
      <c r="CS944">
        <f t="shared" si="132"/>
        <v>-44.304197802197798</v>
      </c>
      <c r="CT944">
        <f t="shared" si="133"/>
        <v>-17.28001728001728</v>
      </c>
      <c r="CU944" s="7">
        <f t="shared" si="134"/>
        <v>-34.480161028161021</v>
      </c>
      <c r="CV944" s="9">
        <f t="shared" si="135"/>
        <v>370.37</v>
      </c>
      <c r="CW944" t="str">
        <f t="shared" si="136"/>
        <v>HfMo2</v>
      </c>
    </row>
    <row r="945" spans="1:101" ht="15.75" thickBot="1" x14ac:dyDescent="0.3">
      <c r="A945" t="s">
        <v>91</v>
      </c>
      <c r="B945" t="s">
        <v>1215</v>
      </c>
      <c r="C945" t="s">
        <v>3144</v>
      </c>
      <c r="E945" t="s">
        <v>3145</v>
      </c>
      <c r="F945" t="s">
        <v>93</v>
      </c>
      <c r="G945" t="s">
        <v>1216</v>
      </c>
      <c r="H945">
        <v>619.9</v>
      </c>
      <c r="I945">
        <v>477</v>
      </c>
      <c r="M945">
        <f t="shared" si="128"/>
        <v>0</v>
      </c>
      <c r="O945" t="s">
        <v>93</v>
      </c>
      <c r="P945" t="s">
        <v>93</v>
      </c>
      <c r="T945">
        <f t="shared" si="129"/>
        <v>0</v>
      </c>
      <c r="V945" t="s">
        <v>93</v>
      </c>
      <c r="W945" t="s">
        <v>793</v>
      </c>
      <c r="X945">
        <v>298</v>
      </c>
      <c r="Y945" t="s">
        <v>794</v>
      </c>
      <c r="Z945">
        <v>-20.9</v>
      </c>
      <c r="AA945" t="s">
        <v>95</v>
      </c>
      <c r="AB945">
        <f t="shared" si="130"/>
        <v>-33.71511534118406</v>
      </c>
      <c r="AC945" t="s">
        <v>93</v>
      </c>
      <c r="AD945">
        <v>1</v>
      </c>
      <c r="AE945" t="s">
        <v>95</v>
      </c>
      <c r="AF945" t="s">
        <v>93</v>
      </c>
      <c r="AH945" t="s">
        <v>93</v>
      </c>
      <c r="AI945" t="s">
        <v>93</v>
      </c>
      <c r="AJ945" t="s">
        <v>93</v>
      </c>
      <c r="AK945" t="s">
        <v>93</v>
      </c>
      <c r="BB945">
        <v>0.43</v>
      </c>
      <c r="BQ945">
        <v>0.56999999999999995</v>
      </c>
      <c r="CR945">
        <f t="shared" si="131"/>
        <v>0</v>
      </c>
      <c r="CS945">
        <f t="shared" si="132"/>
        <v>0</v>
      </c>
      <c r="CT945">
        <f t="shared" si="133"/>
        <v>-33.71511534118406</v>
      </c>
      <c r="CU945" s="7">
        <f t="shared" si="134"/>
        <v>-33.71511534118406</v>
      </c>
      <c r="CV945" s="9">
        <f t="shared" si="135"/>
        <v>619.9</v>
      </c>
      <c r="CW945" t="str">
        <f t="shared" si="136"/>
        <v>B4Ir3</v>
      </c>
    </row>
    <row r="946" spans="1:101" ht="15.75" thickBot="1" x14ac:dyDescent="0.3">
      <c r="A946" t="s">
        <v>91</v>
      </c>
      <c r="B946" t="s">
        <v>2620</v>
      </c>
      <c r="C946" t="s">
        <v>3144</v>
      </c>
      <c r="E946" t="s">
        <v>3145</v>
      </c>
      <c r="F946" t="s">
        <v>93</v>
      </c>
      <c r="G946" t="s">
        <v>2621</v>
      </c>
      <c r="H946">
        <v>375.04700000000003</v>
      </c>
      <c r="I946">
        <v>1067</v>
      </c>
      <c r="J946">
        <v>0</v>
      </c>
      <c r="K946" t="s">
        <v>95</v>
      </c>
      <c r="L946">
        <v>-11.42377172</v>
      </c>
      <c r="M946">
        <f t="shared" si="128"/>
        <v>-30.459573653435431</v>
      </c>
      <c r="N946" t="s">
        <v>95</v>
      </c>
      <c r="O946" t="s">
        <v>2622</v>
      </c>
      <c r="P946" t="s">
        <v>93</v>
      </c>
      <c r="Q946">
        <v>0</v>
      </c>
      <c r="R946" t="s">
        <v>95</v>
      </c>
      <c r="S946">
        <v>-10.406594739999999</v>
      </c>
      <c r="T946">
        <f t="shared" si="129"/>
        <v>-27.747441627316039</v>
      </c>
      <c r="U946" t="s">
        <v>95</v>
      </c>
      <c r="V946">
        <v>30235</v>
      </c>
      <c r="W946" t="s">
        <v>194</v>
      </c>
      <c r="X946">
        <v>298</v>
      </c>
      <c r="Y946" t="s">
        <v>103</v>
      </c>
      <c r="Z946">
        <v>-16</v>
      </c>
      <c r="AA946" t="s">
        <v>95</v>
      </c>
      <c r="AB946">
        <f t="shared" si="130"/>
        <v>-42.661319781254079</v>
      </c>
      <c r="AC946" t="s">
        <v>93</v>
      </c>
      <c r="AD946">
        <v>2.7</v>
      </c>
      <c r="AE946" t="s">
        <v>95</v>
      </c>
      <c r="AF946" t="s">
        <v>93</v>
      </c>
      <c r="AT946">
        <v>0.25</v>
      </c>
      <c r="AZ946">
        <v>0.75</v>
      </c>
      <c r="CR946">
        <f t="shared" si="131"/>
        <v>-30.459573653435431</v>
      </c>
      <c r="CS946">
        <f t="shared" si="132"/>
        <v>-27.747441627316039</v>
      </c>
      <c r="CT946">
        <f t="shared" si="133"/>
        <v>-42.661319781254079</v>
      </c>
      <c r="CU946" s="7">
        <f t="shared" si="134"/>
        <v>-33.622778354001845</v>
      </c>
      <c r="CV946" s="9">
        <f t="shared" si="135"/>
        <v>375.04700000000003</v>
      </c>
      <c r="CW946" t="str">
        <f t="shared" si="136"/>
        <v>FePd3</v>
      </c>
    </row>
    <row r="947" spans="1:101" ht="15.75" thickBot="1" x14ac:dyDescent="0.3">
      <c r="A947" t="s">
        <v>91</v>
      </c>
      <c r="B947" t="s">
        <v>2605</v>
      </c>
      <c r="C947" t="s">
        <v>3144</v>
      </c>
      <c r="E947" t="s">
        <v>3145</v>
      </c>
      <c r="F947" t="s">
        <v>93</v>
      </c>
      <c r="G947" t="s">
        <v>2606</v>
      </c>
      <c r="H947">
        <v>309.32799999999997</v>
      </c>
      <c r="I947">
        <v>1062</v>
      </c>
      <c r="M947">
        <f t="shared" si="128"/>
        <v>0</v>
      </c>
      <c r="O947" t="s">
        <v>93</v>
      </c>
      <c r="P947" t="s">
        <v>93</v>
      </c>
      <c r="T947">
        <f t="shared" si="129"/>
        <v>0</v>
      </c>
      <c r="V947" t="s">
        <v>93</v>
      </c>
      <c r="W947" t="s">
        <v>2607</v>
      </c>
      <c r="X947">
        <v>298</v>
      </c>
      <c r="Y947" t="s">
        <v>147</v>
      </c>
      <c r="Z947">
        <v>-10.4</v>
      </c>
      <c r="AA947" t="s">
        <v>95</v>
      </c>
      <c r="AB947">
        <f t="shared" si="130"/>
        <v>-33.621269332229872</v>
      </c>
      <c r="AC947" t="s">
        <v>93</v>
      </c>
      <c r="AD947">
        <v>3.1</v>
      </c>
      <c r="AE947" t="s">
        <v>95</v>
      </c>
      <c r="AF947" t="s">
        <v>93</v>
      </c>
      <c r="AH947" t="s">
        <v>93</v>
      </c>
      <c r="AI947" t="s">
        <v>93</v>
      </c>
      <c r="AJ947" t="s">
        <v>93</v>
      </c>
      <c r="AK947" t="s">
        <v>93</v>
      </c>
      <c r="AX947">
        <v>0.75</v>
      </c>
      <c r="CF947">
        <v>0.25</v>
      </c>
      <c r="CR947">
        <f t="shared" si="131"/>
        <v>0</v>
      </c>
      <c r="CS947">
        <f t="shared" si="132"/>
        <v>0</v>
      </c>
      <c r="CT947">
        <f t="shared" si="133"/>
        <v>-33.621269332229872</v>
      </c>
      <c r="CU947" s="7">
        <f t="shared" si="134"/>
        <v>-33.621269332229872</v>
      </c>
      <c r="CV947" s="9">
        <f t="shared" si="135"/>
        <v>309.32799999999997</v>
      </c>
      <c r="CW947" t="str">
        <f t="shared" si="136"/>
        <v>Cu3Sn</v>
      </c>
    </row>
    <row r="948" spans="1:101" ht="15.75" thickBot="1" x14ac:dyDescent="0.3">
      <c r="A948" t="s">
        <v>91</v>
      </c>
      <c r="B948" t="s">
        <v>2133</v>
      </c>
      <c r="C948" t="s">
        <v>3144</v>
      </c>
      <c r="E948" t="s">
        <v>3145</v>
      </c>
      <c r="F948" t="s">
        <v>93</v>
      </c>
      <c r="G948" t="s">
        <v>2134</v>
      </c>
      <c r="H948">
        <v>1248.52</v>
      </c>
      <c r="I948">
        <v>849</v>
      </c>
      <c r="J948">
        <v>0</v>
      </c>
      <c r="K948" t="s">
        <v>95</v>
      </c>
      <c r="L948">
        <v>-36.568926840000003</v>
      </c>
      <c r="M948">
        <f t="shared" si="128"/>
        <v>-29.289820619613625</v>
      </c>
      <c r="N948" t="s">
        <v>95</v>
      </c>
      <c r="O948" t="s">
        <v>2135</v>
      </c>
      <c r="P948" t="s">
        <v>121</v>
      </c>
      <c r="Q948">
        <v>0</v>
      </c>
      <c r="R948" t="s">
        <v>95</v>
      </c>
      <c r="S948">
        <v>-40.05715343</v>
      </c>
      <c r="T948">
        <f t="shared" si="129"/>
        <v>-32.083709856470058</v>
      </c>
      <c r="U948" t="s">
        <v>95</v>
      </c>
      <c r="V948">
        <v>17391</v>
      </c>
      <c r="W948" t="s">
        <v>339</v>
      </c>
      <c r="X948">
        <v>298</v>
      </c>
      <c r="Y948" t="s">
        <v>1403</v>
      </c>
      <c r="Z948">
        <v>-49.2</v>
      </c>
      <c r="AA948" t="s">
        <v>95</v>
      </c>
      <c r="AB948">
        <f t="shared" si="130"/>
        <v>-39.406657482459231</v>
      </c>
      <c r="AC948" t="s">
        <v>93</v>
      </c>
      <c r="AD948">
        <v>2.1</v>
      </c>
      <c r="AE948" t="s">
        <v>95</v>
      </c>
      <c r="AF948" t="s">
        <v>93</v>
      </c>
      <c r="AQ948">
        <v>0.625</v>
      </c>
      <c r="CF948">
        <v>0.375</v>
      </c>
      <c r="CR948">
        <f t="shared" si="131"/>
        <v>-29.289820619613625</v>
      </c>
      <c r="CS948">
        <f t="shared" si="132"/>
        <v>-32.083709856470058</v>
      </c>
      <c r="CT948">
        <f t="shared" si="133"/>
        <v>-39.406657482459231</v>
      </c>
      <c r="CU948" s="7">
        <f t="shared" si="134"/>
        <v>-33.593395986180973</v>
      </c>
      <c r="CV948" s="9">
        <f t="shared" si="135"/>
        <v>1248.52</v>
      </c>
      <c r="CW948" t="str">
        <f t="shared" si="136"/>
        <v>Hf5Sn3</v>
      </c>
    </row>
    <row r="949" spans="1:101" ht="15.75" thickBot="1" x14ac:dyDescent="0.3">
      <c r="A949" t="s">
        <v>484</v>
      </c>
      <c r="B949" t="s">
        <v>93</v>
      </c>
      <c r="C949" t="s">
        <v>3138</v>
      </c>
      <c r="D949" t="s">
        <v>3139</v>
      </c>
      <c r="F949" t="s">
        <v>3140</v>
      </c>
      <c r="G949" t="s">
        <v>1293</v>
      </c>
      <c r="H949">
        <v>298.71199999999999</v>
      </c>
      <c r="I949">
        <v>506</v>
      </c>
      <c r="M949">
        <f t="shared" si="128"/>
        <v>0</v>
      </c>
      <c r="O949" t="s">
        <v>93</v>
      </c>
      <c r="P949" t="s">
        <v>93</v>
      </c>
      <c r="T949">
        <f t="shared" si="129"/>
        <v>0</v>
      </c>
      <c r="V949" t="s">
        <v>93</v>
      </c>
      <c r="W949" t="s">
        <v>793</v>
      </c>
      <c r="X949">
        <v>298</v>
      </c>
      <c r="Y949" t="s">
        <v>794</v>
      </c>
      <c r="Z949">
        <v>-10</v>
      </c>
      <c r="AA949" t="s">
        <v>95</v>
      </c>
      <c r="AB949">
        <f t="shared" si="130"/>
        <v>-33.477061517448249</v>
      </c>
      <c r="AC949" t="s">
        <v>93</v>
      </c>
      <c r="AD949">
        <v>0.5</v>
      </c>
      <c r="AE949" t="s">
        <v>95</v>
      </c>
      <c r="AF949" t="s">
        <v>93</v>
      </c>
      <c r="AH949" t="s">
        <v>93</v>
      </c>
      <c r="AI949" t="s">
        <v>93</v>
      </c>
      <c r="AJ949" t="s">
        <v>93</v>
      </c>
      <c r="AK949" t="s">
        <v>93</v>
      </c>
      <c r="BR949">
        <v>0.71</v>
      </c>
      <c r="BU949">
        <v>0.28999999999999998</v>
      </c>
      <c r="CR949">
        <f t="shared" si="131"/>
        <v>0</v>
      </c>
      <c r="CS949">
        <f t="shared" si="132"/>
        <v>0</v>
      </c>
      <c r="CT949">
        <f t="shared" si="133"/>
        <v>-33.477061517448249</v>
      </c>
      <c r="CU949" s="7">
        <f t="shared" si="134"/>
        <v>-33.477061517448249</v>
      </c>
      <c r="CV949" s="9">
        <f t="shared" si="135"/>
        <v>298.71199999999999</v>
      </c>
      <c r="CW949" t="str">
        <f t="shared" si="136"/>
        <v>C2Mn5</v>
      </c>
    </row>
    <row r="950" spans="1:101" ht="15.75" thickBot="1" x14ac:dyDescent="0.3">
      <c r="A950" t="s">
        <v>91</v>
      </c>
      <c r="B950" t="s">
        <v>929</v>
      </c>
      <c r="C950" t="s">
        <v>3144</v>
      </c>
      <c r="E950" t="s">
        <v>3145</v>
      </c>
      <c r="F950" t="s">
        <v>93</v>
      </c>
      <c r="G950" t="s">
        <v>930</v>
      </c>
      <c r="H950">
        <v>343.047699999999</v>
      </c>
      <c r="I950">
        <v>371</v>
      </c>
      <c r="J950">
        <v>0</v>
      </c>
      <c r="K950" t="s">
        <v>95</v>
      </c>
      <c r="L950">
        <v>-9.6693611799999992</v>
      </c>
      <c r="M950">
        <f t="shared" si="128"/>
        <v>-28.186637543408768</v>
      </c>
      <c r="N950" t="s">
        <v>95</v>
      </c>
      <c r="O950" t="s">
        <v>931</v>
      </c>
      <c r="P950" t="s">
        <v>121</v>
      </c>
      <c r="Q950">
        <v>0</v>
      </c>
      <c r="R950" t="s">
        <v>95</v>
      </c>
      <c r="S950">
        <v>-7.8783963100000003</v>
      </c>
      <c r="T950">
        <f t="shared" si="129"/>
        <v>-22.965891652968445</v>
      </c>
      <c r="U950" t="s">
        <v>95</v>
      </c>
      <c r="V950">
        <v>18889</v>
      </c>
      <c r="W950" t="s">
        <v>159</v>
      </c>
      <c r="X950">
        <v>298</v>
      </c>
      <c r="Y950" t="s">
        <v>160</v>
      </c>
      <c r="Z950">
        <v>-16.899999999999999</v>
      </c>
      <c r="AA950" t="s">
        <v>95</v>
      </c>
      <c r="AB950">
        <f t="shared" si="130"/>
        <v>-49.264285987050926</v>
      </c>
      <c r="AC950" t="s">
        <v>93</v>
      </c>
      <c r="AD950">
        <v>1.5</v>
      </c>
      <c r="AE950" t="s">
        <v>95</v>
      </c>
      <c r="AF950" t="s">
        <v>93</v>
      </c>
      <c r="AN950">
        <v>0.33</v>
      </c>
      <c r="AV950">
        <v>0.66</v>
      </c>
      <c r="CR950">
        <f t="shared" si="131"/>
        <v>-28.186637543408768</v>
      </c>
      <c r="CS950">
        <f t="shared" si="132"/>
        <v>-22.965891652968445</v>
      </c>
      <c r="CT950">
        <f t="shared" si="133"/>
        <v>-49.264285987050926</v>
      </c>
      <c r="CU950" s="7">
        <f t="shared" si="134"/>
        <v>-33.472271727809378</v>
      </c>
      <c r="CV950" s="9">
        <f t="shared" si="135"/>
        <v>343.047699999999</v>
      </c>
      <c r="CW950" t="str">
        <f t="shared" si="136"/>
        <v>PrRu2</v>
      </c>
    </row>
    <row r="951" spans="1:101" ht="15.75" thickBot="1" x14ac:dyDescent="0.3">
      <c r="A951" t="s">
        <v>91</v>
      </c>
      <c r="B951" t="s">
        <v>734</v>
      </c>
      <c r="C951" t="s">
        <v>3144</v>
      </c>
      <c r="E951" t="s">
        <v>3145</v>
      </c>
      <c r="F951" t="s">
        <v>93</v>
      </c>
      <c r="G951" t="s">
        <v>735</v>
      </c>
      <c r="H951">
        <v>341.04549999999898</v>
      </c>
      <c r="I951">
        <v>293</v>
      </c>
      <c r="J951">
        <v>0</v>
      </c>
      <c r="K951" t="s">
        <v>95</v>
      </c>
      <c r="L951">
        <v>-12.75741575</v>
      </c>
      <c r="M951">
        <f t="shared" si="128"/>
        <v>-37.406785165029412</v>
      </c>
      <c r="N951" t="s">
        <v>95</v>
      </c>
      <c r="O951" t="s">
        <v>736</v>
      </c>
      <c r="P951" t="s">
        <v>93</v>
      </c>
      <c r="Q951">
        <v>0</v>
      </c>
      <c r="R951" t="s">
        <v>95</v>
      </c>
      <c r="S951">
        <v>-11.098744870000001</v>
      </c>
      <c r="T951">
        <f t="shared" si="129"/>
        <v>-32.543296627576183</v>
      </c>
      <c r="U951" t="s">
        <v>95</v>
      </c>
      <c r="V951">
        <v>17577</v>
      </c>
      <c r="W951" t="s">
        <v>159</v>
      </c>
      <c r="X951">
        <v>298</v>
      </c>
      <c r="Y951" t="s">
        <v>160</v>
      </c>
      <c r="Z951">
        <v>-10.3</v>
      </c>
      <c r="AA951" t="s">
        <v>95</v>
      </c>
      <c r="AB951">
        <f t="shared" si="130"/>
        <v>-30.201248806977461</v>
      </c>
      <c r="AC951" t="s">
        <v>93</v>
      </c>
      <c r="AD951">
        <v>2.8</v>
      </c>
      <c r="AE951" t="s">
        <v>95</v>
      </c>
      <c r="AF951" t="s">
        <v>93</v>
      </c>
      <c r="AL951">
        <v>0.33</v>
      </c>
      <c r="AV951">
        <v>0.66</v>
      </c>
      <c r="CR951">
        <f t="shared" si="131"/>
        <v>-37.406785165029412</v>
      </c>
      <c r="CS951">
        <f t="shared" si="132"/>
        <v>-32.543296627576183</v>
      </c>
      <c r="CT951">
        <f t="shared" si="133"/>
        <v>-30.201248806977461</v>
      </c>
      <c r="CU951" s="7">
        <f t="shared" si="134"/>
        <v>-33.38377686652769</v>
      </c>
      <c r="CV951" s="9">
        <f t="shared" si="135"/>
        <v>341.04549999999898</v>
      </c>
      <c r="CW951" t="str">
        <f t="shared" si="136"/>
        <v>LaRu2</v>
      </c>
    </row>
    <row r="952" spans="1:101" ht="15.75" thickBot="1" x14ac:dyDescent="0.3">
      <c r="A952" t="s">
        <v>91</v>
      </c>
      <c r="B952" t="s">
        <v>2202</v>
      </c>
      <c r="C952" t="s">
        <v>3144</v>
      </c>
      <c r="E952" t="s">
        <v>3145</v>
      </c>
      <c r="F952" t="s">
        <v>93</v>
      </c>
      <c r="G952" t="s">
        <v>2203</v>
      </c>
      <c r="H952">
        <v>1122.5094999999999</v>
      </c>
      <c r="I952">
        <v>876</v>
      </c>
      <c r="J952">
        <v>0</v>
      </c>
      <c r="K952" t="s">
        <v>95</v>
      </c>
      <c r="L952">
        <v>-34.958194390000003</v>
      </c>
      <c r="M952">
        <f t="shared" si="128"/>
        <v>-31.142894015596308</v>
      </c>
      <c r="N952" t="s">
        <v>95</v>
      </c>
      <c r="O952" t="s">
        <v>2204</v>
      </c>
      <c r="P952" t="s">
        <v>93</v>
      </c>
      <c r="Q952">
        <v>0</v>
      </c>
      <c r="R952" t="s">
        <v>95</v>
      </c>
      <c r="S952">
        <v>-34.956187499999999</v>
      </c>
      <c r="T952">
        <f t="shared" si="129"/>
        <v>-31.14110615544902</v>
      </c>
      <c r="U952" t="s">
        <v>95</v>
      </c>
      <c r="V952">
        <v>48717</v>
      </c>
      <c r="W952" t="s">
        <v>1362</v>
      </c>
      <c r="X952">
        <v>298</v>
      </c>
      <c r="Y952" t="s">
        <v>480</v>
      </c>
      <c r="Z952">
        <v>-42</v>
      </c>
      <c r="AA952" t="s">
        <v>95</v>
      </c>
      <c r="AB952">
        <f t="shared" si="130"/>
        <v>-37.416164406626407</v>
      </c>
      <c r="AC952" t="s">
        <v>93</v>
      </c>
      <c r="AD952">
        <v>1.1000000000000001</v>
      </c>
      <c r="AE952" t="s">
        <v>95</v>
      </c>
      <c r="AF952" t="s">
        <v>93</v>
      </c>
      <c r="BE952">
        <v>0.625</v>
      </c>
      <c r="CA952">
        <v>0.375</v>
      </c>
      <c r="CR952">
        <f t="shared" si="131"/>
        <v>-31.142894015596308</v>
      </c>
      <c r="CS952">
        <f t="shared" si="132"/>
        <v>-31.14110615544902</v>
      </c>
      <c r="CT952">
        <f t="shared" si="133"/>
        <v>-37.416164406626407</v>
      </c>
      <c r="CU952" s="7">
        <f t="shared" si="134"/>
        <v>-33.233388192557243</v>
      </c>
      <c r="CV952" s="9">
        <f t="shared" si="135"/>
        <v>1122.5094999999999</v>
      </c>
      <c r="CW952" t="str">
        <f t="shared" si="136"/>
        <v>Ta5Ge3</v>
      </c>
    </row>
    <row r="953" spans="1:101" ht="15.75" thickBot="1" x14ac:dyDescent="0.3">
      <c r="A953" t="s">
        <v>91</v>
      </c>
      <c r="B953" t="s">
        <v>1154</v>
      </c>
      <c r="C953" t="s">
        <v>3144</v>
      </c>
      <c r="E953" t="s">
        <v>3145</v>
      </c>
      <c r="F953" t="s">
        <v>93</v>
      </c>
      <c r="G953" t="s">
        <v>1155</v>
      </c>
      <c r="H953">
        <v>1041.6249399999999</v>
      </c>
      <c r="I953">
        <v>455</v>
      </c>
      <c r="M953">
        <f t="shared" si="128"/>
        <v>0</v>
      </c>
      <c r="O953" t="s">
        <v>93</v>
      </c>
      <c r="P953" t="s">
        <v>93</v>
      </c>
      <c r="T953">
        <f t="shared" si="129"/>
        <v>0</v>
      </c>
      <c r="V953" t="s">
        <v>93</v>
      </c>
      <c r="W953" t="s">
        <v>1156</v>
      </c>
      <c r="X953">
        <v>298</v>
      </c>
      <c r="Y953" t="s">
        <v>1157</v>
      </c>
      <c r="Z953">
        <v>-34.5</v>
      </c>
      <c r="AA953" t="s">
        <v>95</v>
      </c>
      <c r="AB953">
        <f t="shared" si="130"/>
        <v>-33.121326760858857</v>
      </c>
      <c r="AC953" t="s">
        <v>93</v>
      </c>
      <c r="AD953">
        <v>1.5</v>
      </c>
      <c r="AE953" t="s">
        <v>95</v>
      </c>
      <c r="AF953" t="s">
        <v>93</v>
      </c>
      <c r="AH953" t="s">
        <v>93</v>
      </c>
      <c r="AI953" t="s">
        <v>93</v>
      </c>
      <c r="AJ953" t="s">
        <v>93</v>
      </c>
      <c r="AK953" t="s">
        <v>93</v>
      </c>
      <c r="AR953">
        <v>0.73</v>
      </c>
      <c r="BT953">
        <v>0.27</v>
      </c>
      <c r="CR953">
        <f t="shared" si="131"/>
        <v>0</v>
      </c>
      <c r="CS953">
        <f t="shared" si="132"/>
        <v>0</v>
      </c>
      <c r="CT953">
        <f t="shared" si="133"/>
        <v>-33.121326760858857</v>
      </c>
      <c r="CU953" s="7">
        <f t="shared" si="134"/>
        <v>-33.121326760858857</v>
      </c>
      <c r="CV953" s="9">
        <f t="shared" si="135"/>
        <v>1041.6249399999999</v>
      </c>
      <c r="CW953" t="str">
        <f t="shared" si="136"/>
        <v>Al11Re4</v>
      </c>
    </row>
    <row r="954" spans="1:101" ht="15.75" thickBot="1" x14ac:dyDescent="0.3">
      <c r="A954" t="s">
        <v>91</v>
      </c>
      <c r="B954" t="s">
        <v>726</v>
      </c>
      <c r="C954" t="s">
        <v>3144</v>
      </c>
      <c r="E954" t="s">
        <v>3145</v>
      </c>
      <c r="F954" t="s">
        <v>93</v>
      </c>
      <c r="G954" t="s">
        <v>727</v>
      </c>
      <c r="H954">
        <v>475.41649999999998</v>
      </c>
      <c r="I954">
        <v>290</v>
      </c>
      <c r="M954">
        <f t="shared" si="128"/>
        <v>0</v>
      </c>
      <c r="O954" t="s">
        <v>93</v>
      </c>
      <c r="P954" t="s">
        <v>93</v>
      </c>
      <c r="Q954">
        <v>0.38501716000000002</v>
      </c>
      <c r="R954" t="s">
        <v>95</v>
      </c>
      <c r="S954">
        <v>-18.369689999999999</v>
      </c>
      <c r="T954">
        <f t="shared" si="129"/>
        <v>-38.639151144312407</v>
      </c>
      <c r="U954" t="s">
        <v>95</v>
      </c>
      <c r="V954">
        <v>668142</v>
      </c>
      <c r="W954" t="s">
        <v>728</v>
      </c>
      <c r="X954">
        <v>298</v>
      </c>
      <c r="Y954" t="s">
        <v>359</v>
      </c>
      <c r="Z954">
        <v>-13.1</v>
      </c>
      <c r="AA954" t="s">
        <v>95</v>
      </c>
      <c r="AB954">
        <f t="shared" si="130"/>
        <v>-27.55478617170418</v>
      </c>
      <c r="AC954" t="s">
        <v>93</v>
      </c>
      <c r="AD954">
        <v>0.5</v>
      </c>
      <c r="AE954" t="s">
        <v>95</v>
      </c>
      <c r="AF954" t="s">
        <v>93</v>
      </c>
      <c r="AH954" t="s">
        <v>93</v>
      </c>
      <c r="AI954" t="s">
        <v>93</v>
      </c>
      <c r="AL954">
        <v>0.75</v>
      </c>
      <c r="AS954">
        <v>0.25</v>
      </c>
      <c r="CR954">
        <f t="shared" si="131"/>
        <v>0</v>
      </c>
      <c r="CS954">
        <f t="shared" si="132"/>
        <v>-38.639151144312407</v>
      </c>
      <c r="CT954">
        <f t="shared" si="133"/>
        <v>-27.55478617170418</v>
      </c>
      <c r="CU954" s="7">
        <f t="shared" si="134"/>
        <v>-33.096968658008294</v>
      </c>
      <c r="CV954" s="9">
        <f t="shared" si="135"/>
        <v>475.41649999999998</v>
      </c>
      <c r="CW954" t="str">
        <f t="shared" si="136"/>
        <v>La3Ni</v>
      </c>
    </row>
    <row r="955" spans="1:101" ht="15.75" thickBot="1" x14ac:dyDescent="0.3">
      <c r="A955" t="s">
        <v>91</v>
      </c>
      <c r="B955" t="s">
        <v>524</v>
      </c>
      <c r="C955" t="s">
        <v>3144</v>
      </c>
      <c r="E955" t="s">
        <v>3145</v>
      </c>
      <c r="F955" t="s">
        <v>93</v>
      </c>
      <c r="G955" t="s">
        <v>525</v>
      </c>
      <c r="H955">
        <v>373.07799999999997</v>
      </c>
      <c r="I955">
        <v>212</v>
      </c>
      <c r="M955">
        <f t="shared" si="128"/>
        <v>0</v>
      </c>
      <c r="O955" t="s">
        <v>93</v>
      </c>
      <c r="P955" t="s">
        <v>121</v>
      </c>
      <c r="T955">
        <f t="shared" si="129"/>
        <v>0</v>
      </c>
      <c r="V955" t="s">
        <v>93</v>
      </c>
      <c r="W955" t="s">
        <v>93</v>
      </c>
      <c r="X955">
        <v>298</v>
      </c>
      <c r="Y955" t="s">
        <v>93</v>
      </c>
      <c r="Z955">
        <v>-12.31</v>
      </c>
      <c r="AA955" t="s">
        <v>95</v>
      </c>
      <c r="AB955">
        <f t="shared" si="130"/>
        <v>-32.99578104310627</v>
      </c>
      <c r="AC955" t="s">
        <v>93</v>
      </c>
      <c r="AD955">
        <v>0.24</v>
      </c>
      <c r="AE955" t="s">
        <v>95</v>
      </c>
      <c r="AF955" t="s">
        <v>93</v>
      </c>
      <c r="AH955" t="s">
        <v>93</v>
      </c>
      <c r="AI955" t="s">
        <v>93</v>
      </c>
      <c r="AJ955" t="s">
        <v>93</v>
      </c>
      <c r="AK955" t="s">
        <v>93</v>
      </c>
      <c r="AP955">
        <v>0.4</v>
      </c>
      <c r="AX955">
        <v>0.6</v>
      </c>
      <c r="CR955">
        <f t="shared" si="131"/>
        <v>0</v>
      </c>
      <c r="CS955">
        <f t="shared" si="132"/>
        <v>0</v>
      </c>
      <c r="CT955">
        <f t="shared" si="133"/>
        <v>-32.99578104310627</v>
      </c>
      <c r="CU955" s="7">
        <f t="shared" si="134"/>
        <v>-32.99578104310627</v>
      </c>
      <c r="CV955" s="9">
        <f t="shared" si="135"/>
        <v>373.07799999999997</v>
      </c>
      <c r="CW955" t="str">
        <f t="shared" si="136"/>
        <v>Cu3Zr2</v>
      </c>
    </row>
    <row r="956" spans="1:101" ht="15.75" thickBot="1" x14ac:dyDescent="0.3">
      <c r="A956" t="s">
        <v>91</v>
      </c>
      <c r="B956" t="s">
        <v>1806</v>
      </c>
      <c r="C956" t="s">
        <v>3144</v>
      </c>
      <c r="E956" t="s">
        <v>3145</v>
      </c>
      <c r="F956" t="s">
        <v>93</v>
      </c>
      <c r="G956" t="s">
        <v>1807</v>
      </c>
      <c r="H956">
        <v>480.23</v>
      </c>
      <c r="I956">
        <v>689</v>
      </c>
      <c r="M956">
        <f t="shared" si="128"/>
        <v>0</v>
      </c>
      <c r="O956" t="s">
        <v>93</v>
      </c>
      <c r="P956" t="s">
        <v>1805</v>
      </c>
      <c r="T956">
        <f t="shared" si="129"/>
        <v>0</v>
      </c>
      <c r="V956" t="s">
        <v>93</v>
      </c>
      <c r="W956" t="s">
        <v>93</v>
      </c>
      <c r="X956">
        <v>298</v>
      </c>
      <c r="Y956" t="s">
        <v>93</v>
      </c>
      <c r="Z956">
        <v>-15.7</v>
      </c>
      <c r="AA956" t="s">
        <v>95</v>
      </c>
      <c r="AB956">
        <f t="shared" si="130"/>
        <v>-32.692668096537069</v>
      </c>
      <c r="AC956" t="s">
        <v>93</v>
      </c>
      <c r="AD956">
        <v>2.2000000000000002</v>
      </c>
      <c r="AE956" t="s">
        <v>95</v>
      </c>
      <c r="AF956" t="s">
        <v>93</v>
      </c>
      <c r="AH956" t="s">
        <v>93</v>
      </c>
      <c r="AI956" t="s">
        <v>93</v>
      </c>
      <c r="AJ956" t="s">
        <v>93</v>
      </c>
      <c r="AK956" t="s">
        <v>93</v>
      </c>
      <c r="AX956">
        <v>0.83299999999999996</v>
      </c>
      <c r="BG956">
        <v>0.16700000000000001</v>
      </c>
      <c r="CR956">
        <f t="shared" si="131"/>
        <v>0</v>
      </c>
      <c r="CS956">
        <f t="shared" si="132"/>
        <v>0</v>
      </c>
      <c r="CT956">
        <f t="shared" si="133"/>
        <v>-32.692668096537069</v>
      </c>
      <c r="CU956" s="7">
        <f t="shared" si="134"/>
        <v>-32.692668096537069</v>
      </c>
      <c r="CV956" s="9">
        <f t="shared" si="135"/>
        <v>480.23</v>
      </c>
      <c r="CW956" t="str">
        <f t="shared" si="136"/>
        <v>DyCu5</v>
      </c>
    </row>
    <row r="957" spans="1:101" ht="15.75" thickBot="1" x14ac:dyDescent="0.3">
      <c r="A957" t="s">
        <v>91</v>
      </c>
      <c r="B957" t="s">
        <v>1702</v>
      </c>
      <c r="C957" t="s">
        <v>3144</v>
      </c>
      <c r="E957" t="s">
        <v>3145</v>
      </c>
      <c r="F957" t="s">
        <v>93</v>
      </c>
      <c r="G957" t="s">
        <v>1703</v>
      </c>
      <c r="H957">
        <v>385.72800000000001</v>
      </c>
      <c r="I957">
        <v>653</v>
      </c>
      <c r="J957">
        <v>0</v>
      </c>
      <c r="K957" t="s">
        <v>95</v>
      </c>
      <c r="L957">
        <v>-13.28653014</v>
      </c>
      <c r="M957">
        <f t="shared" si="128"/>
        <v>-34.44533489920358</v>
      </c>
      <c r="N957" t="s">
        <v>95</v>
      </c>
      <c r="O957" t="s">
        <v>1704</v>
      </c>
      <c r="P957" t="s">
        <v>93</v>
      </c>
      <c r="Q957">
        <v>9.1950499999999998E-3</v>
      </c>
      <c r="R957" t="s">
        <v>95</v>
      </c>
      <c r="S957">
        <v>-13.59481804</v>
      </c>
      <c r="T957">
        <f t="shared" si="129"/>
        <v>-35.244571407831423</v>
      </c>
      <c r="U957" t="s">
        <v>95</v>
      </c>
      <c r="V957">
        <v>29766</v>
      </c>
      <c r="W957" t="s">
        <v>194</v>
      </c>
      <c r="X957">
        <v>298</v>
      </c>
      <c r="Y957" t="s">
        <v>103</v>
      </c>
      <c r="Z957">
        <v>-10.8</v>
      </c>
      <c r="AA957" t="s">
        <v>95</v>
      </c>
      <c r="AB957">
        <f t="shared" si="130"/>
        <v>-27.999004479840714</v>
      </c>
      <c r="AC957" t="s">
        <v>93</v>
      </c>
      <c r="AD957">
        <v>1.1000000000000001</v>
      </c>
      <c r="AE957" t="s">
        <v>95</v>
      </c>
      <c r="AF957" t="s">
        <v>93</v>
      </c>
      <c r="AX957">
        <v>0.75</v>
      </c>
      <c r="AY957">
        <v>0.25</v>
      </c>
      <c r="CR957">
        <f t="shared" si="131"/>
        <v>-34.44533489920358</v>
      </c>
      <c r="CS957">
        <f t="shared" si="132"/>
        <v>-35.244571407831423</v>
      </c>
      <c r="CT957">
        <f t="shared" si="133"/>
        <v>-27.999004479840714</v>
      </c>
      <c r="CU957" s="7">
        <f t="shared" si="134"/>
        <v>-32.562970262291905</v>
      </c>
      <c r="CV957" s="9">
        <f t="shared" si="135"/>
        <v>385.72800000000001</v>
      </c>
      <c r="CW957" t="str">
        <f t="shared" si="136"/>
        <v>Cu3Pt</v>
      </c>
    </row>
    <row r="958" spans="1:101" ht="15.75" thickBot="1" x14ac:dyDescent="0.3">
      <c r="A958" t="s">
        <v>91</v>
      </c>
      <c r="B958" t="s">
        <v>1387</v>
      </c>
      <c r="C958" t="s">
        <v>3144</v>
      </c>
      <c r="E958" t="s">
        <v>3145</v>
      </c>
      <c r="F958" t="s">
        <v>93</v>
      </c>
      <c r="G958" t="s">
        <v>1388</v>
      </c>
      <c r="H958">
        <v>225.708</v>
      </c>
      <c r="I958">
        <v>536</v>
      </c>
      <c r="J958">
        <v>0</v>
      </c>
      <c r="K958" t="s">
        <v>95</v>
      </c>
      <c r="L958">
        <v>-4.71261887</v>
      </c>
      <c r="M958">
        <f t="shared" si="128"/>
        <v>-20.879272644301487</v>
      </c>
      <c r="N958" t="s">
        <v>95</v>
      </c>
      <c r="O958" t="s">
        <v>1389</v>
      </c>
      <c r="P958" t="s">
        <v>93</v>
      </c>
      <c r="Q958">
        <v>0</v>
      </c>
      <c r="R958" t="s">
        <v>95</v>
      </c>
      <c r="S958">
        <v>-5.328417</v>
      </c>
      <c r="T958">
        <f t="shared" si="129"/>
        <v>-23.607568185443139</v>
      </c>
      <c r="U958" t="s">
        <v>95</v>
      </c>
      <c r="V958">
        <v>29544</v>
      </c>
      <c r="W958" t="s">
        <v>391</v>
      </c>
      <c r="X958">
        <v>298</v>
      </c>
      <c r="Y958" t="s">
        <v>392</v>
      </c>
      <c r="Z958">
        <v>-11.8</v>
      </c>
      <c r="AA958" t="s">
        <v>95</v>
      </c>
      <c r="AB958">
        <f t="shared" si="130"/>
        <v>-52.27993690963546</v>
      </c>
      <c r="AC958" t="s">
        <v>93</v>
      </c>
      <c r="AD958">
        <v>1.8</v>
      </c>
      <c r="AE958" t="s">
        <v>95</v>
      </c>
      <c r="AF958" t="s">
        <v>93</v>
      </c>
      <c r="BV958">
        <v>0.75</v>
      </c>
      <c r="BY958">
        <v>0.25</v>
      </c>
      <c r="CR958">
        <f t="shared" si="131"/>
        <v>-20.879272644301487</v>
      </c>
      <c r="CS958">
        <f t="shared" si="132"/>
        <v>-23.607568185443139</v>
      </c>
      <c r="CT958">
        <f t="shared" si="133"/>
        <v>-52.27993690963546</v>
      </c>
      <c r="CU958" s="7">
        <f t="shared" si="134"/>
        <v>-32.255592579793358</v>
      </c>
      <c r="CV958" s="9">
        <f t="shared" si="135"/>
        <v>225.708</v>
      </c>
      <c r="CW958" t="str">
        <f t="shared" si="136"/>
        <v>Cr3Ga</v>
      </c>
    </row>
    <row r="959" spans="1:101" ht="15.75" thickBot="1" x14ac:dyDescent="0.3">
      <c r="A959" t="s">
        <v>91</v>
      </c>
      <c r="B959" t="s">
        <v>1697</v>
      </c>
      <c r="C959" t="s">
        <v>3144</v>
      </c>
      <c r="E959" t="s">
        <v>3145</v>
      </c>
      <c r="F959" t="s">
        <v>93</v>
      </c>
      <c r="G959" t="s">
        <v>1698</v>
      </c>
      <c r="H959">
        <v>297.03800000000001</v>
      </c>
      <c r="I959">
        <v>651</v>
      </c>
      <c r="J959">
        <v>0</v>
      </c>
      <c r="K959" t="s">
        <v>95</v>
      </c>
      <c r="L959">
        <v>-10.497072579999999</v>
      </c>
      <c r="M959">
        <f t="shared" si="128"/>
        <v>-35.339157212208534</v>
      </c>
      <c r="N959" t="s">
        <v>95</v>
      </c>
      <c r="O959" t="s">
        <v>1699</v>
      </c>
      <c r="P959" t="s">
        <v>93</v>
      </c>
      <c r="Q959">
        <v>0.27887859999999998</v>
      </c>
      <c r="R959" t="s">
        <v>95</v>
      </c>
      <c r="S959">
        <v>-10.124879569999999</v>
      </c>
      <c r="T959">
        <f t="shared" si="129"/>
        <v>-34.086142412755265</v>
      </c>
      <c r="U959" t="s">
        <v>95</v>
      </c>
      <c r="V959">
        <v>17159</v>
      </c>
      <c r="W959" t="s">
        <v>194</v>
      </c>
      <c r="X959">
        <v>298</v>
      </c>
      <c r="Y959" t="s">
        <v>103</v>
      </c>
      <c r="Z959">
        <v>-7.6</v>
      </c>
      <c r="AA959" t="s">
        <v>95</v>
      </c>
      <c r="AB959">
        <f t="shared" si="130"/>
        <v>-25.585951965741753</v>
      </c>
      <c r="AC959" t="s">
        <v>93</v>
      </c>
      <c r="AD959">
        <v>1.2</v>
      </c>
      <c r="AE959" t="s">
        <v>95</v>
      </c>
      <c r="AF959" t="s">
        <v>93</v>
      </c>
      <c r="AX959">
        <v>0.75</v>
      </c>
      <c r="AZ959">
        <v>0.25</v>
      </c>
      <c r="CR959">
        <f t="shared" si="131"/>
        <v>-35.339157212208534</v>
      </c>
      <c r="CS959">
        <f t="shared" si="132"/>
        <v>-34.086142412755265</v>
      </c>
      <c r="CT959">
        <f t="shared" si="133"/>
        <v>-25.585951965741753</v>
      </c>
      <c r="CU959" s="7">
        <f t="shared" si="134"/>
        <v>-31.670417196901852</v>
      </c>
      <c r="CV959" s="9">
        <f t="shared" si="135"/>
        <v>297.03800000000001</v>
      </c>
      <c r="CW959" t="str">
        <f t="shared" si="136"/>
        <v>Cu3Pd</v>
      </c>
    </row>
    <row r="960" spans="1:101" ht="15.75" thickBot="1" x14ac:dyDescent="0.3">
      <c r="A960" t="s">
        <v>91</v>
      </c>
      <c r="B960" t="s">
        <v>3014</v>
      </c>
      <c r="C960" t="s">
        <v>3144</v>
      </c>
      <c r="E960" t="s">
        <v>3145</v>
      </c>
      <c r="F960" t="s">
        <v>93</v>
      </c>
      <c r="G960" t="s">
        <v>3015</v>
      </c>
      <c r="H960">
        <v>271.92500000000001</v>
      </c>
      <c r="I960">
        <v>1268</v>
      </c>
      <c r="M960">
        <f t="shared" si="128"/>
        <v>0</v>
      </c>
      <c r="O960" t="s">
        <v>93</v>
      </c>
      <c r="P960" t="s">
        <v>93</v>
      </c>
      <c r="T960">
        <f t="shared" si="129"/>
        <v>0</v>
      </c>
      <c r="V960" t="s">
        <v>93</v>
      </c>
      <c r="W960" t="s">
        <v>3016</v>
      </c>
      <c r="X960">
        <v>300</v>
      </c>
      <c r="Y960" t="s">
        <v>1983</v>
      </c>
      <c r="Z960">
        <v>-8.5</v>
      </c>
      <c r="AA960" t="s">
        <v>95</v>
      </c>
      <c r="AB960">
        <f t="shared" si="130"/>
        <v>-31.258619104532496</v>
      </c>
      <c r="AF960" t="s">
        <v>93</v>
      </c>
      <c r="AH960" t="s">
        <v>93</v>
      </c>
      <c r="AI960" t="s">
        <v>93</v>
      </c>
      <c r="AJ960" t="s">
        <v>93</v>
      </c>
      <c r="AK960" t="s">
        <v>93</v>
      </c>
      <c r="BN960">
        <v>0.16669999999999999</v>
      </c>
      <c r="CC960">
        <v>2</v>
      </c>
      <c r="CD960" t="s">
        <v>95</v>
      </c>
      <c r="CE960" t="s">
        <v>93</v>
      </c>
      <c r="CJ960">
        <v>0.83330000000000004</v>
      </c>
      <c r="CR960">
        <f t="shared" si="131"/>
        <v>0</v>
      </c>
      <c r="CS960">
        <f t="shared" si="132"/>
        <v>0</v>
      </c>
      <c r="CT960">
        <f t="shared" si="133"/>
        <v>-31.258619104532496</v>
      </c>
      <c r="CU960" s="7">
        <f t="shared" si="134"/>
        <v>-31.258619104532496</v>
      </c>
      <c r="CV960" s="9">
        <f t="shared" si="135"/>
        <v>271.92500000000001</v>
      </c>
      <c r="CW960" t="str">
        <f t="shared" si="136"/>
        <v>Mg5Sm</v>
      </c>
    </row>
    <row r="961" spans="1:101" ht="15.75" thickBot="1" x14ac:dyDescent="0.3">
      <c r="A961" t="s">
        <v>91</v>
      </c>
      <c r="B961" t="s">
        <v>2603</v>
      </c>
      <c r="C961" t="s">
        <v>3144</v>
      </c>
      <c r="E961" t="s">
        <v>3145</v>
      </c>
      <c r="F961" t="s">
        <v>93</v>
      </c>
      <c r="G961" t="s">
        <v>2604</v>
      </c>
      <c r="H961">
        <v>118.48399999999999</v>
      </c>
      <c r="I961">
        <v>1061</v>
      </c>
      <c r="M961">
        <f t="shared" si="128"/>
        <v>0</v>
      </c>
      <c r="O961" t="s">
        <v>93</v>
      </c>
      <c r="P961" t="s">
        <v>93</v>
      </c>
      <c r="T961">
        <f t="shared" si="129"/>
        <v>0</v>
      </c>
      <c r="V961" t="s">
        <v>93</v>
      </c>
      <c r="W961" t="s">
        <v>288</v>
      </c>
      <c r="X961">
        <v>298</v>
      </c>
      <c r="Y961" t="s">
        <v>185</v>
      </c>
      <c r="Z961">
        <v>-3.7</v>
      </c>
      <c r="AA961" t="s">
        <v>95</v>
      </c>
      <c r="AB961">
        <f t="shared" si="130"/>
        <v>-31.227845109888257</v>
      </c>
      <c r="AC961" t="s">
        <v>93</v>
      </c>
      <c r="AD961">
        <v>3.2</v>
      </c>
      <c r="AE961" t="s">
        <v>95</v>
      </c>
      <c r="AF961" t="s">
        <v>93</v>
      </c>
      <c r="AH961" t="s">
        <v>93</v>
      </c>
      <c r="AI961" t="s">
        <v>93</v>
      </c>
      <c r="AJ961" t="s">
        <v>93</v>
      </c>
      <c r="AK961" t="s">
        <v>93</v>
      </c>
      <c r="AX961">
        <v>0.5</v>
      </c>
      <c r="BR961">
        <v>0.5</v>
      </c>
      <c r="CR961">
        <f t="shared" si="131"/>
        <v>0</v>
      </c>
      <c r="CS961">
        <f t="shared" si="132"/>
        <v>0</v>
      </c>
      <c r="CT961">
        <f t="shared" si="133"/>
        <v>-31.227845109888257</v>
      </c>
      <c r="CU961" s="7">
        <f t="shared" si="134"/>
        <v>-31.227845109888257</v>
      </c>
      <c r="CV961" s="9">
        <f t="shared" si="135"/>
        <v>118.48399999999999</v>
      </c>
      <c r="CW961" t="str">
        <f t="shared" si="136"/>
        <v>CuMn</v>
      </c>
    </row>
    <row r="962" spans="1:101" ht="15.75" thickBot="1" x14ac:dyDescent="0.3">
      <c r="A962" t="s">
        <v>484</v>
      </c>
      <c r="B962" t="s">
        <v>93</v>
      </c>
      <c r="C962" t="s">
        <v>3138</v>
      </c>
      <c r="D962" t="s">
        <v>3139</v>
      </c>
      <c r="F962" t="s">
        <v>3140</v>
      </c>
      <c r="G962" t="s">
        <v>2340</v>
      </c>
      <c r="H962">
        <v>560.48</v>
      </c>
      <c r="I962">
        <v>948</v>
      </c>
      <c r="M962">
        <f t="shared" ref="M962:M1025" si="137">(1000/H962)*L962</f>
        <v>0</v>
      </c>
      <c r="O962" t="s">
        <v>93</v>
      </c>
      <c r="P962" t="s">
        <v>93</v>
      </c>
      <c r="T962">
        <f t="shared" ref="T962:T1025" si="138">(1000/H962)*S962</f>
        <v>0</v>
      </c>
      <c r="V962" t="s">
        <v>93</v>
      </c>
      <c r="W962" t="s">
        <v>728</v>
      </c>
      <c r="X962">
        <v>298</v>
      </c>
      <c r="Y962" t="s">
        <v>359</v>
      </c>
      <c r="Z962">
        <v>-17.100000000000001</v>
      </c>
      <c r="AA962" t="s">
        <v>95</v>
      </c>
      <c r="AB962">
        <f t="shared" ref="AB962:AB1025" si="139">(1000/H962)*Z962</f>
        <v>-30.509563231515848</v>
      </c>
      <c r="AC962" t="s">
        <v>93</v>
      </c>
      <c r="AD962">
        <v>2</v>
      </c>
      <c r="AE962" t="s">
        <v>95</v>
      </c>
      <c r="AF962" t="s">
        <v>93</v>
      </c>
      <c r="AH962" t="s">
        <v>93</v>
      </c>
      <c r="AI962" t="s">
        <v>93</v>
      </c>
      <c r="AJ962" t="s">
        <v>93</v>
      </c>
      <c r="AK962" t="s">
        <v>93</v>
      </c>
      <c r="AS962">
        <v>0.26</v>
      </c>
      <c r="BH962">
        <v>0.74</v>
      </c>
      <c r="CR962">
        <f t="shared" ref="CR962:CR1025" si="140">VALUE(M962)</f>
        <v>0</v>
      </c>
      <c r="CS962">
        <f t="shared" ref="CS962:CS1025" si="141">VALUE(T962)</f>
        <v>0</v>
      </c>
      <c r="CT962">
        <f t="shared" ref="CT962:CT1025" si="142">VALUE(AB962)</f>
        <v>-30.509563231515848</v>
      </c>
      <c r="CU962" s="7">
        <f t="shared" ref="CU962:CU1025" si="143">SUM(CR962:CT962)/(COUNTIF(CR962:CT962,"&lt;&gt;0")-COUNTBLANK(CR962:CT962)-(COUNTA(CR962:CT962)-COUNT(CR962:CT962)))</f>
        <v>-30.509563231515848</v>
      </c>
      <c r="CV962" s="9">
        <f t="shared" si="135"/>
        <v>560.48</v>
      </c>
      <c r="CW962" t="str">
        <f t="shared" si="136"/>
        <v>Er3Ni</v>
      </c>
    </row>
    <row r="963" spans="1:101" ht="15.75" thickBot="1" x14ac:dyDescent="0.3">
      <c r="A963" t="s">
        <v>91</v>
      </c>
      <c r="B963" t="s">
        <v>2587</v>
      </c>
      <c r="C963" t="s">
        <v>3144</v>
      </c>
      <c r="E963" t="s">
        <v>3145</v>
      </c>
      <c r="F963" t="s">
        <v>93</v>
      </c>
      <c r="G963" t="s">
        <v>2588</v>
      </c>
      <c r="H963">
        <v>637.26599999999996</v>
      </c>
      <c r="I963">
        <v>1055</v>
      </c>
      <c r="J963">
        <v>0</v>
      </c>
      <c r="K963" t="s">
        <v>95</v>
      </c>
      <c r="L963">
        <v>-24.90820141</v>
      </c>
      <c r="M963">
        <f t="shared" si="137"/>
        <v>-39.086035360430344</v>
      </c>
      <c r="N963" t="s">
        <v>95</v>
      </c>
      <c r="O963" t="s">
        <v>2589</v>
      </c>
      <c r="P963" t="s">
        <v>93</v>
      </c>
      <c r="Q963">
        <v>0</v>
      </c>
      <c r="R963" t="s">
        <v>95</v>
      </c>
      <c r="S963">
        <v>-24.578339679999999</v>
      </c>
      <c r="T963">
        <f t="shared" si="138"/>
        <v>-38.568415198676846</v>
      </c>
      <c r="U963" t="s">
        <v>95</v>
      </c>
      <c r="V963">
        <v>29575</v>
      </c>
      <c r="W963" t="s">
        <v>194</v>
      </c>
      <c r="X963">
        <v>298</v>
      </c>
      <c r="Y963" t="s">
        <v>103</v>
      </c>
      <c r="Z963">
        <v>-8.8000000000000007</v>
      </c>
      <c r="AA963" t="s">
        <v>95</v>
      </c>
      <c r="AB963">
        <f t="shared" si="139"/>
        <v>-13.808990280353889</v>
      </c>
      <c r="AC963" t="s">
        <v>93</v>
      </c>
      <c r="AD963">
        <v>3.1</v>
      </c>
      <c r="AE963" t="s">
        <v>95</v>
      </c>
      <c r="AF963" t="s">
        <v>93</v>
      </c>
      <c r="AY963">
        <v>0.75</v>
      </c>
      <c r="BV963">
        <v>0.25</v>
      </c>
      <c r="CR963">
        <f t="shared" si="140"/>
        <v>-39.086035360430344</v>
      </c>
      <c r="CS963">
        <f t="shared" si="141"/>
        <v>-38.568415198676846</v>
      </c>
      <c r="CT963">
        <f t="shared" si="142"/>
        <v>-13.808990280353889</v>
      </c>
      <c r="CU963" s="7">
        <f t="shared" si="143"/>
        <v>-30.487813613153691</v>
      </c>
      <c r="CV963" s="9">
        <f t="shared" ref="CV963:CV1026" si="144">H963</f>
        <v>637.26599999999996</v>
      </c>
      <c r="CW963" t="str">
        <f t="shared" si="136"/>
        <v>CrPt3</v>
      </c>
    </row>
    <row r="964" spans="1:101" ht="15.75" thickBot="1" x14ac:dyDescent="0.3">
      <c r="A964" t="s">
        <v>91</v>
      </c>
      <c r="B964" t="s">
        <v>93</v>
      </c>
      <c r="C964" t="s">
        <v>3144</v>
      </c>
      <c r="E964" t="s">
        <v>3145</v>
      </c>
      <c r="F964" t="s">
        <v>93</v>
      </c>
      <c r="G964" t="s">
        <v>2837</v>
      </c>
      <c r="H964">
        <v>695.69399999999996</v>
      </c>
      <c r="I964">
        <v>1162</v>
      </c>
      <c r="M964">
        <f t="shared" si="137"/>
        <v>0</v>
      </c>
      <c r="O964" t="s">
        <v>93</v>
      </c>
      <c r="P964" t="s">
        <v>93</v>
      </c>
      <c r="T964">
        <f t="shared" si="138"/>
        <v>0</v>
      </c>
      <c r="V964" t="s">
        <v>93</v>
      </c>
      <c r="W964" t="s">
        <v>184</v>
      </c>
      <c r="X964">
        <v>298</v>
      </c>
      <c r="Y964" t="s">
        <v>185</v>
      </c>
      <c r="Z964">
        <v>-21</v>
      </c>
      <c r="AA964" t="s">
        <v>95</v>
      </c>
      <c r="AB964">
        <f t="shared" si="139"/>
        <v>-30.185685085684227</v>
      </c>
      <c r="AC964" t="s">
        <v>93</v>
      </c>
      <c r="AD964">
        <v>3.2</v>
      </c>
      <c r="AE964" t="s">
        <v>95</v>
      </c>
      <c r="AF964" t="s">
        <v>93</v>
      </c>
      <c r="AH964" t="s">
        <v>93</v>
      </c>
      <c r="AI964" t="s">
        <v>93</v>
      </c>
      <c r="AJ964" t="s">
        <v>93</v>
      </c>
      <c r="AK964" t="s">
        <v>93</v>
      </c>
      <c r="AS964">
        <v>0.5</v>
      </c>
      <c r="BR964">
        <v>0.3</v>
      </c>
      <c r="CF964">
        <v>0.2</v>
      </c>
      <c r="CR964">
        <f t="shared" si="140"/>
        <v>0</v>
      </c>
      <c r="CS964">
        <f t="shared" si="141"/>
        <v>0</v>
      </c>
      <c r="CT964">
        <f t="shared" si="142"/>
        <v>-30.185685085684227</v>
      </c>
      <c r="CU964" s="7">
        <f t="shared" si="143"/>
        <v>-30.185685085684227</v>
      </c>
      <c r="CV964" s="9">
        <f t="shared" si="144"/>
        <v>695.69399999999996</v>
      </c>
      <c r="CW964" t="str">
        <f t="shared" si="136"/>
        <v>Mn3Ni5Sn2</v>
      </c>
    </row>
    <row r="965" spans="1:101" ht="15.75" thickBot="1" x14ac:dyDescent="0.3">
      <c r="A965" t="s">
        <v>91</v>
      </c>
      <c r="B965" t="s">
        <v>2385</v>
      </c>
      <c r="C965" t="s">
        <v>3144</v>
      </c>
      <c r="E965" t="s">
        <v>3145</v>
      </c>
      <c r="F965" t="s">
        <v>93</v>
      </c>
      <c r="G965" t="s">
        <v>2386</v>
      </c>
      <c r="H965">
        <v>278.95400000000001</v>
      </c>
      <c r="I965">
        <v>967</v>
      </c>
      <c r="J965">
        <v>0</v>
      </c>
      <c r="K965" t="s">
        <v>95</v>
      </c>
      <c r="L965">
        <v>-11.715266639999999</v>
      </c>
      <c r="M965">
        <f t="shared" si="137"/>
        <v>-41.997127268295131</v>
      </c>
      <c r="N965" t="s">
        <v>95</v>
      </c>
      <c r="O965" t="s">
        <v>2387</v>
      </c>
      <c r="P965" t="s">
        <v>93</v>
      </c>
      <c r="Q965">
        <v>0</v>
      </c>
      <c r="R965" t="s">
        <v>95</v>
      </c>
      <c r="S965">
        <v>-11.54000196</v>
      </c>
      <c r="T965">
        <f t="shared" si="138"/>
        <v>-41.368834861661774</v>
      </c>
      <c r="U965" t="s">
        <v>95</v>
      </c>
      <c r="V965">
        <v>20826</v>
      </c>
      <c r="W965" t="s">
        <v>159</v>
      </c>
      <c r="X965">
        <v>298</v>
      </c>
      <c r="Y965" t="s">
        <v>160</v>
      </c>
      <c r="Z965">
        <v>-1.9</v>
      </c>
      <c r="AA965" t="s">
        <v>95</v>
      </c>
      <c r="AB965">
        <f t="shared" si="139"/>
        <v>-6.8111588290542526</v>
      </c>
      <c r="AC965" t="s">
        <v>93</v>
      </c>
      <c r="AD965">
        <v>3</v>
      </c>
      <c r="AE965" t="s">
        <v>95</v>
      </c>
      <c r="AF965" t="s">
        <v>93</v>
      </c>
      <c r="AT965">
        <v>0.66669999999999996</v>
      </c>
      <c r="BH965">
        <v>0.33329999999999999</v>
      </c>
      <c r="CR965">
        <f t="shared" si="140"/>
        <v>-41.997127268295131</v>
      </c>
      <c r="CS965">
        <f t="shared" si="141"/>
        <v>-41.368834861661774</v>
      </c>
      <c r="CT965">
        <f t="shared" si="142"/>
        <v>-6.8111588290542526</v>
      </c>
      <c r="CU965" s="7">
        <f t="shared" si="143"/>
        <v>-30.059040319670384</v>
      </c>
      <c r="CV965" s="9">
        <f t="shared" si="144"/>
        <v>278.95400000000001</v>
      </c>
      <c r="CW965" t="str">
        <f t="shared" si="136"/>
        <v>ErFe2</v>
      </c>
    </row>
    <row r="966" spans="1:101" ht="15.75" thickBot="1" x14ac:dyDescent="0.3">
      <c r="A966" t="s">
        <v>91</v>
      </c>
      <c r="B966" t="s">
        <v>93</v>
      </c>
      <c r="C966" t="s">
        <v>3144</v>
      </c>
      <c r="E966" t="s">
        <v>3145</v>
      </c>
      <c r="F966" t="s">
        <v>93</v>
      </c>
      <c r="G966" t="s">
        <v>1013</v>
      </c>
      <c r="H966">
        <v>996.76699999999903</v>
      </c>
      <c r="I966">
        <v>405</v>
      </c>
      <c r="M966">
        <f t="shared" si="137"/>
        <v>0</v>
      </c>
      <c r="O966" t="s">
        <v>93</v>
      </c>
      <c r="P966" t="s">
        <v>93</v>
      </c>
      <c r="T966">
        <f t="shared" si="138"/>
        <v>0</v>
      </c>
      <c r="V966" t="s">
        <v>93</v>
      </c>
      <c r="W966" t="s">
        <v>93</v>
      </c>
      <c r="X966">
        <v>298</v>
      </c>
      <c r="Y966" t="s">
        <v>93</v>
      </c>
      <c r="Z966">
        <v>-29.9</v>
      </c>
      <c r="AA966" t="s">
        <v>95</v>
      </c>
      <c r="AB966">
        <f t="shared" si="139"/>
        <v>-29.996980237106591</v>
      </c>
      <c r="AC966" t="s">
        <v>93</v>
      </c>
      <c r="AD966">
        <v>1.9</v>
      </c>
      <c r="AE966" t="s">
        <v>95</v>
      </c>
      <c r="AF966" t="s">
        <v>93</v>
      </c>
      <c r="AH966" t="s">
        <v>93</v>
      </c>
      <c r="AI966" t="s">
        <v>93</v>
      </c>
      <c r="AJ966" t="s">
        <v>93</v>
      </c>
      <c r="AK966" t="s">
        <v>93</v>
      </c>
      <c r="AV966">
        <v>0.28999999999999998</v>
      </c>
      <c r="BK966">
        <v>0.71</v>
      </c>
      <c r="CR966">
        <f t="shared" si="140"/>
        <v>0</v>
      </c>
      <c r="CS966">
        <f t="shared" si="141"/>
        <v>0</v>
      </c>
      <c r="CT966">
        <f t="shared" si="142"/>
        <v>-29.996980237106591</v>
      </c>
      <c r="CU966" s="7">
        <f t="shared" si="143"/>
        <v>-29.996980237106591</v>
      </c>
      <c r="CV966" s="9">
        <f t="shared" si="144"/>
        <v>996.76699999999903</v>
      </c>
      <c r="CW966" t="str">
        <f t="shared" si="136"/>
        <v>Ru2Tb5</v>
      </c>
    </row>
    <row r="967" spans="1:101" ht="15.75" thickBot="1" x14ac:dyDescent="0.3">
      <c r="A967" t="s">
        <v>91</v>
      </c>
      <c r="B967" t="s">
        <v>93</v>
      </c>
      <c r="C967" t="s">
        <v>3144</v>
      </c>
      <c r="E967" t="s">
        <v>3145</v>
      </c>
      <c r="F967" t="s">
        <v>93</v>
      </c>
      <c r="G967" t="s">
        <v>2396</v>
      </c>
      <c r="H967">
        <v>348.95499999999998</v>
      </c>
      <c r="I967">
        <v>971</v>
      </c>
      <c r="M967">
        <f t="shared" si="137"/>
        <v>0</v>
      </c>
      <c r="O967" t="s">
        <v>93</v>
      </c>
      <c r="P967" t="s">
        <v>93</v>
      </c>
      <c r="T967">
        <f t="shared" si="138"/>
        <v>0</v>
      </c>
      <c r="V967" t="s">
        <v>93</v>
      </c>
      <c r="W967" t="s">
        <v>2397</v>
      </c>
      <c r="X967">
        <v>298</v>
      </c>
      <c r="Y967" t="s">
        <v>155</v>
      </c>
      <c r="Z967">
        <v>-10.4</v>
      </c>
      <c r="AA967" t="s">
        <v>95</v>
      </c>
      <c r="AB967">
        <f t="shared" si="139"/>
        <v>-29.803269762576836</v>
      </c>
      <c r="AC967" t="s">
        <v>93</v>
      </c>
      <c r="AD967">
        <v>2.8</v>
      </c>
      <c r="AE967" t="s">
        <v>95</v>
      </c>
      <c r="AF967" t="s">
        <v>93</v>
      </c>
      <c r="AH967" t="s">
        <v>93</v>
      </c>
      <c r="AI967" t="s">
        <v>93</v>
      </c>
      <c r="AJ967" t="s">
        <v>93</v>
      </c>
      <c r="AK967" t="s">
        <v>93</v>
      </c>
      <c r="AT967">
        <v>81.8</v>
      </c>
      <c r="BY967">
        <v>18.2</v>
      </c>
      <c r="CR967">
        <f t="shared" si="140"/>
        <v>0</v>
      </c>
      <c r="CS967">
        <f t="shared" si="141"/>
        <v>0</v>
      </c>
      <c r="CT967">
        <f t="shared" si="142"/>
        <v>-29.803269762576836</v>
      </c>
      <c r="CU967" s="7">
        <f t="shared" si="143"/>
        <v>-29.803269762576836</v>
      </c>
      <c r="CV967" s="9">
        <f t="shared" si="144"/>
        <v>348.95499999999998</v>
      </c>
      <c r="CW967" t="str">
        <f t="shared" si="136"/>
        <v>Fe5Ga</v>
      </c>
    </row>
    <row r="968" spans="1:101" ht="15.75" thickBot="1" x14ac:dyDescent="0.3">
      <c r="A968" t="s">
        <v>91</v>
      </c>
      <c r="B968" t="s">
        <v>2580</v>
      </c>
      <c r="C968" t="s">
        <v>3144</v>
      </c>
      <c r="E968" t="s">
        <v>3145</v>
      </c>
      <c r="F968" t="s">
        <v>93</v>
      </c>
      <c r="G968" t="s">
        <v>2581</v>
      </c>
      <c r="H968">
        <v>308.74</v>
      </c>
      <c r="I968">
        <v>1052</v>
      </c>
      <c r="M968">
        <f t="shared" si="137"/>
        <v>0</v>
      </c>
      <c r="O968" t="s">
        <v>93</v>
      </c>
      <c r="P968" t="s">
        <v>93</v>
      </c>
      <c r="T968">
        <f t="shared" si="138"/>
        <v>0</v>
      </c>
      <c r="V968" t="s">
        <v>93</v>
      </c>
      <c r="W968" t="s">
        <v>970</v>
      </c>
      <c r="X968">
        <v>298</v>
      </c>
      <c r="Y968" t="s">
        <v>971</v>
      </c>
      <c r="Z968">
        <v>-9.1999999999999993</v>
      </c>
      <c r="AA968" t="s">
        <v>95</v>
      </c>
      <c r="AB968">
        <f t="shared" si="139"/>
        <v>-29.798535984971171</v>
      </c>
      <c r="AC968" t="s">
        <v>93</v>
      </c>
      <c r="AD968">
        <v>1.9</v>
      </c>
      <c r="AE968" t="s">
        <v>95</v>
      </c>
      <c r="AF968" t="s">
        <v>93</v>
      </c>
      <c r="AH968" t="s">
        <v>93</v>
      </c>
      <c r="AI968" t="s">
        <v>93</v>
      </c>
      <c r="AJ968" t="s">
        <v>93</v>
      </c>
      <c r="AK968" t="s">
        <v>93</v>
      </c>
      <c r="AZ968">
        <v>0.66669999999999996</v>
      </c>
      <c r="BS968">
        <v>0.33329999999999999</v>
      </c>
      <c r="CR968">
        <f t="shared" si="140"/>
        <v>0</v>
      </c>
      <c r="CS968">
        <f t="shared" si="141"/>
        <v>0</v>
      </c>
      <c r="CT968">
        <f t="shared" si="142"/>
        <v>-29.798535984971171</v>
      </c>
      <c r="CU968" s="7">
        <f t="shared" si="143"/>
        <v>-29.798535984971171</v>
      </c>
      <c r="CV968" s="9">
        <f t="shared" si="144"/>
        <v>308.74</v>
      </c>
      <c r="CW968" t="str">
        <f t="shared" si="136"/>
        <v>MoPd2</v>
      </c>
    </row>
    <row r="969" spans="1:101" ht="15.75" thickBot="1" x14ac:dyDescent="0.3">
      <c r="A969" t="s">
        <v>91</v>
      </c>
      <c r="B969" t="s">
        <v>1292</v>
      </c>
      <c r="C969" t="s">
        <v>3144</v>
      </c>
      <c r="E969" t="s">
        <v>3145</v>
      </c>
      <c r="F969" t="s">
        <v>93</v>
      </c>
      <c r="G969" t="s">
        <v>1293</v>
      </c>
      <c r="H969">
        <v>298.71199999999999</v>
      </c>
      <c r="I969">
        <v>505</v>
      </c>
      <c r="M969">
        <f t="shared" si="137"/>
        <v>0</v>
      </c>
      <c r="O969" t="s">
        <v>93</v>
      </c>
      <c r="P969" t="s">
        <v>93</v>
      </c>
      <c r="T969">
        <f t="shared" si="138"/>
        <v>0</v>
      </c>
      <c r="V969" t="s">
        <v>93</v>
      </c>
      <c r="W969" t="s">
        <v>793</v>
      </c>
      <c r="X969">
        <v>298</v>
      </c>
      <c r="Y969" t="s">
        <v>794</v>
      </c>
      <c r="Z969">
        <v>-8.9</v>
      </c>
      <c r="AA969" t="s">
        <v>95</v>
      </c>
      <c r="AB969">
        <f t="shared" si="139"/>
        <v>-29.794584750528941</v>
      </c>
      <c r="AC969" t="s">
        <v>93</v>
      </c>
      <c r="AD969">
        <v>1.5</v>
      </c>
      <c r="AE969" t="s">
        <v>95</v>
      </c>
      <c r="AF969" t="s">
        <v>93</v>
      </c>
      <c r="AH969" t="s">
        <v>93</v>
      </c>
      <c r="AI969" t="s">
        <v>93</v>
      </c>
      <c r="AJ969" t="s">
        <v>93</v>
      </c>
      <c r="AK969" t="s">
        <v>93</v>
      </c>
      <c r="BR969">
        <v>0.71</v>
      </c>
      <c r="BU969">
        <v>0.28999999999999998</v>
      </c>
      <c r="CR969">
        <f t="shared" si="140"/>
        <v>0</v>
      </c>
      <c r="CS969">
        <f t="shared" si="141"/>
        <v>0</v>
      </c>
      <c r="CT969">
        <f t="shared" si="142"/>
        <v>-29.794584750528941</v>
      </c>
      <c r="CU969" s="7">
        <f t="shared" si="143"/>
        <v>-29.794584750528941</v>
      </c>
      <c r="CV969" s="9">
        <f t="shared" si="144"/>
        <v>298.71199999999999</v>
      </c>
      <c r="CW969" t="str">
        <f t="shared" si="136"/>
        <v>C2Mn5</v>
      </c>
    </row>
    <row r="970" spans="1:101" ht="15.75" thickBot="1" x14ac:dyDescent="0.3">
      <c r="A970" t="s">
        <v>91</v>
      </c>
      <c r="B970" t="s">
        <v>2964</v>
      </c>
      <c r="C970" t="s">
        <v>3144</v>
      </c>
      <c r="E970" t="s">
        <v>3145</v>
      </c>
      <c r="F970" t="s">
        <v>93</v>
      </c>
      <c r="G970" t="s">
        <v>2965</v>
      </c>
      <c r="H970">
        <v>1416.2269999999901</v>
      </c>
      <c r="I970">
        <v>1240</v>
      </c>
      <c r="M970">
        <f t="shared" si="137"/>
        <v>0</v>
      </c>
      <c r="O970" t="s">
        <v>93</v>
      </c>
      <c r="P970" t="s">
        <v>93</v>
      </c>
      <c r="Q970">
        <v>0</v>
      </c>
      <c r="R970" t="s">
        <v>95</v>
      </c>
      <c r="S970">
        <v>-13.19127445</v>
      </c>
      <c r="T970">
        <f t="shared" si="138"/>
        <v>-9.314378591850101</v>
      </c>
      <c r="U970" t="s">
        <v>95</v>
      </c>
      <c r="V970">
        <v>30923</v>
      </c>
      <c r="W970" t="s">
        <v>339</v>
      </c>
      <c r="X970">
        <v>298</v>
      </c>
      <c r="Y970" t="s">
        <v>1403</v>
      </c>
      <c r="Z970">
        <v>-71.2</v>
      </c>
      <c r="AA970" t="s">
        <v>95</v>
      </c>
      <c r="AB970">
        <f t="shared" si="139"/>
        <v>-50.274426345494405</v>
      </c>
      <c r="AC970" t="s">
        <v>93</v>
      </c>
      <c r="AD970">
        <v>3.3</v>
      </c>
      <c r="AE970" t="s">
        <v>95</v>
      </c>
      <c r="AF970" t="s">
        <v>93</v>
      </c>
      <c r="AH970" t="s">
        <v>93</v>
      </c>
      <c r="AI970" t="s">
        <v>93</v>
      </c>
      <c r="BK970">
        <v>0.625</v>
      </c>
      <c r="CO970">
        <v>0.32500000000000001</v>
      </c>
      <c r="CR970">
        <f t="shared" si="140"/>
        <v>0</v>
      </c>
      <c r="CS970">
        <f t="shared" si="141"/>
        <v>-9.314378591850101</v>
      </c>
      <c r="CT970">
        <f t="shared" si="142"/>
        <v>-50.274426345494405</v>
      </c>
      <c r="CU970" s="7">
        <f t="shared" si="143"/>
        <v>-29.794402468672253</v>
      </c>
      <c r="CV970" s="9">
        <f t="shared" si="144"/>
        <v>1416.2269999999901</v>
      </c>
      <c r="CW970" t="str">
        <f t="shared" si="136"/>
        <v>Tb5Pb3</v>
      </c>
    </row>
    <row r="971" spans="1:101" ht="15.75" thickBot="1" x14ac:dyDescent="0.3">
      <c r="A971" t="s">
        <v>91</v>
      </c>
      <c r="B971" t="s">
        <v>2767</v>
      </c>
      <c r="C971" t="s">
        <v>3144</v>
      </c>
      <c r="E971" t="s">
        <v>3145</v>
      </c>
      <c r="F971" t="s">
        <v>93</v>
      </c>
      <c r="G971" t="s">
        <v>2768</v>
      </c>
      <c r="H971">
        <v>1077.69999999999</v>
      </c>
      <c r="I971">
        <v>1132</v>
      </c>
      <c r="J971">
        <v>0</v>
      </c>
      <c r="K971" t="s">
        <v>95</v>
      </c>
      <c r="L971">
        <v>-13.55229108</v>
      </c>
      <c r="M971">
        <f t="shared" si="137"/>
        <v>-12.575198181312169</v>
      </c>
      <c r="N971" t="s">
        <v>95</v>
      </c>
      <c r="O971" t="s">
        <v>2769</v>
      </c>
      <c r="P971" t="s">
        <v>93</v>
      </c>
      <c r="T971">
        <f t="shared" si="138"/>
        <v>0</v>
      </c>
      <c r="V971" t="s">
        <v>93</v>
      </c>
      <c r="W971" t="s">
        <v>339</v>
      </c>
      <c r="X971">
        <v>298</v>
      </c>
      <c r="Y971" t="s">
        <v>1403</v>
      </c>
      <c r="Z971">
        <v>-50.6</v>
      </c>
      <c r="AA971" t="s">
        <v>95</v>
      </c>
      <c r="AB971">
        <f t="shared" si="139"/>
        <v>-46.951841885497331</v>
      </c>
      <c r="AC971" t="s">
        <v>93</v>
      </c>
      <c r="AD971">
        <v>3.1</v>
      </c>
      <c r="AE971" t="s">
        <v>95</v>
      </c>
      <c r="AF971" t="s">
        <v>93</v>
      </c>
      <c r="AJ971" t="s">
        <v>93</v>
      </c>
      <c r="AK971" t="s">
        <v>93</v>
      </c>
      <c r="AP971">
        <v>0.625</v>
      </c>
      <c r="CO971">
        <v>0.375</v>
      </c>
      <c r="CR971">
        <f t="shared" si="140"/>
        <v>-12.575198181312169</v>
      </c>
      <c r="CS971">
        <f t="shared" si="141"/>
        <v>0</v>
      </c>
      <c r="CT971">
        <f t="shared" si="142"/>
        <v>-46.951841885497331</v>
      </c>
      <c r="CU971" s="7">
        <f t="shared" si="143"/>
        <v>-29.763520033404749</v>
      </c>
      <c r="CV971" s="9">
        <f t="shared" si="144"/>
        <v>1077.69999999999</v>
      </c>
      <c r="CW971" t="str">
        <f t="shared" si="136"/>
        <v>Zr5Pb3</v>
      </c>
    </row>
    <row r="972" spans="1:101" ht="15.75" thickBot="1" x14ac:dyDescent="0.3">
      <c r="A972" t="s">
        <v>91</v>
      </c>
      <c r="B972" t="s">
        <v>2485</v>
      </c>
      <c r="C972" t="s">
        <v>3144</v>
      </c>
      <c r="E972" t="s">
        <v>3145</v>
      </c>
      <c r="F972" t="s">
        <v>93</v>
      </c>
      <c r="G972" t="s">
        <v>2486</v>
      </c>
      <c r="H972">
        <v>287.26600000000002</v>
      </c>
      <c r="I972">
        <v>1012</v>
      </c>
      <c r="M972">
        <f t="shared" si="137"/>
        <v>0</v>
      </c>
      <c r="O972" t="s">
        <v>93</v>
      </c>
      <c r="P972" t="s">
        <v>93</v>
      </c>
      <c r="Q972">
        <v>18.618994499999999</v>
      </c>
      <c r="R972" t="s">
        <v>95</v>
      </c>
      <c r="S972">
        <v>4.1996665399999999</v>
      </c>
      <c r="T972">
        <f t="shared" si="138"/>
        <v>14.619434739927453</v>
      </c>
      <c r="U972" t="s">
        <v>95</v>
      </c>
      <c r="V972">
        <v>676576</v>
      </c>
      <c r="W972" t="s">
        <v>184</v>
      </c>
      <c r="X972">
        <v>298</v>
      </c>
      <c r="Y972" t="s">
        <v>1983</v>
      </c>
      <c r="Z972">
        <v>-20.9</v>
      </c>
      <c r="AA972" t="s">
        <v>95</v>
      </c>
      <c r="AB972">
        <f t="shared" si="139"/>
        <v>-72.754868310207243</v>
      </c>
      <c r="AC972" t="s">
        <v>93</v>
      </c>
      <c r="AD972">
        <v>2.6</v>
      </c>
      <c r="AE972" t="s">
        <v>95</v>
      </c>
      <c r="AF972" t="s">
        <v>93</v>
      </c>
      <c r="AH972" t="s">
        <v>93</v>
      </c>
      <c r="AI972" t="s">
        <v>93</v>
      </c>
      <c r="AS972">
        <v>0.25</v>
      </c>
      <c r="BR972">
        <v>0.5</v>
      </c>
      <c r="CF972">
        <v>0.25</v>
      </c>
      <c r="CR972">
        <f t="shared" si="140"/>
        <v>0</v>
      </c>
      <c r="CS972">
        <f t="shared" si="141"/>
        <v>14.619434739927453</v>
      </c>
      <c r="CT972">
        <f t="shared" si="142"/>
        <v>-72.754868310207243</v>
      </c>
      <c r="CU972" s="7">
        <f t="shared" si="143"/>
        <v>-29.067716785139893</v>
      </c>
      <c r="CV972" s="9">
        <f t="shared" si="144"/>
        <v>287.26600000000002</v>
      </c>
      <c r="CW972" t="str">
        <f t="shared" si="136"/>
        <v>Mn2NiSn</v>
      </c>
    </row>
    <row r="973" spans="1:101" ht="15.75" thickBot="1" x14ac:dyDescent="0.3">
      <c r="A973" t="s">
        <v>91</v>
      </c>
      <c r="B973" t="s">
        <v>1708</v>
      </c>
      <c r="C973" t="s">
        <v>3144</v>
      </c>
      <c r="E973" t="s">
        <v>3145</v>
      </c>
      <c r="F973" t="s">
        <v>93</v>
      </c>
      <c r="G973" t="s">
        <v>1709</v>
      </c>
      <c r="H973">
        <v>203.66800000000001</v>
      </c>
      <c r="I973">
        <v>655</v>
      </c>
      <c r="J973">
        <v>0</v>
      </c>
      <c r="K973" t="s">
        <v>95</v>
      </c>
      <c r="L973">
        <v>-5.3733282000000004</v>
      </c>
      <c r="M973">
        <f t="shared" si="137"/>
        <v>-26.382780800125694</v>
      </c>
      <c r="N973" t="s">
        <v>95</v>
      </c>
      <c r="O973" t="s">
        <v>1710</v>
      </c>
      <c r="P973" t="s">
        <v>93</v>
      </c>
      <c r="Q973">
        <v>0</v>
      </c>
      <c r="R973" t="s">
        <v>95</v>
      </c>
      <c r="S973">
        <v>-10.070247180000001</v>
      </c>
      <c r="T973">
        <f t="shared" si="138"/>
        <v>-49.444425142879588</v>
      </c>
      <c r="U973" t="s">
        <v>95</v>
      </c>
      <c r="V973">
        <v>27647</v>
      </c>
      <c r="W973" t="s">
        <v>97</v>
      </c>
      <c r="X973">
        <v>298</v>
      </c>
      <c r="Y973" t="s">
        <v>98</v>
      </c>
      <c r="Z973">
        <v>-2.2999999999999998</v>
      </c>
      <c r="AA973" t="s">
        <v>95</v>
      </c>
      <c r="AB973">
        <f t="shared" si="139"/>
        <v>-11.292888426262346</v>
      </c>
      <c r="AC973" t="s">
        <v>93</v>
      </c>
      <c r="AD973">
        <v>1.1000000000000001</v>
      </c>
      <c r="AE973" t="s">
        <v>95</v>
      </c>
      <c r="AF973" t="s">
        <v>93</v>
      </c>
      <c r="BA973">
        <v>0.66</v>
      </c>
      <c r="CR973">
        <f t="shared" si="140"/>
        <v>-26.382780800125694</v>
      </c>
      <c r="CS973">
        <f t="shared" si="141"/>
        <v>-49.444425142879588</v>
      </c>
      <c r="CT973">
        <f t="shared" si="142"/>
        <v>-11.292888426262346</v>
      </c>
      <c r="CU973" s="7">
        <f t="shared" si="143"/>
        <v>-29.040031456422543</v>
      </c>
      <c r="CV973" s="9">
        <f t="shared" si="144"/>
        <v>203.66800000000001</v>
      </c>
      <c r="CW973" t="str">
        <f t="shared" si="136"/>
        <v>Ti2Ag</v>
      </c>
    </row>
    <row r="974" spans="1:101" ht="15.75" thickBot="1" x14ac:dyDescent="0.3">
      <c r="A974" t="s">
        <v>91</v>
      </c>
      <c r="B974" t="s">
        <v>1935</v>
      </c>
      <c r="C974" t="s">
        <v>3144</v>
      </c>
      <c r="E974" t="s">
        <v>3145</v>
      </c>
      <c r="F974" t="s">
        <v>93</v>
      </c>
      <c r="G974" t="s">
        <v>1936</v>
      </c>
      <c r="H974">
        <v>492.46</v>
      </c>
      <c r="I974">
        <v>744</v>
      </c>
      <c r="J974">
        <v>8.3665970000000006E-2</v>
      </c>
      <c r="K974" t="s">
        <v>95</v>
      </c>
      <c r="L974">
        <v>-9.5570766999999996</v>
      </c>
      <c r="M974">
        <f t="shared" si="137"/>
        <v>-19.406808065629694</v>
      </c>
      <c r="N974" t="s">
        <v>95</v>
      </c>
      <c r="O974" t="s">
        <v>1937</v>
      </c>
      <c r="P974" t="s">
        <v>93</v>
      </c>
      <c r="T974">
        <f t="shared" si="138"/>
        <v>0</v>
      </c>
      <c r="V974" t="s">
        <v>93</v>
      </c>
      <c r="W974" t="s">
        <v>339</v>
      </c>
      <c r="X974">
        <v>298</v>
      </c>
      <c r="Y974" t="s">
        <v>1403</v>
      </c>
      <c r="Z974">
        <v>-18.18</v>
      </c>
      <c r="AA974" t="s">
        <v>95</v>
      </c>
      <c r="AB974">
        <f t="shared" si="139"/>
        <v>-36.916703894732564</v>
      </c>
      <c r="AC974" t="s">
        <v>93</v>
      </c>
      <c r="AD974">
        <v>0.68</v>
      </c>
      <c r="AE974" t="s">
        <v>95</v>
      </c>
      <c r="AF974" t="s">
        <v>93</v>
      </c>
      <c r="AJ974" t="s">
        <v>93</v>
      </c>
      <c r="AK974" t="s">
        <v>93</v>
      </c>
      <c r="BR974">
        <v>0.625</v>
      </c>
      <c r="CA974">
        <v>0.375</v>
      </c>
      <c r="CR974">
        <f t="shared" si="140"/>
        <v>-19.406808065629694</v>
      </c>
      <c r="CS974">
        <f t="shared" si="141"/>
        <v>0</v>
      </c>
      <c r="CT974">
        <f t="shared" si="142"/>
        <v>-36.916703894732564</v>
      </c>
      <c r="CU974" s="7">
        <f t="shared" si="143"/>
        <v>-28.161755980181127</v>
      </c>
      <c r="CV974" s="9">
        <f t="shared" si="144"/>
        <v>492.46</v>
      </c>
      <c r="CW974" t="str">
        <f t="shared" si="136"/>
        <v>Mn5Ge3</v>
      </c>
    </row>
    <row r="975" spans="1:101" ht="15.75" thickBot="1" x14ac:dyDescent="0.3">
      <c r="A975" t="s">
        <v>91</v>
      </c>
      <c r="B975" t="s">
        <v>1393</v>
      </c>
      <c r="C975" t="s">
        <v>3144</v>
      </c>
      <c r="E975" t="s">
        <v>3145</v>
      </c>
      <c r="F975" t="s">
        <v>93</v>
      </c>
      <c r="G975" t="s">
        <v>1394</v>
      </c>
      <c r="H975">
        <v>218.7235</v>
      </c>
      <c r="I975">
        <v>538</v>
      </c>
      <c r="M975">
        <f t="shared" si="137"/>
        <v>0</v>
      </c>
      <c r="O975" t="s">
        <v>93</v>
      </c>
      <c r="P975" t="s">
        <v>93</v>
      </c>
      <c r="T975">
        <f t="shared" si="138"/>
        <v>0</v>
      </c>
      <c r="V975" t="s">
        <v>93</v>
      </c>
      <c r="W975" t="s">
        <v>93</v>
      </c>
      <c r="X975">
        <v>298</v>
      </c>
      <c r="Y975" t="s">
        <v>93</v>
      </c>
      <c r="Z975">
        <v>-6.1</v>
      </c>
      <c r="AA975" t="s">
        <v>95</v>
      </c>
      <c r="AB975">
        <f t="shared" si="139"/>
        <v>-27.889092850105268</v>
      </c>
      <c r="AC975" t="s">
        <v>93</v>
      </c>
      <c r="AD975">
        <v>0.6</v>
      </c>
      <c r="AE975" t="s">
        <v>95</v>
      </c>
      <c r="AF975" t="s">
        <v>93</v>
      </c>
      <c r="AH975" t="s">
        <v>93</v>
      </c>
      <c r="AI975" t="s">
        <v>93</v>
      </c>
      <c r="AJ975" t="s">
        <v>93</v>
      </c>
      <c r="AK975" t="s">
        <v>93</v>
      </c>
      <c r="AX975">
        <v>0.75</v>
      </c>
      <c r="BX975">
        <v>0.25</v>
      </c>
      <c r="CR975">
        <f t="shared" si="140"/>
        <v>0</v>
      </c>
      <c r="CS975">
        <f t="shared" si="141"/>
        <v>0</v>
      </c>
      <c r="CT975">
        <f t="shared" si="142"/>
        <v>-27.889092850105268</v>
      </c>
      <c r="CU975" s="7">
        <f t="shared" si="143"/>
        <v>-27.889092850105268</v>
      </c>
      <c r="CV975" s="9">
        <f t="shared" si="144"/>
        <v>218.7235</v>
      </c>
      <c r="CW975" t="str">
        <f t="shared" si="136"/>
        <v>Cu3Si</v>
      </c>
    </row>
    <row r="976" spans="1:101" ht="15.75" thickBot="1" x14ac:dyDescent="0.3">
      <c r="A976" t="s">
        <v>91</v>
      </c>
      <c r="B976" t="s">
        <v>460</v>
      </c>
      <c r="C976" t="s">
        <v>3144</v>
      </c>
      <c r="E976" t="s">
        <v>3145</v>
      </c>
      <c r="F976" t="s">
        <v>93</v>
      </c>
      <c r="G976" t="s">
        <v>461</v>
      </c>
      <c r="H976">
        <v>521.39599999999996</v>
      </c>
      <c r="I976">
        <v>187</v>
      </c>
      <c r="J976">
        <v>0</v>
      </c>
      <c r="K976" t="s">
        <v>95</v>
      </c>
      <c r="L976">
        <v>-11.533882289999999</v>
      </c>
      <c r="M976">
        <f t="shared" si="137"/>
        <v>-22.121156069475024</v>
      </c>
      <c r="N976" t="s">
        <v>95</v>
      </c>
      <c r="O976" t="s">
        <v>462</v>
      </c>
      <c r="P976" t="s">
        <v>93</v>
      </c>
      <c r="Q976">
        <v>0.67342184999999999</v>
      </c>
      <c r="R976" t="s">
        <v>95</v>
      </c>
      <c r="S976">
        <v>-10.91770092</v>
      </c>
      <c r="T976">
        <f t="shared" si="138"/>
        <v>-20.939364552087088</v>
      </c>
      <c r="U976" t="s">
        <v>95</v>
      </c>
      <c r="V976">
        <v>19222</v>
      </c>
      <c r="W976" t="s">
        <v>463</v>
      </c>
      <c r="X976">
        <v>298</v>
      </c>
      <c r="Y976" t="s">
        <v>359</v>
      </c>
      <c r="Z976">
        <v>-20.9</v>
      </c>
      <c r="AA976" t="s">
        <v>95</v>
      </c>
      <c r="AB976">
        <f t="shared" si="139"/>
        <v>-40.084695701539708</v>
      </c>
      <c r="AC976" t="s">
        <v>93</v>
      </c>
      <c r="AD976">
        <v>2.4</v>
      </c>
      <c r="AE976" t="s">
        <v>95</v>
      </c>
      <c r="AF976" t="s">
        <v>93</v>
      </c>
      <c r="AM976">
        <v>0.14000000000000001</v>
      </c>
      <c r="AX976">
        <v>0.86</v>
      </c>
      <c r="CR976">
        <f t="shared" si="140"/>
        <v>-22.121156069475024</v>
      </c>
      <c r="CS976">
        <f t="shared" si="141"/>
        <v>-20.939364552087088</v>
      </c>
      <c r="CT976">
        <f t="shared" si="142"/>
        <v>-40.084695701539708</v>
      </c>
      <c r="CU976" s="7">
        <f t="shared" si="143"/>
        <v>-27.715072107700607</v>
      </c>
      <c r="CV976" s="9">
        <f t="shared" si="144"/>
        <v>521.39599999999996</v>
      </c>
      <c r="CW976" t="str">
        <f t="shared" si="136"/>
        <v>CeCu6</v>
      </c>
    </row>
    <row r="977" spans="1:101" ht="15.75" thickBot="1" x14ac:dyDescent="0.3">
      <c r="A977" t="s">
        <v>91</v>
      </c>
      <c r="B977" t="s">
        <v>423</v>
      </c>
      <c r="C977" t="s">
        <v>3144</v>
      </c>
      <c r="E977" t="s">
        <v>3145</v>
      </c>
      <c r="F977" t="s">
        <v>93</v>
      </c>
      <c r="G977" t="s">
        <v>424</v>
      </c>
      <c r="H977">
        <v>486.83940000000001</v>
      </c>
      <c r="I977">
        <v>174</v>
      </c>
      <c r="M977">
        <f t="shared" si="137"/>
        <v>0</v>
      </c>
      <c r="O977" t="s">
        <v>93</v>
      </c>
      <c r="P977" t="s">
        <v>121</v>
      </c>
      <c r="T977">
        <f t="shared" si="138"/>
        <v>0</v>
      </c>
      <c r="V977" t="s">
        <v>93</v>
      </c>
      <c r="W977" t="s">
        <v>93</v>
      </c>
      <c r="X977">
        <v>298</v>
      </c>
      <c r="Y977" t="s">
        <v>93</v>
      </c>
      <c r="Z977">
        <v>-13.36</v>
      </c>
      <c r="AA977" t="s">
        <v>95</v>
      </c>
      <c r="AB977">
        <f t="shared" si="139"/>
        <v>-27.442314652429527</v>
      </c>
      <c r="AC977" t="s">
        <v>93</v>
      </c>
      <c r="AD977">
        <v>2.04</v>
      </c>
      <c r="AE977" t="s">
        <v>95</v>
      </c>
      <c r="AF977" t="s">
        <v>93</v>
      </c>
      <c r="AH977" t="s">
        <v>93</v>
      </c>
      <c r="AI977" t="s">
        <v>93</v>
      </c>
      <c r="AJ977" t="s">
        <v>93</v>
      </c>
      <c r="AK977" t="s">
        <v>93</v>
      </c>
      <c r="AU977">
        <v>0.33</v>
      </c>
      <c r="BC977">
        <v>0.66</v>
      </c>
      <c r="CR977">
        <f t="shared" si="140"/>
        <v>0</v>
      </c>
      <c r="CS977">
        <f t="shared" si="141"/>
        <v>0</v>
      </c>
      <c r="CT977">
        <f t="shared" si="142"/>
        <v>-27.442314652429527</v>
      </c>
      <c r="CU977" s="7">
        <f t="shared" si="143"/>
        <v>-27.442314652429527</v>
      </c>
      <c r="CV977" s="9">
        <f t="shared" si="144"/>
        <v>486.83940000000001</v>
      </c>
      <c r="CW977" t="str">
        <f t="shared" si="136"/>
        <v>Au2Nb</v>
      </c>
    </row>
    <row r="978" spans="1:101" ht="15.75" thickBot="1" x14ac:dyDescent="0.3">
      <c r="A978" t="s">
        <v>91</v>
      </c>
      <c r="B978" t="s">
        <v>93</v>
      </c>
      <c r="C978" t="s">
        <v>3144</v>
      </c>
      <c r="E978" t="s">
        <v>3145</v>
      </c>
      <c r="F978" t="s">
        <v>93</v>
      </c>
      <c r="G978" t="s">
        <v>2115</v>
      </c>
      <c r="H978">
        <v>1595.11</v>
      </c>
      <c r="I978">
        <v>841</v>
      </c>
      <c r="M978">
        <f t="shared" si="137"/>
        <v>0</v>
      </c>
      <c r="O978" t="s">
        <v>93</v>
      </c>
      <c r="P978" t="s">
        <v>93</v>
      </c>
      <c r="T978">
        <f t="shared" si="138"/>
        <v>0</v>
      </c>
      <c r="V978" t="s">
        <v>93</v>
      </c>
      <c r="W978" t="s">
        <v>2116</v>
      </c>
      <c r="X978">
        <v>298</v>
      </c>
      <c r="Y978" t="s">
        <v>971</v>
      </c>
      <c r="Z978">
        <v>-43.4</v>
      </c>
      <c r="AA978" t="s">
        <v>95</v>
      </c>
      <c r="AB978">
        <f t="shared" si="139"/>
        <v>-27.208154923484901</v>
      </c>
      <c r="AC978" t="s">
        <v>93</v>
      </c>
      <c r="AD978">
        <v>1.4</v>
      </c>
      <c r="AE978" t="s">
        <v>95</v>
      </c>
      <c r="AF978" t="s">
        <v>93</v>
      </c>
      <c r="AH978" t="s">
        <v>93</v>
      </c>
      <c r="AI978" t="s">
        <v>93</v>
      </c>
      <c r="AJ978" t="s">
        <v>93</v>
      </c>
      <c r="AK978" t="s">
        <v>93</v>
      </c>
      <c r="BA978">
        <v>0.55000000000000004</v>
      </c>
      <c r="CF978">
        <v>0.45</v>
      </c>
      <c r="CR978">
        <f t="shared" si="140"/>
        <v>0</v>
      </c>
      <c r="CS978">
        <f t="shared" si="141"/>
        <v>0</v>
      </c>
      <c r="CT978">
        <f t="shared" si="142"/>
        <v>-27.208154923484901</v>
      </c>
      <c r="CU978" s="7">
        <f t="shared" si="143"/>
        <v>-27.208154923484901</v>
      </c>
      <c r="CV978" s="9">
        <f t="shared" si="144"/>
        <v>1595.11</v>
      </c>
      <c r="CW978" t="str">
        <f t="shared" si="136"/>
        <v>Sn9Ti11</v>
      </c>
    </row>
    <row r="979" spans="1:101" ht="15.75" thickBot="1" x14ac:dyDescent="0.3">
      <c r="A979" t="s">
        <v>91</v>
      </c>
      <c r="B979" t="s">
        <v>2476</v>
      </c>
      <c r="C979" t="s">
        <v>3144</v>
      </c>
      <c r="E979" t="s">
        <v>3145</v>
      </c>
      <c r="F979" t="s">
        <v>93</v>
      </c>
      <c r="G979" t="s">
        <v>2477</v>
      </c>
      <c r="H979">
        <v>236.352</v>
      </c>
      <c r="I979">
        <v>1007</v>
      </c>
      <c r="J979">
        <v>4.0350705299999996</v>
      </c>
      <c r="K979" t="s">
        <v>95</v>
      </c>
      <c r="L979">
        <v>-6.5577287799999997</v>
      </c>
      <c r="M979">
        <f t="shared" si="137"/>
        <v>-27.74560308353642</v>
      </c>
      <c r="N979" t="s">
        <v>95</v>
      </c>
      <c r="O979" t="s">
        <v>2478</v>
      </c>
      <c r="P979" t="s">
        <v>93</v>
      </c>
      <c r="Q979">
        <v>4.0410148000000001</v>
      </c>
      <c r="R979" t="s">
        <v>95</v>
      </c>
      <c r="S979">
        <v>-7.0991348099999998</v>
      </c>
      <c r="T979">
        <f t="shared" si="138"/>
        <v>-30.036279828391553</v>
      </c>
      <c r="U979" t="s">
        <v>95</v>
      </c>
      <c r="V979">
        <v>525371</v>
      </c>
      <c r="W979" t="s">
        <v>184</v>
      </c>
      <c r="X979">
        <v>298</v>
      </c>
      <c r="Y979" t="s">
        <v>185</v>
      </c>
      <c r="Z979">
        <v>-5.6</v>
      </c>
      <c r="AA979" t="s">
        <v>95</v>
      </c>
      <c r="AB979">
        <f t="shared" si="139"/>
        <v>-23.693474140265366</v>
      </c>
      <c r="AC979" t="s">
        <v>93</v>
      </c>
      <c r="AD979">
        <v>2.2999999999999998</v>
      </c>
      <c r="AE979" t="s">
        <v>95</v>
      </c>
      <c r="AF979" t="s">
        <v>93</v>
      </c>
      <c r="AT979">
        <v>0.5</v>
      </c>
      <c r="BR979">
        <v>0.25</v>
      </c>
      <c r="BY979">
        <v>0.25</v>
      </c>
      <c r="CR979">
        <f t="shared" si="140"/>
        <v>-27.74560308353642</v>
      </c>
      <c r="CS979">
        <f t="shared" si="141"/>
        <v>-30.036279828391553</v>
      </c>
      <c r="CT979">
        <f t="shared" si="142"/>
        <v>-23.693474140265366</v>
      </c>
      <c r="CU979" s="7">
        <f t="shared" si="143"/>
        <v>-27.158452350731114</v>
      </c>
      <c r="CV979" s="9">
        <f t="shared" si="144"/>
        <v>236.352</v>
      </c>
      <c r="CW979" t="str">
        <f t="shared" si="136"/>
        <v>MnGaFe2</v>
      </c>
    </row>
    <row r="980" spans="1:101" ht="15.75" thickBot="1" x14ac:dyDescent="0.3">
      <c r="A980" t="s">
        <v>91</v>
      </c>
      <c r="B980" t="s">
        <v>2382</v>
      </c>
      <c r="C980" t="s">
        <v>3144</v>
      </c>
      <c r="E980" t="s">
        <v>3145</v>
      </c>
      <c r="F980" t="s">
        <v>93</v>
      </c>
      <c r="G980" t="s">
        <v>2383</v>
      </c>
      <c r="H980">
        <v>276.62439999999998</v>
      </c>
      <c r="I980">
        <v>966</v>
      </c>
      <c r="J980">
        <v>0</v>
      </c>
      <c r="K980" t="s">
        <v>95</v>
      </c>
      <c r="L980">
        <v>-9.7744592400000005</v>
      </c>
      <c r="M980">
        <f t="shared" si="137"/>
        <v>-35.334768877944249</v>
      </c>
      <c r="N980" t="s">
        <v>95</v>
      </c>
      <c r="O980" t="s">
        <v>2384</v>
      </c>
      <c r="P980" t="s">
        <v>93</v>
      </c>
      <c r="Q980">
        <v>0</v>
      </c>
      <c r="R980" t="s">
        <v>95</v>
      </c>
      <c r="S980">
        <v>-9.5439996600000008</v>
      </c>
      <c r="T980">
        <f t="shared" si="138"/>
        <v>-34.50165516852455</v>
      </c>
      <c r="U980" t="s">
        <v>95</v>
      </c>
      <c r="V980">
        <v>31298</v>
      </c>
      <c r="W980" t="s">
        <v>159</v>
      </c>
      <c r="X980">
        <v>298</v>
      </c>
      <c r="Y980" t="s">
        <v>160</v>
      </c>
      <c r="Z980">
        <v>-2.6</v>
      </c>
      <c r="AA980" t="s">
        <v>95</v>
      </c>
      <c r="AB980">
        <f t="shared" si="139"/>
        <v>-9.3990262608793742</v>
      </c>
      <c r="AC980" t="s">
        <v>93</v>
      </c>
      <c r="AD980">
        <v>3.3</v>
      </c>
      <c r="AE980" t="s">
        <v>95</v>
      </c>
      <c r="AF980" t="s">
        <v>93</v>
      </c>
      <c r="AT980">
        <v>0.66669999999999996</v>
      </c>
      <c r="BJ980">
        <v>0.33329999999999999</v>
      </c>
      <c r="CR980">
        <f t="shared" si="140"/>
        <v>-35.334768877944249</v>
      </c>
      <c r="CS980">
        <f t="shared" si="141"/>
        <v>-34.50165516852455</v>
      </c>
      <c r="CT980">
        <f t="shared" si="142"/>
        <v>-9.3990262608793742</v>
      </c>
      <c r="CU980" s="7">
        <f t="shared" si="143"/>
        <v>-26.411816769116058</v>
      </c>
      <c r="CV980" s="9">
        <f t="shared" si="144"/>
        <v>276.62439999999998</v>
      </c>
      <c r="CW980" t="str">
        <f t="shared" si="136"/>
        <v>HoFe2</v>
      </c>
    </row>
    <row r="981" spans="1:101" ht="15.75" thickBot="1" x14ac:dyDescent="0.3">
      <c r="A981" t="s">
        <v>91</v>
      </c>
      <c r="B981" t="s">
        <v>1865</v>
      </c>
      <c r="C981" t="s">
        <v>3144</v>
      </c>
      <c r="E981" t="s">
        <v>3145</v>
      </c>
      <c r="F981" t="s">
        <v>93</v>
      </c>
      <c r="G981" t="s">
        <v>1866</v>
      </c>
      <c r="H981">
        <v>531.67600000000004</v>
      </c>
      <c r="I981">
        <v>712</v>
      </c>
      <c r="J981">
        <v>3.9462200000000003E-2</v>
      </c>
      <c r="K981" t="s">
        <v>95</v>
      </c>
      <c r="L981">
        <v>-14.16478498</v>
      </c>
      <c r="M981">
        <f t="shared" si="137"/>
        <v>-26.641761110149787</v>
      </c>
      <c r="N981" t="s">
        <v>95</v>
      </c>
      <c r="O981" t="s">
        <v>1867</v>
      </c>
      <c r="P981" t="s">
        <v>93</v>
      </c>
      <c r="Q981">
        <v>0.31762101999999998</v>
      </c>
      <c r="R981" t="s">
        <v>95</v>
      </c>
      <c r="S981">
        <v>-14.07238641</v>
      </c>
      <c r="T981">
        <f t="shared" si="138"/>
        <v>-26.467973747169324</v>
      </c>
      <c r="U981" t="s">
        <v>95</v>
      </c>
      <c r="V981">
        <v>29800</v>
      </c>
      <c r="W981" t="s">
        <v>463</v>
      </c>
      <c r="X981">
        <v>298</v>
      </c>
      <c r="Y981" t="s">
        <v>359</v>
      </c>
      <c r="Z981">
        <v>-13.7</v>
      </c>
      <c r="AA981" t="s">
        <v>95</v>
      </c>
      <c r="AB981">
        <f t="shared" si="139"/>
        <v>-25.76757273226551</v>
      </c>
      <c r="AC981" t="s">
        <v>93</v>
      </c>
      <c r="AD981">
        <v>1.5</v>
      </c>
      <c r="AE981" t="s">
        <v>95</v>
      </c>
      <c r="AF981" t="s">
        <v>93</v>
      </c>
      <c r="AX981">
        <v>0.85699999999999998</v>
      </c>
      <c r="BN981">
        <v>0.14299999999999999</v>
      </c>
      <c r="CR981">
        <f t="shared" si="140"/>
        <v>-26.641761110149787</v>
      </c>
      <c r="CS981">
        <f t="shared" si="141"/>
        <v>-26.467973747169324</v>
      </c>
      <c r="CT981">
        <f t="shared" si="142"/>
        <v>-25.76757273226551</v>
      </c>
      <c r="CU981" s="7">
        <f t="shared" si="143"/>
        <v>-26.292435863194871</v>
      </c>
      <c r="CV981" s="9">
        <f t="shared" si="144"/>
        <v>531.67600000000004</v>
      </c>
      <c r="CW981" t="str">
        <f t="shared" si="136"/>
        <v>SmCu6</v>
      </c>
    </row>
    <row r="982" spans="1:101" ht="15.75" thickBot="1" x14ac:dyDescent="0.3">
      <c r="A982" t="s">
        <v>91</v>
      </c>
      <c r="B982" t="s">
        <v>93</v>
      </c>
      <c r="C982" t="s">
        <v>3144</v>
      </c>
      <c r="E982" t="s">
        <v>3145</v>
      </c>
      <c r="F982" t="s">
        <v>93</v>
      </c>
      <c r="G982" t="s">
        <v>1266</v>
      </c>
      <c r="H982">
        <v>434.45</v>
      </c>
      <c r="I982">
        <v>495</v>
      </c>
      <c r="M982">
        <f t="shared" si="137"/>
        <v>0</v>
      </c>
      <c r="O982" t="s">
        <v>93</v>
      </c>
      <c r="P982" t="s">
        <v>93</v>
      </c>
      <c r="T982">
        <f t="shared" si="138"/>
        <v>0</v>
      </c>
      <c r="V982" t="s">
        <v>93</v>
      </c>
      <c r="W982" t="s">
        <v>172</v>
      </c>
      <c r="X982">
        <v>298</v>
      </c>
      <c r="Y982" t="s">
        <v>179</v>
      </c>
      <c r="Z982">
        <v>-11.4</v>
      </c>
      <c r="AA982" t="s">
        <v>95</v>
      </c>
      <c r="AB982">
        <f t="shared" si="139"/>
        <v>-26.240073656347104</v>
      </c>
      <c r="AC982" t="s">
        <v>93</v>
      </c>
      <c r="AD982">
        <v>1</v>
      </c>
      <c r="AE982" t="s">
        <v>95</v>
      </c>
      <c r="AF982" t="s">
        <v>93</v>
      </c>
      <c r="AH982" t="s">
        <v>93</v>
      </c>
      <c r="AI982" t="s">
        <v>93</v>
      </c>
      <c r="AJ982" t="s">
        <v>93</v>
      </c>
      <c r="AK982" t="s">
        <v>93</v>
      </c>
      <c r="BM982">
        <v>0.28999999999999998</v>
      </c>
      <c r="BQ982">
        <v>0.71</v>
      </c>
      <c r="CR982">
        <f t="shared" si="140"/>
        <v>0</v>
      </c>
      <c r="CS982">
        <f t="shared" si="141"/>
        <v>0</v>
      </c>
      <c r="CT982">
        <f t="shared" si="142"/>
        <v>-26.240073656347104</v>
      </c>
      <c r="CU982" s="7">
        <f t="shared" si="143"/>
        <v>-26.240073656347104</v>
      </c>
      <c r="CV982" s="9">
        <f t="shared" si="144"/>
        <v>434.45</v>
      </c>
      <c r="CW982" t="str">
        <f t="shared" si="136"/>
        <v>B5Os2</v>
      </c>
    </row>
    <row r="983" spans="1:101" ht="15.75" thickBot="1" x14ac:dyDescent="0.3">
      <c r="A983" t="s">
        <v>484</v>
      </c>
      <c r="B983" t="s">
        <v>93</v>
      </c>
      <c r="C983" t="s">
        <v>3138</v>
      </c>
      <c r="D983" t="s">
        <v>3139</v>
      </c>
      <c r="F983" t="s">
        <v>3140</v>
      </c>
      <c r="G983" t="s">
        <v>2344</v>
      </c>
      <c r="H983">
        <v>530.45000000000005</v>
      </c>
      <c r="I983">
        <v>952</v>
      </c>
      <c r="M983">
        <f t="shared" si="137"/>
        <v>0</v>
      </c>
      <c r="O983" t="s">
        <v>93</v>
      </c>
      <c r="P983" t="s">
        <v>93</v>
      </c>
      <c r="T983">
        <f t="shared" si="138"/>
        <v>0</v>
      </c>
      <c r="V983" t="s">
        <v>93</v>
      </c>
      <c r="W983" t="s">
        <v>728</v>
      </c>
      <c r="X983">
        <v>298</v>
      </c>
      <c r="Y983" t="s">
        <v>359</v>
      </c>
      <c r="Z983">
        <v>-13.9</v>
      </c>
      <c r="AA983" t="s">
        <v>95</v>
      </c>
      <c r="AB983">
        <f t="shared" si="139"/>
        <v>-26.204166273918368</v>
      </c>
      <c r="AC983" t="s">
        <v>93</v>
      </c>
      <c r="AD983">
        <v>2.9</v>
      </c>
      <c r="AE983" t="s">
        <v>95</v>
      </c>
      <c r="AF983" t="s">
        <v>93</v>
      </c>
      <c r="AH983" t="s">
        <v>93</v>
      </c>
      <c r="AI983" t="s">
        <v>93</v>
      </c>
      <c r="AJ983" t="s">
        <v>93</v>
      </c>
      <c r="AK983" t="s">
        <v>93</v>
      </c>
      <c r="AS983">
        <v>0.23799999999999999</v>
      </c>
      <c r="BI983">
        <v>0.76200000000000001</v>
      </c>
      <c r="CR983">
        <f t="shared" si="140"/>
        <v>0</v>
      </c>
      <c r="CS983">
        <f t="shared" si="141"/>
        <v>0</v>
      </c>
      <c r="CT983">
        <f t="shared" si="142"/>
        <v>-26.204166273918368</v>
      </c>
      <c r="CU983" s="7">
        <f t="shared" si="143"/>
        <v>-26.204166273918368</v>
      </c>
      <c r="CV983" s="9">
        <f t="shared" si="144"/>
        <v>530.45000000000005</v>
      </c>
      <c r="CW983" t="str">
        <f t="shared" si="136"/>
        <v>Gd3Ni</v>
      </c>
    </row>
    <row r="984" spans="1:101" ht="15.75" thickBot="1" x14ac:dyDescent="0.3">
      <c r="A984" t="s">
        <v>91</v>
      </c>
      <c r="B984" t="s">
        <v>137</v>
      </c>
      <c r="C984" t="s">
        <v>3144</v>
      </c>
      <c r="E984" t="s">
        <v>3145</v>
      </c>
      <c r="F984" t="s">
        <v>93</v>
      </c>
      <c r="G984" t="s">
        <v>138</v>
      </c>
      <c r="H984">
        <v>290.30799999999999</v>
      </c>
      <c r="I984">
        <v>14</v>
      </c>
      <c r="J984">
        <v>0</v>
      </c>
      <c r="K984" t="s">
        <v>95</v>
      </c>
      <c r="L984">
        <v>-10.526276749999999</v>
      </c>
      <c r="M984">
        <f t="shared" si="137"/>
        <v>-36.258996479600974</v>
      </c>
      <c r="N984" t="s">
        <v>95</v>
      </c>
      <c r="O984" t="s">
        <v>139</v>
      </c>
      <c r="P984" t="s">
        <v>121</v>
      </c>
      <c r="Q984">
        <v>0</v>
      </c>
      <c r="R984" t="s">
        <v>95</v>
      </c>
      <c r="S984">
        <v>-10.648718430000001</v>
      </c>
      <c r="T984">
        <f t="shared" si="138"/>
        <v>-36.680761226008244</v>
      </c>
      <c r="U984" t="s">
        <v>95</v>
      </c>
      <c r="V984">
        <v>10691</v>
      </c>
      <c r="W984" t="s">
        <v>97</v>
      </c>
      <c r="X984">
        <v>298</v>
      </c>
      <c r="Y984" t="s">
        <v>98</v>
      </c>
      <c r="Z984">
        <v>-1.47</v>
      </c>
      <c r="AA984" t="s">
        <v>95</v>
      </c>
      <c r="AB984">
        <f t="shared" si="139"/>
        <v>-5.0635876379569291</v>
      </c>
      <c r="AC984" t="s">
        <v>93</v>
      </c>
      <c r="AD984">
        <v>2.89</v>
      </c>
      <c r="AE984" t="s">
        <v>95</v>
      </c>
      <c r="AF984" t="s">
        <v>93</v>
      </c>
      <c r="AP984">
        <v>0.66</v>
      </c>
      <c r="CR984">
        <f t="shared" si="140"/>
        <v>-36.258996479600974</v>
      </c>
      <c r="CS984">
        <f t="shared" si="141"/>
        <v>-36.680761226008244</v>
      </c>
      <c r="CT984">
        <f t="shared" si="142"/>
        <v>-5.0635876379569291</v>
      </c>
      <c r="CU984" s="7">
        <f t="shared" si="143"/>
        <v>-26.001115114522051</v>
      </c>
      <c r="CV984" s="9">
        <f t="shared" si="144"/>
        <v>290.30799999999999</v>
      </c>
      <c r="CW984" t="str">
        <f t="shared" si="136"/>
        <v>Zr2Ag</v>
      </c>
    </row>
    <row r="985" spans="1:101" ht="15.75" thickBot="1" x14ac:dyDescent="0.3">
      <c r="A985" t="s">
        <v>484</v>
      </c>
      <c r="B985" t="s">
        <v>2312</v>
      </c>
      <c r="C985" t="s">
        <v>3138</v>
      </c>
      <c r="D985" t="s">
        <v>3139</v>
      </c>
      <c r="F985" t="s">
        <v>3140</v>
      </c>
      <c r="G985" t="s">
        <v>2313</v>
      </c>
      <c r="H985">
        <v>433.10509999999999</v>
      </c>
      <c r="I985">
        <v>927</v>
      </c>
      <c r="M985">
        <f t="shared" si="137"/>
        <v>0</v>
      </c>
      <c r="O985" t="s">
        <v>93</v>
      </c>
      <c r="P985" t="s">
        <v>93</v>
      </c>
      <c r="T985">
        <f t="shared" si="138"/>
        <v>0</v>
      </c>
      <c r="V985" t="s">
        <v>93</v>
      </c>
      <c r="W985" t="s">
        <v>93</v>
      </c>
      <c r="X985">
        <v>298</v>
      </c>
      <c r="Y985" t="s">
        <v>170</v>
      </c>
      <c r="Z985">
        <v>-11.1</v>
      </c>
      <c r="AA985" t="s">
        <v>95</v>
      </c>
      <c r="AB985">
        <f t="shared" si="139"/>
        <v>-25.628883150994987</v>
      </c>
      <c r="AC985" t="s">
        <v>93</v>
      </c>
      <c r="AD985">
        <v>0.6</v>
      </c>
      <c r="AE985" t="s">
        <v>95</v>
      </c>
      <c r="AF985" t="s">
        <v>93</v>
      </c>
      <c r="AH985" t="s">
        <v>93</v>
      </c>
      <c r="AI985" t="s">
        <v>93</v>
      </c>
      <c r="AJ985" t="s">
        <v>93</v>
      </c>
      <c r="AK985" t="s">
        <v>93</v>
      </c>
      <c r="AL985">
        <v>0.17</v>
      </c>
      <c r="AS985">
        <v>0.33</v>
      </c>
      <c r="AW985">
        <v>0.5</v>
      </c>
      <c r="CR985">
        <f t="shared" si="140"/>
        <v>0</v>
      </c>
      <c r="CS985">
        <f t="shared" si="141"/>
        <v>0</v>
      </c>
      <c r="CT985">
        <f t="shared" si="142"/>
        <v>-25.628883150994987</v>
      </c>
      <c r="CU985" s="7">
        <f t="shared" si="143"/>
        <v>-25.628883150994987</v>
      </c>
      <c r="CV985" s="9">
        <f t="shared" si="144"/>
        <v>433.10509999999999</v>
      </c>
      <c r="CW985" t="str">
        <f t="shared" si="136"/>
        <v>Co3LaNi2</v>
      </c>
    </row>
    <row r="986" spans="1:101" ht="15.75" thickBot="1" x14ac:dyDescent="0.3">
      <c r="A986" t="s">
        <v>91</v>
      </c>
      <c r="B986" t="s">
        <v>516</v>
      </c>
      <c r="C986" t="s">
        <v>3144</v>
      </c>
      <c r="E986" t="s">
        <v>3145</v>
      </c>
      <c r="F986" t="s">
        <v>93</v>
      </c>
      <c r="G986" t="s">
        <v>517</v>
      </c>
      <c r="H986">
        <v>525.51599999999996</v>
      </c>
      <c r="I986">
        <v>208</v>
      </c>
      <c r="M986">
        <f t="shared" si="137"/>
        <v>0</v>
      </c>
      <c r="O986" t="s">
        <v>93</v>
      </c>
      <c r="P986" t="s">
        <v>93</v>
      </c>
      <c r="T986">
        <f t="shared" si="138"/>
        <v>0</v>
      </c>
      <c r="V986" t="s">
        <v>93</v>
      </c>
      <c r="W986" t="s">
        <v>463</v>
      </c>
      <c r="X986">
        <v>298</v>
      </c>
      <c r="Y986" t="s">
        <v>359</v>
      </c>
      <c r="Z986">
        <v>-13.3</v>
      </c>
      <c r="AA986" t="s">
        <v>95</v>
      </c>
      <c r="AB986">
        <f t="shared" si="139"/>
        <v>-25.308458733892028</v>
      </c>
      <c r="AC986" t="s">
        <v>93</v>
      </c>
      <c r="AD986">
        <v>3.1</v>
      </c>
      <c r="AE986" t="s">
        <v>95</v>
      </c>
      <c r="AF986" t="s">
        <v>93</v>
      </c>
      <c r="AH986" t="s">
        <v>93</v>
      </c>
      <c r="AI986" t="s">
        <v>93</v>
      </c>
      <c r="AJ986" t="s">
        <v>93</v>
      </c>
      <c r="AK986" t="s">
        <v>93</v>
      </c>
      <c r="AO986">
        <v>0.14000000000000001</v>
      </c>
      <c r="AX986">
        <v>0.86</v>
      </c>
      <c r="CR986">
        <f t="shared" si="140"/>
        <v>0</v>
      </c>
      <c r="CS986">
        <f t="shared" si="141"/>
        <v>0</v>
      </c>
      <c r="CT986">
        <f t="shared" si="142"/>
        <v>-25.308458733892028</v>
      </c>
      <c r="CU986" s="7">
        <f t="shared" si="143"/>
        <v>-25.308458733892028</v>
      </c>
      <c r="CV986" s="9">
        <f t="shared" si="144"/>
        <v>525.51599999999996</v>
      </c>
      <c r="CW986" t="str">
        <f t="shared" si="136"/>
        <v>Cu6Nd</v>
      </c>
    </row>
    <row r="987" spans="1:101" ht="15.75" thickBot="1" x14ac:dyDescent="0.3">
      <c r="A987" t="s">
        <v>91</v>
      </c>
      <c r="B987" t="s">
        <v>421</v>
      </c>
      <c r="C987" t="s">
        <v>3144</v>
      </c>
      <c r="E987" t="s">
        <v>3145</v>
      </c>
      <c r="F987" t="s">
        <v>93</v>
      </c>
      <c r="G987" t="s">
        <v>422</v>
      </c>
      <c r="H987">
        <v>400.73249999999899</v>
      </c>
      <c r="I987">
        <v>173</v>
      </c>
      <c r="M987">
        <f t="shared" si="137"/>
        <v>0</v>
      </c>
      <c r="O987" t="s">
        <v>93</v>
      </c>
      <c r="P987" t="s">
        <v>121</v>
      </c>
      <c r="T987">
        <f t="shared" si="138"/>
        <v>0</v>
      </c>
      <c r="V987" t="s">
        <v>93</v>
      </c>
      <c r="W987" t="s">
        <v>93</v>
      </c>
      <c r="X987">
        <v>298</v>
      </c>
      <c r="Y987" t="s">
        <v>93</v>
      </c>
      <c r="Z987">
        <v>-9.74</v>
      </c>
      <c r="AA987" t="s">
        <v>95</v>
      </c>
      <c r="AB987">
        <f t="shared" si="139"/>
        <v>-24.30549057039303</v>
      </c>
      <c r="AC987" t="s">
        <v>93</v>
      </c>
      <c r="AD987">
        <v>1.29</v>
      </c>
      <c r="AE987" t="s">
        <v>95</v>
      </c>
      <c r="AF987" t="s">
        <v>93</v>
      </c>
      <c r="AH987" t="s">
        <v>93</v>
      </c>
      <c r="AI987" t="s">
        <v>93</v>
      </c>
      <c r="AJ987" t="s">
        <v>93</v>
      </c>
      <c r="AK987" t="s">
        <v>93</v>
      </c>
      <c r="BC987">
        <v>0.2</v>
      </c>
      <c r="BD987">
        <v>0.8</v>
      </c>
      <c r="CR987">
        <f t="shared" si="140"/>
        <v>0</v>
      </c>
      <c r="CS987">
        <f t="shared" si="141"/>
        <v>0</v>
      </c>
      <c r="CT987">
        <f t="shared" si="142"/>
        <v>-24.30549057039303</v>
      </c>
      <c r="CU987" s="7">
        <f t="shared" si="143"/>
        <v>-24.30549057039303</v>
      </c>
      <c r="CV987" s="9">
        <f t="shared" si="144"/>
        <v>400.73249999999899</v>
      </c>
      <c r="CW987" t="str">
        <f t="shared" si="136"/>
        <v>AuV4</v>
      </c>
    </row>
    <row r="988" spans="1:101" ht="15.75" thickBot="1" x14ac:dyDescent="0.3">
      <c r="A988" t="s">
        <v>91</v>
      </c>
      <c r="B988" t="s">
        <v>2185</v>
      </c>
      <c r="C988" t="s">
        <v>3144</v>
      </c>
      <c r="E988" t="s">
        <v>3145</v>
      </c>
      <c r="F988" t="s">
        <v>93</v>
      </c>
      <c r="G988" t="s">
        <v>2186</v>
      </c>
      <c r="H988">
        <v>697.47</v>
      </c>
      <c r="I988">
        <v>869</v>
      </c>
      <c r="M988">
        <f t="shared" si="137"/>
        <v>0</v>
      </c>
      <c r="O988" t="s">
        <v>93</v>
      </c>
      <c r="P988" t="s">
        <v>93</v>
      </c>
      <c r="T988">
        <f t="shared" si="138"/>
        <v>0</v>
      </c>
      <c r="V988" t="s">
        <v>93</v>
      </c>
      <c r="W988" t="s">
        <v>339</v>
      </c>
      <c r="X988">
        <v>298</v>
      </c>
      <c r="Y988" t="s">
        <v>1403</v>
      </c>
      <c r="Z988">
        <v>-16.7</v>
      </c>
      <c r="AA988" t="s">
        <v>95</v>
      </c>
      <c r="AB988">
        <f t="shared" si="139"/>
        <v>-23.943682165541169</v>
      </c>
      <c r="AC988" t="s">
        <v>93</v>
      </c>
      <c r="AD988">
        <v>0.5</v>
      </c>
      <c r="AE988" t="s">
        <v>95</v>
      </c>
      <c r="AF988" t="s">
        <v>93</v>
      </c>
      <c r="AH988" t="s">
        <v>93</v>
      </c>
      <c r="AI988" t="s">
        <v>93</v>
      </c>
      <c r="AJ988" t="s">
        <v>93</v>
      </c>
      <c r="AK988" t="s">
        <v>93</v>
      </c>
      <c r="BS988">
        <v>0.625</v>
      </c>
      <c r="CA988">
        <v>0.375</v>
      </c>
      <c r="CR988">
        <f t="shared" si="140"/>
        <v>0</v>
      </c>
      <c r="CS988">
        <f t="shared" si="141"/>
        <v>0</v>
      </c>
      <c r="CT988">
        <f t="shared" si="142"/>
        <v>-23.943682165541169</v>
      </c>
      <c r="CU988" s="7">
        <f t="shared" si="143"/>
        <v>-23.943682165541169</v>
      </c>
      <c r="CV988" s="9">
        <f t="shared" si="144"/>
        <v>697.47</v>
      </c>
      <c r="CW988" t="str">
        <f t="shared" si="136"/>
        <v>Ge3Mo5</v>
      </c>
    </row>
    <row r="989" spans="1:101" ht="15.75" thickBot="1" x14ac:dyDescent="0.3">
      <c r="A989" t="s">
        <v>91</v>
      </c>
      <c r="B989" t="s">
        <v>1757</v>
      </c>
      <c r="C989" t="s">
        <v>3144</v>
      </c>
      <c r="E989" t="s">
        <v>3145</v>
      </c>
      <c r="F989" t="s">
        <v>93</v>
      </c>
      <c r="G989" t="s">
        <v>1758</v>
      </c>
      <c r="H989">
        <v>357.7475</v>
      </c>
      <c r="I989">
        <v>671</v>
      </c>
      <c r="M989">
        <f t="shared" si="137"/>
        <v>0</v>
      </c>
      <c r="O989" t="s">
        <v>93</v>
      </c>
      <c r="P989" t="s">
        <v>93</v>
      </c>
      <c r="T989">
        <f t="shared" si="138"/>
        <v>0</v>
      </c>
      <c r="V989" t="s">
        <v>93</v>
      </c>
      <c r="W989" t="s">
        <v>178</v>
      </c>
      <c r="X989">
        <v>298</v>
      </c>
      <c r="Y989" t="s">
        <v>179</v>
      </c>
      <c r="Z989">
        <v>-8.5</v>
      </c>
      <c r="AA989" t="s">
        <v>95</v>
      </c>
      <c r="AB989">
        <f t="shared" si="139"/>
        <v>-23.75977470143048</v>
      </c>
      <c r="AC989" t="s">
        <v>93</v>
      </c>
      <c r="AD989">
        <v>2.2000000000000002</v>
      </c>
      <c r="AE989" t="s">
        <v>95</v>
      </c>
      <c r="AF989" t="s">
        <v>93</v>
      </c>
      <c r="AH989" t="s">
        <v>93</v>
      </c>
      <c r="AI989" t="s">
        <v>93</v>
      </c>
      <c r="AJ989" t="s">
        <v>93</v>
      </c>
      <c r="AK989" t="s">
        <v>93</v>
      </c>
      <c r="AW989">
        <v>0.75</v>
      </c>
      <c r="BE989">
        <v>0.25</v>
      </c>
      <c r="CR989">
        <f t="shared" si="140"/>
        <v>0</v>
      </c>
      <c r="CS989">
        <f t="shared" si="141"/>
        <v>0</v>
      </c>
      <c r="CT989">
        <f t="shared" si="142"/>
        <v>-23.75977470143048</v>
      </c>
      <c r="CU989" s="7">
        <f t="shared" si="143"/>
        <v>-23.75977470143048</v>
      </c>
      <c r="CV989" s="9">
        <f t="shared" si="144"/>
        <v>357.7475</v>
      </c>
      <c r="CW989" t="str">
        <f t="shared" si="136"/>
        <v>Co3Ta</v>
      </c>
    </row>
    <row r="990" spans="1:101" ht="15.75" thickBot="1" x14ac:dyDescent="0.3">
      <c r="A990" t="s">
        <v>91</v>
      </c>
      <c r="B990" t="s">
        <v>419</v>
      </c>
      <c r="C990" t="s">
        <v>3144</v>
      </c>
      <c r="E990" t="s">
        <v>3145</v>
      </c>
      <c r="F990" t="s">
        <v>93</v>
      </c>
      <c r="G990" t="s">
        <v>420</v>
      </c>
      <c r="H990">
        <v>444.87450000000001</v>
      </c>
      <c r="I990">
        <v>172</v>
      </c>
      <c r="M990">
        <f t="shared" si="137"/>
        <v>0</v>
      </c>
      <c r="O990" t="s">
        <v>93</v>
      </c>
      <c r="P990" t="s">
        <v>121</v>
      </c>
      <c r="T990">
        <f t="shared" si="138"/>
        <v>0</v>
      </c>
      <c r="V990" t="s">
        <v>93</v>
      </c>
      <c r="W990" t="s">
        <v>93</v>
      </c>
      <c r="X990">
        <v>298</v>
      </c>
      <c r="Y990" t="s">
        <v>93</v>
      </c>
      <c r="Z990">
        <v>-10.37</v>
      </c>
      <c r="AA990" t="s">
        <v>95</v>
      </c>
      <c r="AB990">
        <f t="shared" si="139"/>
        <v>-23.309944714745392</v>
      </c>
      <c r="AC990" t="s">
        <v>93</v>
      </c>
      <c r="AD990">
        <v>3.45</v>
      </c>
      <c r="AE990" t="s">
        <v>95</v>
      </c>
      <c r="AF990" t="s">
        <v>93</v>
      </c>
      <c r="AH990" t="s">
        <v>93</v>
      </c>
      <c r="AI990" t="s">
        <v>93</v>
      </c>
      <c r="AJ990" t="s">
        <v>93</v>
      </c>
      <c r="AK990" t="s">
        <v>93</v>
      </c>
      <c r="BC990">
        <v>0.66</v>
      </c>
      <c r="BD990">
        <v>0.33</v>
      </c>
      <c r="CR990">
        <f t="shared" si="140"/>
        <v>0</v>
      </c>
      <c r="CS990">
        <f t="shared" si="141"/>
        <v>0</v>
      </c>
      <c r="CT990">
        <f t="shared" si="142"/>
        <v>-23.309944714745392</v>
      </c>
      <c r="CU990" s="7">
        <f t="shared" si="143"/>
        <v>-23.309944714745392</v>
      </c>
      <c r="CV990" s="9">
        <f t="shared" si="144"/>
        <v>444.87450000000001</v>
      </c>
      <c r="CW990" t="str">
        <f t="shared" si="136"/>
        <v>Au2V</v>
      </c>
    </row>
    <row r="991" spans="1:101" ht="15.75" thickBot="1" x14ac:dyDescent="0.3">
      <c r="A991" t="s">
        <v>91</v>
      </c>
      <c r="B991" t="s">
        <v>531</v>
      </c>
      <c r="C991" t="s">
        <v>3144</v>
      </c>
      <c r="E991" t="s">
        <v>3145</v>
      </c>
      <c r="F991" t="s">
        <v>93</v>
      </c>
      <c r="G991" t="s">
        <v>532</v>
      </c>
      <c r="H991">
        <v>547.61800000000005</v>
      </c>
      <c r="I991">
        <v>216</v>
      </c>
      <c r="M991">
        <f t="shared" si="137"/>
        <v>0</v>
      </c>
      <c r="O991" t="s">
        <v>93</v>
      </c>
      <c r="P991" t="s">
        <v>93</v>
      </c>
      <c r="T991">
        <f t="shared" si="138"/>
        <v>0</v>
      </c>
      <c r="V991" t="s">
        <v>93</v>
      </c>
      <c r="W991" t="s">
        <v>93</v>
      </c>
      <c r="X991">
        <v>298</v>
      </c>
      <c r="Y991" t="s">
        <v>93</v>
      </c>
      <c r="Z991">
        <v>-12.64</v>
      </c>
      <c r="AA991" t="s">
        <v>95</v>
      </c>
      <c r="AB991">
        <f t="shared" si="139"/>
        <v>-23.081783286889763</v>
      </c>
      <c r="AC991" t="s">
        <v>93</v>
      </c>
      <c r="AD991">
        <v>0.49</v>
      </c>
      <c r="AE991" t="s">
        <v>95</v>
      </c>
      <c r="AF991" t="s">
        <v>93</v>
      </c>
      <c r="AH991" t="s">
        <v>93</v>
      </c>
      <c r="AI991" t="s">
        <v>93</v>
      </c>
      <c r="AJ991" t="s">
        <v>93</v>
      </c>
      <c r="AK991" t="s">
        <v>93</v>
      </c>
      <c r="AQ991">
        <v>0.4</v>
      </c>
      <c r="AX991">
        <v>0.6</v>
      </c>
      <c r="CR991">
        <f t="shared" si="140"/>
        <v>0</v>
      </c>
      <c r="CS991">
        <f t="shared" si="141"/>
        <v>0</v>
      </c>
      <c r="CT991">
        <f t="shared" si="142"/>
        <v>-23.081783286889763</v>
      </c>
      <c r="CU991" s="7">
        <f t="shared" si="143"/>
        <v>-23.081783286889763</v>
      </c>
      <c r="CV991" s="9">
        <f t="shared" si="144"/>
        <v>547.61800000000005</v>
      </c>
      <c r="CW991" t="str">
        <f t="shared" si="136"/>
        <v>Cu3Hf2</v>
      </c>
    </row>
    <row r="992" spans="1:101" ht="15.75" thickBot="1" x14ac:dyDescent="0.3">
      <c r="A992" t="s">
        <v>91</v>
      </c>
      <c r="B992" t="s">
        <v>2507</v>
      </c>
      <c r="C992" t="s">
        <v>3144</v>
      </c>
      <c r="E992" t="s">
        <v>3145</v>
      </c>
      <c r="F992" t="s">
        <v>93</v>
      </c>
      <c r="G992" t="s">
        <v>2508</v>
      </c>
      <c r="H992">
        <v>362.63099999999997</v>
      </c>
      <c r="I992">
        <v>1020</v>
      </c>
      <c r="J992">
        <v>3.7356723000000001</v>
      </c>
      <c r="K992" t="s">
        <v>95</v>
      </c>
      <c r="L992">
        <v>-7.8195052499999997</v>
      </c>
      <c r="M992">
        <f t="shared" si="137"/>
        <v>-21.563256450772275</v>
      </c>
      <c r="N992" t="s">
        <v>95</v>
      </c>
      <c r="O992" t="s">
        <v>2509</v>
      </c>
      <c r="P992" t="s">
        <v>93</v>
      </c>
      <c r="Q992">
        <v>3.8273974100000001</v>
      </c>
      <c r="R992" t="s">
        <v>95</v>
      </c>
      <c r="S992">
        <v>-7.77853277</v>
      </c>
      <c r="T992">
        <f t="shared" si="138"/>
        <v>-21.45026975079351</v>
      </c>
      <c r="U992" t="s">
        <v>95</v>
      </c>
      <c r="V992">
        <v>30238</v>
      </c>
      <c r="W992" t="s">
        <v>194</v>
      </c>
      <c r="X992">
        <v>300</v>
      </c>
      <c r="Y992" t="s">
        <v>103</v>
      </c>
      <c r="Z992">
        <v>-9.3000000000000007</v>
      </c>
      <c r="AA992" t="s">
        <v>95</v>
      </c>
      <c r="AB992">
        <f t="shared" si="139"/>
        <v>-25.645904514506487</v>
      </c>
      <c r="AC992" t="s">
        <v>93</v>
      </c>
      <c r="AD992">
        <v>1.3</v>
      </c>
      <c r="AE992" t="s">
        <v>95</v>
      </c>
      <c r="AF992" t="s">
        <v>93</v>
      </c>
      <c r="AT992">
        <v>0.75</v>
      </c>
      <c r="AY992">
        <v>0.25</v>
      </c>
      <c r="CR992">
        <f t="shared" si="140"/>
        <v>-21.563256450772275</v>
      </c>
      <c r="CS992">
        <f t="shared" si="141"/>
        <v>-21.45026975079351</v>
      </c>
      <c r="CT992">
        <f t="shared" si="142"/>
        <v>-25.645904514506487</v>
      </c>
      <c r="CU992" s="7">
        <f t="shared" si="143"/>
        <v>-22.886476905357423</v>
      </c>
      <c r="CV992" s="9">
        <f t="shared" si="144"/>
        <v>362.63099999999997</v>
      </c>
      <c r="CW992" t="str">
        <f t="shared" si="136"/>
        <v>Fe3Pt</v>
      </c>
    </row>
    <row r="993" spans="1:101" ht="15.75" thickBot="1" x14ac:dyDescent="0.3">
      <c r="A993" t="s">
        <v>91</v>
      </c>
      <c r="B993" t="s">
        <v>504</v>
      </c>
      <c r="C993" t="s">
        <v>3144</v>
      </c>
      <c r="E993" t="s">
        <v>3145</v>
      </c>
      <c r="F993" t="s">
        <v>93</v>
      </c>
      <c r="G993" t="s">
        <v>505</v>
      </c>
      <c r="H993">
        <v>520.18150000000003</v>
      </c>
      <c r="I993">
        <v>204</v>
      </c>
      <c r="J993">
        <v>0.59113137000000004</v>
      </c>
      <c r="K993" t="s">
        <v>95</v>
      </c>
      <c r="L993">
        <v>-12.421509220000001</v>
      </c>
      <c r="M993">
        <f t="shared" si="137"/>
        <v>-23.879182977479974</v>
      </c>
      <c r="N993" t="s">
        <v>95</v>
      </c>
      <c r="O993" t="s">
        <v>506</v>
      </c>
      <c r="P993" t="s">
        <v>93</v>
      </c>
      <c r="Q993">
        <v>6.3317709999999999E-2</v>
      </c>
      <c r="R993" t="s">
        <v>95</v>
      </c>
      <c r="S993">
        <v>-12.780070500000001</v>
      </c>
      <c r="T993">
        <f t="shared" si="138"/>
        <v>-24.568483308229915</v>
      </c>
      <c r="U993" t="s">
        <v>95</v>
      </c>
      <c r="V993">
        <v>29713</v>
      </c>
      <c r="W993" t="s">
        <v>463</v>
      </c>
      <c r="X993">
        <v>298</v>
      </c>
      <c r="Y993" t="s">
        <v>359</v>
      </c>
      <c r="Z993">
        <v>-9.91</v>
      </c>
      <c r="AA993" t="s">
        <v>95</v>
      </c>
      <c r="AB993">
        <f t="shared" si="139"/>
        <v>-19.051042761036292</v>
      </c>
      <c r="AC993" t="s">
        <v>93</v>
      </c>
      <c r="AD993">
        <v>1.75</v>
      </c>
      <c r="AE993" t="s">
        <v>95</v>
      </c>
      <c r="AF993" t="s">
        <v>93</v>
      </c>
      <c r="AL993">
        <v>0.14000000000000001</v>
      </c>
      <c r="AX993">
        <v>0.86</v>
      </c>
      <c r="CR993">
        <f t="shared" si="140"/>
        <v>-23.879182977479974</v>
      </c>
      <c r="CS993">
        <f t="shared" si="141"/>
        <v>-24.568483308229915</v>
      </c>
      <c r="CT993">
        <f t="shared" si="142"/>
        <v>-19.051042761036292</v>
      </c>
      <c r="CU993" s="7">
        <f t="shared" si="143"/>
        <v>-22.499569682248723</v>
      </c>
      <c r="CV993" s="9">
        <f t="shared" si="144"/>
        <v>520.18150000000003</v>
      </c>
      <c r="CW993" t="str">
        <f t="shared" si="136"/>
        <v>LaCu6</v>
      </c>
    </row>
    <row r="994" spans="1:101" ht="15.75" thickBot="1" x14ac:dyDescent="0.3">
      <c r="A994" t="s">
        <v>91</v>
      </c>
      <c r="B994" t="s">
        <v>2629</v>
      </c>
      <c r="C994" t="s">
        <v>3144</v>
      </c>
      <c r="E994" t="s">
        <v>3145</v>
      </c>
      <c r="F994" t="s">
        <v>93</v>
      </c>
      <c r="G994" t="s">
        <v>2630</v>
      </c>
      <c r="H994">
        <v>434.786</v>
      </c>
      <c r="I994">
        <v>1073</v>
      </c>
      <c r="J994">
        <v>1.79202408</v>
      </c>
      <c r="K994" t="s">
        <v>95</v>
      </c>
      <c r="L994">
        <v>-10.137533810000001</v>
      </c>
      <c r="M994">
        <f t="shared" si="137"/>
        <v>-23.316145897062004</v>
      </c>
      <c r="N994" t="s">
        <v>95</v>
      </c>
      <c r="O994" t="s">
        <v>2631</v>
      </c>
      <c r="P994" t="s">
        <v>93</v>
      </c>
      <c r="T994">
        <f t="shared" si="138"/>
        <v>0</v>
      </c>
      <c r="V994" t="s">
        <v>93</v>
      </c>
      <c r="W994" t="s">
        <v>172</v>
      </c>
      <c r="X994">
        <v>298</v>
      </c>
      <c r="Y994" t="s">
        <v>170</v>
      </c>
      <c r="Z994">
        <v>-9.4</v>
      </c>
      <c r="AA994" t="s">
        <v>95</v>
      </c>
      <c r="AB994">
        <f t="shared" si="139"/>
        <v>-21.619831365315349</v>
      </c>
      <c r="AC994" t="s">
        <v>93</v>
      </c>
      <c r="AD994">
        <v>3.3</v>
      </c>
      <c r="AE994" t="s">
        <v>95</v>
      </c>
      <c r="AF994" t="s">
        <v>93</v>
      </c>
      <c r="AJ994" t="s">
        <v>93</v>
      </c>
      <c r="AK994" t="s">
        <v>93</v>
      </c>
      <c r="AM994">
        <v>0.17</v>
      </c>
      <c r="AW994">
        <v>0.83</v>
      </c>
      <c r="CR994">
        <f t="shared" si="140"/>
        <v>-23.316145897062004</v>
      </c>
      <c r="CS994">
        <f t="shared" si="141"/>
        <v>0</v>
      </c>
      <c r="CT994">
        <f t="shared" si="142"/>
        <v>-21.619831365315349</v>
      </c>
      <c r="CU994" s="7">
        <f t="shared" si="143"/>
        <v>-22.467988631188675</v>
      </c>
      <c r="CV994" s="9">
        <f t="shared" si="144"/>
        <v>434.786</v>
      </c>
      <c r="CW994" t="str">
        <f t="shared" si="136"/>
        <v>CeCo5</v>
      </c>
    </row>
    <row r="995" spans="1:101" ht="15.75" thickBot="1" x14ac:dyDescent="0.3">
      <c r="A995" t="s">
        <v>91</v>
      </c>
      <c r="B995" t="s">
        <v>511</v>
      </c>
      <c r="C995" t="s">
        <v>3144</v>
      </c>
      <c r="E995" t="s">
        <v>3145</v>
      </c>
      <c r="F995" t="s">
        <v>93</v>
      </c>
      <c r="G995" t="s">
        <v>512</v>
      </c>
      <c r="H995">
        <v>522.18370000000004</v>
      </c>
      <c r="I995">
        <v>206</v>
      </c>
      <c r="J995">
        <v>0.62002911000000005</v>
      </c>
      <c r="K995" t="s">
        <v>95</v>
      </c>
      <c r="L995">
        <v>-11.724298340000001</v>
      </c>
      <c r="M995">
        <f t="shared" si="137"/>
        <v>-22.452440281073496</v>
      </c>
      <c r="N995" t="s">
        <v>95</v>
      </c>
      <c r="O995" t="s">
        <v>513</v>
      </c>
      <c r="P995" t="s">
        <v>93</v>
      </c>
      <c r="Q995">
        <v>0.48252376000000002</v>
      </c>
      <c r="R995" t="s">
        <v>95</v>
      </c>
      <c r="S995">
        <v>-12.12276999</v>
      </c>
      <c r="T995">
        <f t="shared" si="138"/>
        <v>-23.215527390073643</v>
      </c>
      <c r="U995" t="s">
        <v>95</v>
      </c>
      <c r="V995">
        <v>29754</v>
      </c>
      <c r="W995" t="s">
        <v>463</v>
      </c>
      <c r="X995">
        <v>298</v>
      </c>
      <c r="Y995" t="s">
        <v>359</v>
      </c>
      <c r="Z995">
        <v>-11.3</v>
      </c>
      <c r="AA995" t="s">
        <v>95</v>
      </c>
      <c r="AB995">
        <f t="shared" si="139"/>
        <v>-21.639894159852172</v>
      </c>
      <c r="AC995" t="s">
        <v>93</v>
      </c>
      <c r="AD995">
        <v>2.7</v>
      </c>
      <c r="AE995" t="s">
        <v>95</v>
      </c>
      <c r="AF995" t="s">
        <v>93</v>
      </c>
      <c r="AN995">
        <v>0.14000000000000001</v>
      </c>
      <c r="AX995">
        <v>0.86</v>
      </c>
      <c r="CR995">
        <f t="shared" si="140"/>
        <v>-22.452440281073496</v>
      </c>
      <c r="CS995">
        <f t="shared" si="141"/>
        <v>-23.215527390073643</v>
      </c>
      <c r="CT995">
        <f t="shared" si="142"/>
        <v>-21.639894159852172</v>
      </c>
      <c r="CU995" s="7">
        <f t="shared" si="143"/>
        <v>-22.435953943666437</v>
      </c>
      <c r="CV995" s="9">
        <f t="shared" si="144"/>
        <v>522.18370000000004</v>
      </c>
      <c r="CW995" t="str">
        <f t="shared" si="136"/>
        <v>PrCu6</v>
      </c>
    </row>
    <row r="996" spans="1:101" ht="15.75" thickBot="1" x14ac:dyDescent="0.3">
      <c r="A996" t="s">
        <v>91</v>
      </c>
      <c r="B996" t="s">
        <v>425</v>
      </c>
      <c r="C996" t="s">
        <v>3144</v>
      </c>
      <c r="E996" t="s">
        <v>3145</v>
      </c>
      <c r="F996" t="s">
        <v>93</v>
      </c>
      <c r="G996" t="s">
        <v>426</v>
      </c>
      <c r="H996">
        <v>936.77670000000001</v>
      </c>
      <c r="I996">
        <v>175</v>
      </c>
      <c r="M996">
        <f t="shared" si="137"/>
        <v>0</v>
      </c>
      <c r="O996" t="s">
        <v>93</v>
      </c>
      <c r="P996" t="s">
        <v>121</v>
      </c>
      <c r="T996">
        <f t="shared" si="138"/>
        <v>0</v>
      </c>
      <c r="V996" t="s">
        <v>93</v>
      </c>
      <c r="W996" t="s">
        <v>93</v>
      </c>
      <c r="X996">
        <v>298</v>
      </c>
      <c r="Y996" t="s">
        <v>93</v>
      </c>
      <c r="Z996">
        <v>-20.56</v>
      </c>
      <c r="AA996" t="s">
        <v>95</v>
      </c>
      <c r="AB996">
        <f t="shared" si="139"/>
        <v>-21.947599678770832</v>
      </c>
      <c r="AC996" t="s">
        <v>93</v>
      </c>
      <c r="AD996">
        <v>2.21</v>
      </c>
      <c r="AE996" t="s">
        <v>95</v>
      </c>
      <c r="AF996" t="s">
        <v>93</v>
      </c>
      <c r="AH996" t="s">
        <v>93</v>
      </c>
      <c r="AI996" t="s">
        <v>93</v>
      </c>
      <c r="AJ996" t="s">
        <v>93</v>
      </c>
      <c r="AK996" t="s">
        <v>93</v>
      </c>
      <c r="BC996">
        <v>0.4</v>
      </c>
      <c r="BE996">
        <v>0.6</v>
      </c>
      <c r="CR996">
        <f t="shared" si="140"/>
        <v>0</v>
      </c>
      <c r="CS996">
        <f t="shared" si="141"/>
        <v>0</v>
      </c>
      <c r="CT996">
        <f t="shared" si="142"/>
        <v>-21.947599678770832</v>
      </c>
      <c r="CU996" s="7">
        <f t="shared" si="143"/>
        <v>-21.947599678770832</v>
      </c>
      <c r="CV996" s="9">
        <f t="shared" si="144"/>
        <v>936.77670000000001</v>
      </c>
      <c r="CW996" t="str">
        <f t="shared" si="136"/>
        <v>Au2Ta3</v>
      </c>
    </row>
    <row r="997" spans="1:101" ht="15.75" thickBot="1" x14ac:dyDescent="0.3">
      <c r="A997" t="s">
        <v>91</v>
      </c>
      <c r="B997" t="s">
        <v>1298</v>
      </c>
      <c r="C997" t="s">
        <v>3144</v>
      </c>
      <c r="E997" t="s">
        <v>3145</v>
      </c>
      <c r="F997" t="s">
        <v>93</v>
      </c>
      <c r="G997" t="s">
        <v>1299</v>
      </c>
      <c r="H997">
        <v>420.59899999999999</v>
      </c>
      <c r="I997">
        <v>508</v>
      </c>
      <c r="M997">
        <f t="shared" si="137"/>
        <v>0</v>
      </c>
      <c r="O997" t="s">
        <v>93</v>
      </c>
      <c r="P997" t="s">
        <v>93</v>
      </c>
      <c r="T997">
        <f t="shared" si="138"/>
        <v>0</v>
      </c>
      <c r="V997" t="s">
        <v>93</v>
      </c>
      <c r="W997" t="s">
        <v>1296</v>
      </c>
      <c r="X997">
        <v>298</v>
      </c>
      <c r="Y997" t="s">
        <v>1297</v>
      </c>
      <c r="Z997">
        <v>-9.1</v>
      </c>
      <c r="AA997" t="s">
        <v>95</v>
      </c>
      <c r="AB997">
        <f t="shared" si="139"/>
        <v>-21.635809880670188</v>
      </c>
      <c r="AC997" t="s">
        <v>93</v>
      </c>
      <c r="AD997">
        <v>1.3</v>
      </c>
      <c r="AE997" t="s">
        <v>95</v>
      </c>
      <c r="AF997" t="s">
        <v>93</v>
      </c>
      <c r="AH997" t="s">
        <v>93</v>
      </c>
      <c r="AI997" t="s">
        <v>93</v>
      </c>
      <c r="AJ997" t="s">
        <v>93</v>
      </c>
      <c r="AK997" t="s">
        <v>93</v>
      </c>
      <c r="BR997">
        <v>0.7</v>
      </c>
      <c r="BU997">
        <v>0.3</v>
      </c>
      <c r="CR997">
        <f t="shared" si="140"/>
        <v>0</v>
      </c>
      <c r="CS997">
        <f t="shared" si="141"/>
        <v>0</v>
      </c>
      <c r="CT997">
        <f t="shared" si="142"/>
        <v>-21.635809880670188</v>
      </c>
      <c r="CU997" s="7">
        <f t="shared" si="143"/>
        <v>-21.635809880670188</v>
      </c>
      <c r="CV997" s="9">
        <f t="shared" si="144"/>
        <v>420.59899999999999</v>
      </c>
      <c r="CW997" t="str">
        <f t="shared" si="136"/>
        <v>C3Mn7</v>
      </c>
    </row>
    <row r="998" spans="1:101" ht="15.75" thickBot="1" x14ac:dyDescent="0.3">
      <c r="A998" t="s">
        <v>91</v>
      </c>
      <c r="B998" t="s">
        <v>1938</v>
      </c>
      <c r="C998" t="s">
        <v>3144</v>
      </c>
      <c r="E998" t="s">
        <v>3145</v>
      </c>
      <c r="F998" t="s">
        <v>93</v>
      </c>
      <c r="G998" t="s">
        <v>1939</v>
      </c>
      <c r="H998">
        <v>497.005</v>
      </c>
      <c r="I998">
        <v>745</v>
      </c>
      <c r="M998">
        <f t="shared" si="137"/>
        <v>0</v>
      </c>
      <c r="O998" t="s">
        <v>93</v>
      </c>
      <c r="P998" t="s">
        <v>93</v>
      </c>
      <c r="T998">
        <f t="shared" si="138"/>
        <v>0</v>
      </c>
      <c r="V998" t="s">
        <v>93</v>
      </c>
      <c r="W998" t="s">
        <v>172</v>
      </c>
      <c r="X998">
        <v>298</v>
      </c>
      <c r="Y998" t="s">
        <v>179</v>
      </c>
      <c r="Z998">
        <v>-10.4</v>
      </c>
      <c r="AA998" t="s">
        <v>95</v>
      </c>
      <c r="AB998">
        <f t="shared" si="139"/>
        <v>-20.925342803392322</v>
      </c>
      <c r="AC998" t="s">
        <v>93</v>
      </c>
      <c r="AD998">
        <v>0.79</v>
      </c>
      <c r="AE998" t="s">
        <v>95</v>
      </c>
      <c r="AF998" t="s">
        <v>93</v>
      </c>
      <c r="AH998" t="s">
        <v>93</v>
      </c>
      <c r="AI998" t="s">
        <v>93</v>
      </c>
      <c r="AJ998" t="s">
        <v>93</v>
      </c>
      <c r="AK998" t="s">
        <v>93</v>
      </c>
      <c r="AT998">
        <v>0.625</v>
      </c>
      <c r="CA998">
        <v>0.375</v>
      </c>
      <c r="CR998">
        <f t="shared" si="140"/>
        <v>0</v>
      </c>
      <c r="CS998">
        <f t="shared" si="141"/>
        <v>0</v>
      </c>
      <c r="CT998">
        <f t="shared" si="142"/>
        <v>-20.925342803392322</v>
      </c>
      <c r="CU998" s="7">
        <f t="shared" si="143"/>
        <v>-20.925342803392322</v>
      </c>
      <c r="CV998" s="9">
        <f t="shared" si="144"/>
        <v>497.005</v>
      </c>
      <c r="CW998" t="str">
        <f t="shared" si="136"/>
        <v>Fe5Ge3</v>
      </c>
    </row>
    <row r="999" spans="1:101" ht="15.75" thickBot="1" x14ac:dyDescent="0.3">
      <c r="A999" t="s">
        <v>91</v>
      </c>
      <c r="B999" t="s">
        <v>460</v>
      </c>
      <c r="C999" t="s">
        <v>3144</v>
      </c>
      <c r="E999" t="s">
        <v>3145</v>
      </c>
      <c r="F999" t="s">
        <v>93</v>
      </c>
      <c r="G999" t="s">
        <v>461</v>
      </c>
      <c r="H999">
        <v>521.39599999999996</v>
      </c>
      <c r="I999">
        <v>188</v>
      </c>
      <c r="J999">
        <v>0</v>
      </c>
      <c r="K999" t="s">
        <v>95</v>
      </c>
      <c r="L999">
        <v>-11.533882289999999</v>
      </c>
      <c r="M999">
        <f t="shared" si="137"/>
        <v>-22.121156069475024</v>
      </c>
      <c r="N999" t="s">
        <v>95</v>
      </c>
      <c r="O999" t="s">
        <v>462</v>
      </c>
      <c r="P999" t="s">
        <v>93</v>
      </c>
      <c r="Q999">
        <v>0.67342184999999999</v>
      </c>
      <c r="R999" t="s">
        <v>95</v>
      </c>
      <c r="S999">
        <v>-10.91770092</v>
      </c>
      <c r="T999">
        <f t="shared" si="138"/>
        <v>-20.939364552087088</v>
      </c>
      <c r="U999" t="s">
        <v>95</v>
      </c>
      <c r="V999">
        <v>19222</v>
      </c>
      <c r="W999" t="s">
        <v>463</v>
      </c>
      <c r="X999">
        <v>298</v>
      </c>
      <c r="Y999" t="s">
        <v>359</v>
      </c>
      <c r="Z999">
        <v>-10.1</v>
      </c>
      <c r="AA999" t="s">
        <v>95</v>
      </c>
      <c r="AB999">
        <f t="shared" si="139"/>
        <v>-19.371073042370867</v>
      </c>
      <c r="AC999" t="s">
        <v>93</v>
      </c>
      <c r="AD999">
        <v>3.2</v>
      </c>
      <c r="AE999" t="s">
        <v>95</v>
      </c>
      <c r="AF999" t="s">
        <v>93</v>
      </c>
      <c r="AM999">
        <v>0.14000000000000001</v>
      </c>
      <c r="AX999">
        <v>0.86</v>
      </c>
      <c r="CR999">
        <f t="shared" si="140"/>
        <v>-22.121156069475024</v>
      </c>
      <c r="CS999">
        <f t="shared" si="141"/>
        <v>-20.939364552087088</v>
      </c>
      <c r="CT999">
        <f t="shared" si="142"/>
        <v>-19.371073042370867</v>
      </c>
      <c r="CU999" s="7">
        <f t="shared" si="143"/>
        <v>-20.810531221310992</v>
      </c>
      <c r="CV999" s="9">
        <f t="shared" si="144"/>
        <v>521.39599999999996</v>
      </c>
      <c r="CW999" t="str">
        <f t="shared" si="136"/>
        <v>CeCu6</v>
      </c>
    </row>
    <row r="1000" spans="1:101" ht="15.75" thickBot="1" x14ac:dyDescent="0.3">
      <c r="A1000" t="s">
        <v>91</v>
      </c>
      <c r="B1000" t="s">
        <v>2611</v>
      </c>
      <c r="C1000" t="s">
        <v>3144</v>
      </c>
      <c r="E1000" t="s">
        <v>3145</v>
      </c>
      <c r="F1000" t="s">
        <v>93</v>
      </c>
      <c r="G1000" t="s">
        <v>2612</v>
      </c>
      <c r="H1000">
        <v>274.19400000000002</v>
      </c>
      <c r="I1000">
        <v>1064</v>
      </c>
      <c r="J1000">
        <v>0</v>
      </c>
      <c r="K1000" t="s">
        <v>95</v>
      </c>
      <c r="L1000">
        <v>-7.9398363200000004</v>
      </c>
      <c r="M1000">
        <f t="shared" si="137"/>
        <v>-28.957002414348967</v>
      </c>
      <c r="N1000" t="s">
        <v>95</v>
      </c>
      <c r="O1000" t="s">
        <v>2613</v>
      </c>
      <c r="P1000" t="s">
        <v>93</v>
      </c>
      <c r="Q1000">
        <v>0</v>
      </c>
      <c r="R1000" t="s">
        <v>95</v>
      </c>
      <c r="S1000">
        <v>-7.5620215899999996</v>
      </c>
      <c r="T1000">
        <f t="shared" si="138"/>
        <v>-27.579092139142357</v>
      </c>
      <c r="U1000" t="s">
        <v>95</v>
      </c>
      <c r="V1000">
        <v>29839</v>
      </c>
      <c r="W1000" t="s">
        <v>159</v>
      </c>
      <c r="X1000">
        <v>298</v>
      </c>
      <c r="Y1000" t="s">
        <v>160</v>
      </c>
      <c r="Z1000">
        <v>-1.6</v>
      </c>
      <c r="AA1000" t="s">
        <v>95</v>
      </c>
      <c r="AB1000">
        <f t="shared" si="139"/>
        <v>-5.8352845065902246</v>
      </c>
      <c r="AC1000" t="s">
        <v>93</v>
      </c>
      <c r="AD1000">
        <v>2.9</v>
      </c>
      <c r="AE1000" t="s">
        <v>95</v>
      </c>
      <c r="AF1000" t="s">
        <v>93</v>
      </c>
      <c r="AT1000">
        <v>0.66669999999999996</v>
      </c>
      <c r="BG1000">
        <v>0.33329999999999999</v>
      </c>
      <c r="CR1000">
        <f t="shared" si="140"/>
        <v>-28.957002414348967</v>
      </c>
      <c r="CS1000">
        <f t="shared" si="141"/>
        <v>-27.579092139142357</v>
      </c>
      <c r="CT1000">
        <f t="shared" si="142"/>
        <v>-5.8352845065902246</v>
      </c>
      <c r="CU1000" s="7">
        <f t="shared" si="143"/>
        <v>-20.79045968669385</v>
      </c>
      <c r="CV1000" s="9">
        <f t="shared" si="144"/>
        <v>274.19400000000002</v>
      </c>
      <c r="CW1000" t="str">
        <f t="shared" si="136"/>
        <v>DyFe2</v>
      </c>
    </row>
    <row r="1001" spans="1:101" ht="15.75" thickBot="1" x14ac:dyDescent="0.3">
      <c r="A1001" t="s">
        <v>91</v>
      </c>
      <c r="B1001" t="s">
        <v>2779</v>
      </c>
      <c r="C1001" t="s">
        <v>3144</v>
      </c>
      <c r="E1001" t="s">
        <v>3145</v>
      </c>
      <c r="F1001" t="s">
        <v>93</v>
      </c>
      <c r="G1001" t="s">
        <v>2780</v>
      </c>
      <c r="H1001">
        <v>402.289999999999</v>
      </c>
      <c r="I1001">
        <v>1136</v>
      </c>
      <c r="J1001">
        <v>15.173115510000001</v>
      </c>
      <c r="K1001" t="s">
        <v>95</v>
      </c>
      <c r="L1001">
        <v>2.33918508</v>
      </c>
      <c r="M1001">
        <f t="shared" si="137"/>
        <v>5.8146736931069771</v>
      </c>
      <c r="N1001" t="s">
        <v>95</v>
      </c>
      <c r="O1001" t="s">
        <v>2781</v>
      </c>
      <c r="P1001" t="s">
        <v>93</v>
      </c>
      <c r="Q1001">
        <v>19.577792280000001</v>
      </c>
      <c r="R1001" t="s">
        <v>95</v>
      </c>
      <c r="S1001">
        <v>7.5173740799999997</v>
      </c>
      <c r="T1001">
        <f t="shared" si="138"/>
        <v>18.686455243729693</v>
      </c>
      <c r="U1001" t="s">
        <v>95</v>
      </c>
      <c r="V1001">
        <v>669812</v>
      </c>
      <c r="W1001" t="s">
        <v>1212</v>
      </c>
      <c r="X1001">
        <v>298</v>
      </c>
      <c r="Y1001" t="s">
        <v>179</v>
      </c>
      <c r="Z1001">
        <v>-34.700000000000003</v>
      </c>
      <c r="AA1001" t="s">
        <v>95</v>
      </c>
      <c r="AB1001">
        <f t="shared" si="139"/>
        <v>-86.256183350319631</v>
      </c>
      <c r="AC1001" t="s">
        <v>93</v>
      </c>
      <c r="AD1001">
        <v>3.3</v>
      </c>
      <c r="AE1001" t="s">
        <v>95</v>
      </c>
      <c r="AF1001" t="s">
        <v>93</v>
      </c>
      <c r="AY1001">
        <v>0.5</v>
      </c>
      <c r="CO1001">
        <v>0.5</v>
      </c>
      <c r="CR1001">
        <f t="shared" si="140"/>
        <v>5.8146736931069771</v>
      </c>
      <c r="CS1001">
        <f t="shared" si="141"/>
        <v>18.686455243729693</v>
      </c>
      <c r="CT1001">
        <f t="shared" si="142"/>
        <v>-86.256183350319631</v>
      </c>
      <c r="CU1001" s="7">
        <f t="shared" si="143"/>
        <v>-20.585018137827653</v>
      </c>
      <c r="CV1001" s="9">
        <f t="shared" si="144"/>
        <v>402.289999999999</v>
      </c>
      <c r="CW1001" t="str">
        <f t="shared" si="136"/>
        <v>PtPb</v>
      </c>
    </row>
    <row r="1002" spans="1:101" ht="15.75" thickBot="1" x14ac:dyDescent="0.3">
      <c r="A1002" t="s">
        <v>91</v>
      </c>
      <c r="B1002" t="s">
        <v>1773</v>
      </c>
      <c r="C1002" t="s">
        <v>3144</v>
      </c>
      <c r="E1002" t="s">
        <v>3145</v>
      </c>
      <c r="F1002" t="s">
        <v>93</v>
      </c>
      <c r="G1002" t="s">
        <v>1774</v>
      </c>
      <c r="H1002">
        <v>200.59989999999999</v>
      </c>
      <c r="I1002">
        <v>677</v>
      </c>
      <c r="J1002">
        <v>0</v>
      </c>
      <c r="K1002" t="s">
        <v>95</v>
      </c>
      <c r="L1002">
        <v>-6.0898134700000002</v>
      </c>
      <c r="M1002">
        <f t="shared" si="137"/>
        <v>-30.358008503493775</v>
      </c>
      <c r="N1002" t="s">
        <v>95</v>
      </c>
      <c r="O1002" t="s">
        <v>1775</v>
      </c>
      <c r="P1002" t="s">
        <v>121</v>
      </c>
      <c r="Q1002">
        <v>0</v>
      </c>
      <c r="R1002" t="s">
        <v>95</v>
      </c>
      <c r="S1002">
        <v>-6.0766439999999999</v>
      </c>
      <c r="T1002">
        <f t="shared" si="138"/>
        <v>-30.29235807196315</v>
      </c>
      <c r="U1002" t="s">
        <v>95</v>
      </c>
      <c r="V1002">
        <v>18348</v>
      </c>
      <c r="W1002" t="s">
        <v>159</v>
      </c>
      <c r="X1002">
        <v>298</v>
      </c>
      <c r="Y1002" t="s">
        <v>160</v>
      </c>
      <c r="Z1002">
        <v>-0.2</v>
      </c>
      <c r="AA1002" t="s">
        <v>95</v>
      </c>
      <c r="AB1002">
        <f t="shared" si="139"/>
        <v>-0.99700947009445184</v>
      </c>
      <c r="AC1002" t="s">
        <v>93</v>
      </c>
      <c r="AD1002">
        <v>1</v>
      </c>
      <c r="AE1002" t="s">
        <v>95</v>
      </c>
      <c r="AF1002" t="s">
        <v>93</v>
      </c>
      <c r="AG1002">
        <v>0.33</v>
      </c>
      <c r="AT1002">
        <v>0.66</v>
      </c>
      <c r="CR1002">
        <f t="shared" si="140"/>
        <v>-30.358008503493775</v>
      </c>
      <c r="CS1002">
        <f t="shared" si="141"/>
        <v>-30.29235807196315</v>
      </c>
      <c r="CT1002">
        <f t="shared" si="142"/>
        <v>-0.99700947009445184</v>
      </c>
      <c r="CU1002" s="7">
        <f t="shared" si="143"/>
        <v>-20.549125348517126</v>
      </c>
      <c r="CV1002" s="9">
        <f t="shared" si="144"/>
        <v>200.59989999999999</v>
      </c>
      <c r="CW1002" t="str">
        <f t="shared" ref="CW1002:CW1065" si="145">G1002</f>
        <v>YFe2</v>
      </c>
    </row>
    <row r="1003" spans="1:101" ht="15.75" thickBot="1" x14ac:dyDescent="0.3">
      <c r="A1003" t="s">
        <v>91</v>
      </c>
      <c r="B1003" t="s">
        <v>2064</v>
      </c>
      <c r="C1003" t="s">
        <v>3144</v>
      </c>
      <c r="E1003" t="s">
        <v>3145</v>
      </c>
      <c r="G1003" t="s">
        <v>2065</v>
      </c>
      <c r="H1003">
        <v>1134.04</v>
      </c>
      <c r="I1003">
        <v>814</v>
      </c>
      <c r="J1003">
        <v>0</v>
      </c>
      <c r="K1003" t="s">
        <v>95</v>
      </c>
      <c r="L1003">
        <v>-20.16694541</v>
      </c>
      <c r="M1003">
        <f t="shared" si="137"/>
        <v>-17.783275201932913</v>
      </c>
      <c r="N1003" t="s">
        <v>95</v>
      </c>
      <c r="O1003" t="s">
        <v>2066</v>
      </c>
      <c r="P1003" t="s">
        <v>93</v>
      </c>
      <c r="Q1003">
        <v>0</v>
      </c>
      <c r="R1003" t="s">
        <v>95</v>
      </c>
      <c r="S1003">
        <v>-26.059284550000001</v>
      </c>
      <c r="T1003">
        <f t="shared" si="138"/>
        <v>-22.979158186660083</v>
      </c>
      <c r="U1003" t="s">
        <v>95</v>
      </c>
      <c r="V1003">
        <v>647455</v>
      </c>
      <c r="W1003" t="s">
        <v>2067</v>
      </c>
      <c r="X1003">
        <v>1173</v>
      </c>
      <c r="Y1003" t="s">
        <v>155</v>
      </c>
      <c r="AB1003">
        <f t="shared" si="139"/>
        <v>0</v>
      </c>
      <c r="AC1003" t="s">
        <v>93</v>
      </c>
      <c r="AD1003">
        <v>0.8</v>
      </c>
      <c r="AE1003" t="s">
        <v>95</v>
      </c>
      <c r="AF1003" t="s">
        <v>93</v>
      </c>
      <c r="AV1003">
        <v>0.3</v>
      </c>
      <c r="CF1003">
        <v>0.7</v>
      </c>
      <c r="CG1003">
        <v>-29.8</v>
      </c>
      <c r="CH1003" t="s">
        <v>95</v>
      </c>
      <c r="CI1003" t="s">
        <v>93</v>
      </c>
      <c r="CR1003">
        <f t="shared" si="140"/>
        <v>-17.783275201932913</v>
      </c>
      <c r="CS1003">
        <f t="shared" si="141"/>
        <v>-22.979158186660083</v>
      </c>
      <c r="CT1003">
        <f t="shared" si="142"/>
        <v>0</v>
      </c>
      <c r="CU1003" s="7">
        <f t="shared" si="143"/>
        <v>-20.381216694296498</v>
      </c>
      <c r="CV1003" s="9">
        <f t="shared" si="144"/>
        <v>1134.04</v>
      </c>
      <c r="CW1003" t="str">
        <f t="shared" si="145"/>
        <v>Sn7Ru3</v>
      </c>
    </row>
    <row r="1004" spans="1:101" ht="15.75" thickBot="1" x14ac:dyDescent="0.3">
      <c r="A1004" t="s">
        <v>91</v>
      </c>
      <c r="B1004" t="s">
        <v>2608</v>
      </c>
      <c r="C1004" t="s">
        <v>3144</v>
      </c>
      <c r="E1004" t="s">
        <v>3145</v>
      </c>
      <c r="F1004" t="s">
        <v>93</v>
      </c>
      <c r="G1004" t="s">
        <v>2609</v>
      </c>
      <c r="H1004">
        <v>270.61939999999998</v>
      </c>
      <c r="I1004">
        <v>1063</v>
      </c>
      <c r="M1004">
        <f t="shared" si="137"/>
        <v>0</v>
      </c>
      <c r="O1004" t="s">
        <v>93</v>
      </c>
      <c r="P1004" t="s">
        <v>2610</v>
      </c>
      <c r="T1004">
        <f t="shared" si="138"/>
        <v>0</v>
      </c>
      <c r="V1004" t="s">
        <v>93</v>
      </c>
      <c r="W1004" t="s">
        <v>93</v>
      </c>
      <c r="X1004">
        <v>298</v>
      </c>
      <c r="Y1004" t="s">
        <v>93</v>
      </c>
      <c r="Z1004">
        <v>-5.5</v>
      </c>
      <c r="AA1004" t="s">
        <v>95</v>
      </c>
      <c r="AB1004">
        <f t="shared" si="139"/>
        <v>-20.323746191145204</v>
      </c>
      <c r="AC1004" t="s">
        <v>93</v>
      </c>
      <c r="AD1004">
        <v>2.4</v>
      </c>
      <c r="AE1004" t="s">
        <v>95</v>
      </c>
      <c r="AF1004" t="s">
        <v>93</v>
      </c>
      <c r="AH1004" t="s">
        <v>93</v>
      </c>
      <c r="AI1004" t="s">
        <v>93</v>
      </c>
      <c r="AJ1004" t="s">
        <v>93</v>
      </c>
      <c r="AK1004" t="s">
        <v>93</v>
      </c>
      <c r="AT1004">
        <v>0.66669999999999996</v>
      </c>
      <c r="BK1004">
        <v>0.33329999999999999</v>
      </c>
      <c r="CR1004">
        <f t="shared" si="140"/>
        <v>0</v>
      </c>
      <c r="CS1004">
        <f t="shared" si="141"/>
        <v>0</v>
      </c>
      <c r="CT1004">
        <f t="shared" si="142"/>
        <v>-20.323746191145204</v>
      </c>
      <c r="CU1004" s="7">
        <f t="shared" si="143"/>
        <v>-20.323746191145204</v>
      </c>
      <c r="CV1004" s="9">
        <f t="shared" si="144"/>
        <v>270.61939999999998</v>
      </c>
      <c r="CW1004" t="str">
        <f t="shared" si="145"/>
        <v>TbFe2</v>
      </c>
    </row>
    <row r="1005" spans="1:101" ht="15.75" thickBot="1" x14ac:dyDescent="0.3">
      <c r="A1005" t="s">
        <v>91</v>
      </c>
      <c r="B1005" t="s">
        <v>2645</v>
      </c>
      <c r="C1005" t="s">
        <v>3144</v>
      </c>
      <c r="E1005" t="s">
        <v>3145</v>
      </c>
      <c r="F1005" t="s">
        <v>93</v>
      </c>
      <c r="G1005" t="s">
        <v>2646</v>
      </c>
      <c r="H1005">
        <v>445.06599999999997</v>
      </c>
      <c r="I1005">
        <v>1079</v>
      </c>
      <c r="J1005">
        <v>8.8908310000000004E-2</v>
      </c>
      <c r="K1005" t="s">
        <v>95</v>
      </c>
      <c r="L1005">
        <v>-5.7549572800000002</v>
      </c>
      <c r="M1005">
        <f t="shared" si="137"/>
        <v>-12.930570477187654</v>
      </c>
      <c r="N1005" t="s">
        <v>95</v>
      </c>
      <c r="O1005" t="s">
        <v>2647</v>
      </c>
      <c r="P1005" t="s">
        <v>93</v>
      </c>
      <c r="T1005">
        <f t="shared" si="138"/>
        <v>0</v>
      </c>
      <c r="V1005" t="s">
        <v>93</v>
      </c>
      <c r="W1005" t="s">
        <v>172</v>
      </c>
      <c r="X1005">
        <v>298</v>
      </c>
      <c r="Y1005" t="s">
        <v>170</v>
      </c>
      <c r="Z1005">
        <v>-12.2</v>
      </c>
      <c r="AA1005" t="s">
        <v>95</v>
      </c>
      <c r="AB1005">
        <f t="shared" si="139"/>
        <v>-27.411664786795665</v>
      </c>
      <c r="AC1005" t="s">
        <v>93</v>
      </c>
      <c r="AD1005">
        <v>1.8</v>
      </c>
      <c r="AE1005" t="s">
        <v>95</v>
      </c>
      <c r="AF1005" t="s">
        <v>93</v>
      </c>
      <c r="AJ1005" t="s">
        <v>93</v>
      </c>
      <c r="AK1005" t="s">
        <v>93</v>
      </c>
      <c r="AW1005">
        <v>0.83</v>
      </c>
      <c r="BN1005">
        <v>0.17</v>
      </c>
      <c r="CR1005">
        <f t="shared" si="140"/>
        <v>-12.930570477187654</v>
      </c>
      <c r="CS1005">
        <f t="shared" si="141"/>
        <v>0</v>
      </c>
      <c r="CT1005">
        <f t="shared" si="142"/>
        <v>-27.411664786795665</v>
      </c>
      <c r="CU1005" s="7">
        <f t="shared" si="143"/>
        <v>-20.17111763199166</v>
      </c>
      <c r="CV1005" s="9">
        <f t="shared" si="144"/>
        <v>445.06599999999997</v>
      </c>
      <c r="CW1005" t="str">
        <f t="shared" si="145"/>
        <v>SmCo5</v>
      </c>
    </row>
    <row r="1006" spans="1:101" ht="15.75" thickBot="1" x14ac:dyDescent="0.3">
      <c r="A1006" t="s">
        <v>91</v>
      </c>
      <c r="B1006" t="s">
        <v>2205</v>
      </c>
      <c r="C1006" t="s">
        <v>3144</v>
      </c>
      <c r="E1006" t="s">
        <v>3145</v>
      </c>
      <c r="F1006" t="s">
        <v>93</v>
      </c>
      <c r="G1006" t="s">
        <v>2206</v>
      </c>
      <c r="H1006">
        <v>335.38</v>
      </c>
      <c r="I1006">
        <v>877</v>
      </c>
      <c r="J1006">
        <v>0</v>
      </c>
      <c r="K1006" t="s">
        <v>95</v>
      </c>
      <c r="L1006">
        <v>-8.3343729100000008</v>
      </c>
      <c r="M1006">
        <f t="shared" si="137"/>
        <v>-24.850536436281239</v>
      </c>
      <c r="N1006" t="s">
        <v>95</v>
      </c>
      <c r="O1006" t="s">
        <v>2207</v>
      </c>
      <c r="P1006" t="s">
        <v>93</v>
      </c>
      <c r="Q1006">
        <v>0</v>
      </c>
      <c r="R1006" t="s">
        <v>95</v>
      </c>
      <c r="S1006">
        <v>-7.9479574800000004</v>
      </c>
      <c r="T1006">
        <f t="shared" si="138"/>
        <v>-23.698364482080031</v>
      </c>
      <c r="U1006" t="s">
        <v>95</v>
      </c>
      <c r="V1006">
        <v>8193</v>
      </c>
      <c r="W1006" t="s">
        <v>2208</v>
      </c>
      <c r="X1006">
        <v>298</v>
      </c>
      <c r="Y1006" t="s">
        <v>633</v>
      </c>
      <c r="Z1006">
        <v>-3.7</v>
      </c>
      <c r="AA1006" t="s">
        <v>95</v>
      </c>
      <c r="AB1006">
        <f t="shared" si="139"/>
        <v>-11.032261911861173</v>
      </c>
      <c r="AC1006" t="s">
        <v>93</v>
      </c>
      <c r="AD1006">
        <v>2.5</v>
      </c>
      <c r="AE1006" t="s">
        <v>95</v>
      </c>
      <c r="AF1006" t="s">
        <v>93</v>
      </c>
      <c r="BM1006">
        <v>0.33</v>
      </c>
      <c r="CA1006">
        <v>0.66</v>
      </c>
      <c r="CR1006">
        <f t="shared" si="140"/>
        <v>-24.850536436281239</v>
      </c>
      <c r="CS1006">
        <f t="shared" si="141"/>
        <v>-23.698364482080031</v>
      </c>
      <c r="CT1006">
        <f t="shared" si="142"/>
        <v>-11.032261911861173</v>
      </c>
      <c r="CU1006" s="7">
        <f t="shared" si="143"/>
        <v>-19.860387610074145</v>
      </c>
      <c r="CV1006" s="9">
        <f t="shared" si="144"/>
        <v>335.38</v>
      </c>
      <c r="CW1006" t="str">
        <f t="shared" si="145"/>
        <v>Ge2Os</v>
      </c>
    </row>
    <row r="1007" spans="1:101" ht="15.75" thickBot="1" x14ac:dyDescent="0.3">
      <c r="A1007" t="s">
        <v>91</v>
      </c>
      <c r="B1007" t="s">
        <v>2064</v>
      </c>
      <c r="C1007" t="s">
        <v>3144</v>
      </c>
      <c r="E1007" t="s">
        <v>3145</v>
      </c>
      <c r="F1007" t="s">
        <v>93</v>
      </c>
      <c r="G1007" t="s">
        <v>2065</v>
      </c>
      <c r="H1007">
        <v>1134.04</v>
      </c>
      <c r="I1007">
        <v>846</v>
      </c>
      <c r="J1007">
        <v>0</v>
      </c>
      <c r="K1007" t="s">
        <v>95</v>
      </c>
      <c r="L1007">
        <v>-20.16694541</v>
      </c>
      <c r="M1007">
        <f t="shared" si="137"/>
        <v>-17.783275201932913</v>
      </c>
      <c r="N1007" t="s">
        <v>95</v>
      </c>
      <c r="O1007" t="s">
        <v>2066</v>
      </c>
      <c r="P1007" t="s">
        <v>93</v>
      </c>
      <c r="Q1007">
        <v>0</v>
      </c>
      <c r="R1007" t="s">
        <v>95</v>
      </c>
      <c r="S1007">
        <v>-26.059284550000001</v>
      </c>
      <c r="T1007">
        <f t="shared" si="138"/>
        <v>-22.979158186660083</v>
      </c>
      <c r="U1007" t="s">
        <v>95</v>
      </c>
      <c r="V1007">
        <v>647455</v>
      </c>
      <c r="W1007" t="s">
        <v>2067</v>
      </c>
      <c r="X1007">
        <v>298</v>
      </c>
      <c r="Y1007" t="s">
        <v>155</v>
      </c>
      <c r="Z1007">
        <v>-18.7</v>
      </c>
      <c r="AA1007" t="s">
        <v>95</v>
      </c>
      <c r="AB1007">
        <f t="shared" si="139"/>
        <v>-16.489718175725724</v>
      </c>
      <c r="AC1007" t="s">
        <v>93</v>
      </c>
      <c r="AD1007">
        <v>1.4</v>
      </c>
      <c r="AE1007" t="s">
        <v>95</v>
      </c>
      <c r="AF1007" t="s">
        <v>93</v>
      </c>
      <c r="AV1007">
        <v>0.3</v>
      </c>
      <c r="CF1007">
        <v>0.7</v>
      </c>
      <c r="CR1007">
        <f t="shared" si="140"/>
        <v>-17.783275201932913</v>
      </c>
      <c r="CS1007">
        <f t="shared" si="141"/>
        <v>-22.979158186660083</v>
      </c>
      <c r="CT1007">
        <f t="shared" si="142"/>
        <v>-16.489718175725724</v>
      </c>
      <c r="CU1007" s="7">
        <f t="shared" si="143"/>
        <v>-19.084050521439575</v>
      </c>
      <c r="CV1007" s="9">
        <f t="shared" si="144"/>
        <v>1134.04</v>
      </c>
      <c r="CW1007" t="str">
        <f t="shared" si="145"/>
        <v>Sn7Ru3</v>
      </c>
    </row>
    <row r="1008" spans="1:101" ht="15.75" thickBot="1" x14ac:dyDescent="0.3">
      <c r="A1008" t="s">
        <v>91</v>
      </c>
      <c r="B1008" t="s">
        <v>2456</v>
      </c>
      <c r="C1008" t="s">
        <v>3144</v>
      </c>
      <c r="E1008" t="s">
        <v>3145</v>
      </c>
      <c r="F1008" t="s">
        <v>93</v>
      </c>
      <c r="G1008" t="s">
        <v>2457</v>
      </c>
      <c r="H1008">
        <v>287.49919999999997</v>
      </c>
      <c r="I1008">
        <v>997</v>
      </c>
      <c r="M1008">
        <f t="shared" si="137"/>
        <v>0</v>
      </c>
      <c r="O1008" t="s">
        <v>93</v>
      </c>
      <c r="P1008" t="s">
        <v>93</v>
      </c>
      <c r="Q1008">
        <v>18.862348950000001</v>
      </c>
      <c r="R1008" t="s">
        <v>95</v>
      </c>
      <c r="S1008">
        <v>11.03059981</v>
      </c>
      <c r="T1008">
        <f t="shared" si="138"/>
        <v>38.367410448446471</v>
      </c>
      <c r="U1008" t="s">
        <v>95</v>
      </c>
      <c r="V1008">
        <v>472691</v>
      </c>
      <c r="W1008" t="s">
        <v>184</v>
      </c>
      <c r="X1008">
        <v>298</v>
      </c>
      <c r="Y1008" t="s">
        <v>185</v>
      </c>
      <c r="Z1008">
        <v>-21.8</v>
      </c>
      <c r="AA1008" t="s">
        <v>95</v>
      </c>
      <c r="AB1008">
        <f t="shared" si="139"/>
        <v>-75.82629795143778</v>
      </c>
      <c r="AC1008" t="s">
        <v>93</v>
      </c>
      <c r="AD1008">
        <v>3.1</v>
      </c>
      <c r="AE1008" t="s">
        <v>95</v>
      </c>
      <c r="AF1008" t="s">
        <v>93</v>
      </c>
      <c r="AH1008" t="s">
        <v>93</v>
      </c>
      <c r="AI1008" t="s">
        <v>93</v>
      </c>
      <c r="AW1008">
        <v>0.25</v>
      </c>
      <c r="BR1008">
        <v>0.5</v>
      </c>
      <c r="CF1008">
        <v>0.25</v>
      </c>
      <c r="CR1008">
        <f t="shared" si="140"/>
        <v>0</v>
      </c>
      <c r="CS1008">
        <f t="shared" si="141"/>
        <v>38.367410448446471</v>
      </c>
      <c r="CT1008">
        <f t="shared" si="142"/>
        <v>-75.82629795143778</v>
      </c>
      <c r="CU1008" s="7">
        <f t="shared" si="143"/>
        <v>-18.729443751495655</v>
      </c>
      <c r="CV1008" s="9">
        <f t="shared" si="144"/>
        <v>287.49919999999997</v>
      </c>
      <c r="CW1008" t="str">
        <f t="shared" si="145"/>
        <v>Mn2CoSn</v>
      </c>
    </row>
    <row r="1009" spans="1:101" ht="15.75" thickBot="1" x14ac:dyDescent="0.3">
      <c r="A1009" t="s">
        <v>91</v>
      </c>
      <c r="B1009" t="s">
        <v>93</v>
      </c>
      <c r="C1009" t="s">
        <v>3144</v>
      </c>
      <c r="E1009" t="s">
        <v>3145</v>
      </c>
      <c r="F1009" t="s">
        <v>93</v>
      </c>
      <c r="G1009" t="s">
        <v>792</v>
      </c>
      <c r="H1009">
        <v>923.34</v>
      </c>
      <c r="I1009">
        <v>318</v>
      </c>
      <c r="M1009">
        <f t="shared" si="137"/>
        <v>0</v>
      </c>
      <c r="O1009" t="s">
        <v>93</v>
      </c>
      <c r="P1009" t="s">
        <v>93</v>
      </c>
      <c r="T1009">
        <f t="shared" si="138"/>
        <v>0</v>
      </c>
      <c r="V1009" t="s">
        <v>93</v>
      </c>
      <c r="W1009" t="s">
        <v>793</v>
      </c>
      <c r="X1009">
        <v>298</v>
      </c>
      <c r="Y1009" t="s">
        <v>794</v>
      </c>
      <c r="Z1009">
        <v>-17.2</v>
      </c>
      <c r="AA1009" t="s">
        <v>95</v>
      </c>
      <c r="AB1009">
        <f t="shared" si="139"/>
        <v>-18.628024346394607</v>
      </c>
      <c r="AC1009" t="s">
        <v>93</v>
      </c>
      <c r="AD1009">
        <v>1.9</v>
      </c>
      <c r="AE1009" t="s">
        <v>95</v>
      </c>
      <c r="AF1009" t="s">
        <v>93</v>
      </c>
      <c r="AH1009" t="s">
        <v>93</v>
      </c>
      <c r="AI1009" t="s">
        <v>93</v>
      </c>
      <c r="AJ1009" t="s">
        <v>93</v>
      </c>
      <c r="AK1009" t="s">
        <v>93</v>
      </c>
      <c r="AO1009">
        <v>0.71</v>
      </c>
      <c r="AV1009">
        <v>0.28999999999999998</v>
      </c>
      <c r="CR1009">
        <f t="shared" si="140"/>
        <v>0</v>
      </c>
      <c r="CS1009">
        <f t="shared" si="141"/>
        <v>0</v>
      </c>
      <c r="CT1009">
        <f t="shared" si="142"/>
        <v>-18.628024346394607</v>
      </c>
      <c r="CU1009" s="7">
        <f t="shared" si="143"/>
        <v>-18.628024346394607</v>
      </c>
      <c r="CV1009" s="9">
        <f t="shared" si="144"/>
        <v>923.34</v>
      </c>
      <c r="CW1009" t="str">
        <f t="shared" si="145"/>
        <v>Nd5Ru2</v>
      </c>
    </row>
    <row r="1010" spans="1:101" ht="15.75" thickBot="1" x14ac:dyDescent="0.3">
      <c r="A1010" t="s">
        <v>484</v>
      </c>
      <c r="B1010" t="s">
        <v>93</v>
      </c>
      <c r="C1010" t="s">
        <v>3138</v>
      </c>
      <c r="D1010" t="s">
        <v>3139</v>
      </c>
      <c r="F1010" t="s">
        <v>3140</v>
      </c>
      <c r="G1010" t="s">
        <v>2338</v>
      </c>
      <c r="H1010">
        <v>695.56</v>
      </c>
      <c r="I1010">
        <v>944</v>
      </c>
      <c r="M1010">
        <f t="shared" si="137"/>
        <v>0</v>
      </c>
      <c r="O1010" t="s">
        <v>93</v>
      </c>
      <c r="P1010" t="s">
        <v>93</v>
      </c>
      <c r="T1010">
        <f t="shared" si="138"/>
        <v>0</v>
      </c>
      <c r="V1010" t="s">
        <v>93</v>
      </c>
      <c r="W1010" t="s">
        <v>2328</v>
      </c>
      <c r="X1010">
        <v>298</v>
      </c>
      <c r="Y1010" t="s">
        <v>179</v>
      </c>
      <c r="Z1010">
        <v>-12.9</v>
      </c>
      <c r="AA1010" t="s">
        <v>95</v>
      </c>
      <c r="AB1010">
        <f t="shared" si="139"/>
        <v>-18.546207372476854</v>
      </c>
      <c r="AC1010" t="s">
        <v>93</v>
      </c>
      <c r="AD1010">
        <v>0.6</v>
      </c>
      <c r="AE1010" t="s">
        <v>95</v>
      </c>
      <c r="AF1010" t="s">
        <v>93</v>
      </c>
      <c r="AH1010" t="s">
        <v>93</v>
      </c>
      <c r="AI1010" t="s">
        <v>93</v>
      </c>
      <c r="AJ1010" t="s">
        <v>93</v>
      </c>
      <c r="AK1010" t="s">
        <v>93</v>
      </c>
      <c r="AS1010">
        <v>0.9</v>
      </c>
      <c r="BH1010">
        <v>0.1</v>
      </c>
      <c r="CR1010">
        <f t="shared" si="140"/>
        <v>0</v>
      </c>
      <c r="CS1010">
        <f t="shared" si="141"/>
        <v>0</v>
      </c>
      <c r="CT1010">
        <f t="shared" si="142"/>
        <v>-18.546207372476854</v>
      </c>
      <c r="CU1010" s="7">
        <f t="shared" si="143"/>
        <v>-18.546207372476854</v>
      </c>
      <c r="CV1010" s="9">
        <f t="shared" si="144"/>
        <v>695.56</v>
      </c>
      <c r="CW1010" t="str">
        <f t="shared" si="145"/>
        <v>ErNi9</v>
      </c>
    </row>
    <row r="1011" spans="1:101" ht="15.75" thickBot="1" x14ac:dyDescent="0.3">
      <c r="A1011" t="s">
        <v>484</v>
      </c>
      <c r="B1011" t="s">
        <v>93</v>
      </c>
      <c r="C1011" t="s">
        <v>3138</v>
      </c>
      <c r="D1011" t="s">
        <v>3139</v>
      </c>
      <c r="F1011" t="s">
        <v>3140</v>
      </c>
      <c r="G1011" t="s">
        <v>2329</v>
      </c>
      <c r="H1011">
        <v>451.916</v>
      </c>
      <c r="I1011">
        <v>937</v>
      </c>
      <c r="M1011">
        <f t="shared" si="137"/>
        <v>0</v>
      </c>
      <c r="O1011" t="s">
        <v>93</v>
      </c>
      <c r="P1011" t="s">
        <v>93</v>
      </c>
      <c r="T1011">
        <f t="shared" si="138"/>
        <v>0</v>
      </c>
      <c r="V1011" t="s">
        <v>93</v>
      </c>
      <c r="W1011" t="s">
        <v>2328</v>
      </c>
      <c r="X1011">
        <v>298</v>
      </c>
      <c r="Y1011" t="s">
        <v>179</v>
      </c>
      <c r="Z1011">
        <v>-8.3000000000000007</v>
      </c>
      <c r="AA1011" t="s">
        <v>95</v>
      </c>
      <c r="AB1011">
        <f t="shared" si="139"/>
        <v>-18.366245054390639</v>
      </c>
      <c r="AC1011" t="s">
        <v>93</v>
      </c>
      <c r="AD1011">
        <v>1.3</v>
      </c>
      <c r="AE1011" t="s">
        <v>95</v>
      </c>
      <c r="AF1011" t="s">
        <v>93</v>
      </c>
      <c r="AH1011" t="s">
        <v>93</v>
      </c>
      <c r="AI1011" t="s">
        <v>93</v>
      </c>
      <c r="AJ1011" t="s">
        <v>93</v>
      </c>
      <c r="AK1011" t="s">
        <v>93</v>
      </c>
      <c r="AW1011">
        <v>0.83399999999999996</v>
      </c>
      <c r="BI1011">
        <v>0.16600000000000001</v>
      </c>
      <c r="CR1011">
        <f t="shared" si="140"/>
        <v>0</v>
      </c>
      <c r="CS1011">
        <f t="shared" si="141"/>
        <v>0</v>
      </c>
      <c r="CT1011">
        <f t="shared" si="142"/>
        <v>-18.366245054390639</v>
      </c>
      <c r="CU1011" s="7">
        <f t="shared" si="143"/>
        <v>-18.366245054390639</v>
      </c>
      <c r="CV1011" s="9">
        <f t="shared" si="144"/>
        <v>451.916</v>
      </c>
      <c r="CW1011" t="str">
        <f t="shared" si="145"/>
        <v>Co5Gd</v>
      </c>
    </row>
    <row r="1012" spans="1:101" ht="15.75" thickBot="1" x14ac:dyDescent="0.3">
      <c r="A1012" t="s">
        <v>91</v>
      </c>
      <c r="B1012" t="s">
        <v>748</v>
      </c>
      <c r="C1012" t="s">
        <v>3144</v>
      </c>
      <c r="E1012" t="s">
        <v>3145</v>
      </c>
      <c r="F1012" t="s">
        <v>93</v>
      </c>
      <c r="G1012" t="s">
        <v>749</v>
      </c>
      <c r="H1012">
        <v>519.30549999999903</v>
      </c>
      <c r="I1012">
        <v>298</v>
      </c>
      <c r="M1012">
        <f t="shared" si="137"/>
        <v>0</v>
      </c>
      <c r="O1012" t="s">
        <v>93</v>
      </c>
      <c r="P1012" t="s">
        <v>93</v>
      </c>
      <c r="T1012">
        <f t="shared" si="138"/>
        <v>0</v>
      </c>
      <c r="V1012" t="s">
        <v>93</v>
      </c>
      <c r="W1012" t="s">
        <v>225</v>
      </c>
      <c r="X1012">
        <v>298</v>
      </c>
      <c r="Y1012" t="s">
        <v>179</v>
      </c>
      <c r="Z1012">
        <v>-9</v>
      </c>
      <c r="AA1012" t="s">
        <v>95</v>
      </c>
      <c r="AB1012">
        <f t="shared" si="139"/>
        <v>-17.330838976286632</v>
      </c>
      <c r="AC1012" t="s">
        <v>93</v>
      </c>
      <c r="AD1012">
        <v>1.1000000000000001</v>
      </c>
      <c r="AE1012" t="s">
        <v>95</v>
      </c>
      <c r="AF1012" t="s">
        <v>93</v>
      </c>
      <c r="AH1012" t="s">
        <v>93</v>
      </c>
      <c r="AI1012" t="s">
        <v>93</v>
      </c>
      <c r="AJ1012" t="s">
        <v>93</v>
      </c>
      <c r="AK1012" t="s">
        <v>93</v>
      </c>
      <c r="AL1012">
        <v>0.33</v>
      </c>
      <c r="BM1012">
        <v>0.66</v>
      </c>
      <c r="CR1012">
        <f t="shared" si="140"/>
        <v>0</v>
      </c>
      <c r="CS1012">
        <f t="shared" si="141"/>
        <v>0</v>
      </c>
      <c r="CT1012">
        <f t="shared" si="142"/>
        <v>-17.330838976286632</v>
      </c>
      <c r="CU1012" s="7">
        <f t="shared" si="143"/>
        <v>-17.330838976286632</v>
      </c>
      <c r="CV1012" s="9">
        <f t="shared" si="144"/>
        <v>519.30549999999903</v>
      </c>
      <c r="CW1012" t="str">
        <f t="shared" si="145"/>
        <v>LaOs2</v>
      </c>
    </row>
    <row r="1013" spans="1:101" ht="15.75" thickBot="1" x14ac:dyDescent="0.3">
      <c r="A1013" t="s">
        <v>91</v>
      </c>
      <c r="B1013" t="s">
        <v>2557</v>
      </c>
      <c r="C1013" t="s">
        <v>3144</v>
      </c>
      <c r="E1013" t="s">
        <v>3145</v>
      </c>
      <c r="F1013" t="s">
        <v>93</v>
      </c>
      <c r="G1013" t="s">
        <v>2558</v>
      </c>
      <c r="H1013">
        <v>282.48200000000003</v>
      </c>
      <c r="I1013">
        <v>1044</v>
      </c>
      <c r="M1013">
        <f t="shared" si="137"/>
        <v>0</v>
      </c>
      <c r="O1013" t="s">
        <v>93</v>
      </c>
      <c r="P1013" t="s">
        <v>2551</v>
      </c>
      <c r="T1013">
        <f t="shared" si="138"/>
        <v>0</v>
      </c>
      <c r="V1013" t="s">
        <v>93</v>
      </c>
      <c r="W1013" t="s">
        <v>93</v>
      </c>
      <c r="X1013">
        <v>298</v>
      </c>
      <c r="Y1013" t="s">
        <v>93</v>
      </c>
      <c r="Z1013">
        <v>-4.8</v>
      </c>
      <c r="AA1013" t="s">
        <v>95</v>
      </c>
      <c r="AB1013">
        <f t="shared" si="139"/>
        <v>-16.992233133438589</v>
      </c>
      <c r="AC1013" t="s">
        <v>93</v>
      </c>
      <c r="AD1013">
        <v>4.3</v>
      </c>
      <c r="AE1013" t="s">
        <v>95</v>
      </c>
      <c r="AF1013" t="s">
        <v>93</v>
      </c>
      <c r="AH1013" t="s">
        <v>93</v>
      </c>
      <c r="AI1013" t="s">
        <v>93</v>
      </c>
      <c r="AJ1013" t="s">
        <v>93</v>
      </c>
      <c r="AK1013" t="s">
        <v>93</v>
      </c>
      <c r="AQ1013">
        <v>0.33329999999999999</v>
      </c>
      <c r="BV1013">
        <v>0.66669999999999996</v>
      </c>
      <c r="CR1013">
        <f t="shared" si="140"/>
        <v>0</v>
      </c>
      <c r="CS1013">
        <f t="shared" si="141"/>
        <v>0</v>
      </c>
      <c r="CT1013">
        <f t="shared" si="142"/>
        <v>-16.992233133438589</v>
      </c>
      <c r="CU1013" s="7">
        <f t="shared" si="143"/>
        <v>-16.992233133438589</v>
      </c>
      <c r="CV1013" s="9">
        <f t="shared" si="144"/>
        <v>282.48200000000003</v>
      </c>
      <c r="CW1013" t="str">
        <f t="shared" si="145"/>
        <v>HfCr2</v>
      </c>
    </row>
    <row r="1014" spans="1:101" ht="15.75" thickBot="1" x14ac:dyDescent="0.3">
      <c r="A1014" t="s">
        <v>91</v>
      </c>
      <c r="B1014" t="s">
        <v>2513</v>
      </c>
      <c r="C1014" t="s">
        <v>3144</v>
      </c>
      <c r="E1014" t="s">
        <v>3145</v>
      </c>
      <c r="F1014" t="s">
        <v>93</v>
      </c>
      <c r="G1014" t="s">
        <v>2514</v>
      </c>
      <c r="H1014">
        <v>641.11699999999996</v>
      </c>
      <c r="I1014">
        <v>1069</v>
      </c>
      <c r="J1014">
        <v>19.368321439999999</v>
      </c>
      <c r="K1014" t="s">
        <v>95</v>
      </c>
      <c r="L1014">
        <v>7.8131439800000004</v>
      </c>
      <c r="M1014">
        <f t="shared" si="137"/>
        <v>12.186767750660177</v>
      </c>
      <c r="N1014" t="s">
        <v>95</v>
      </c>
      <c r="O1014" t="s">
        <v>2515</v>
      </c>
      <c r="P1014" t="s">
        <v>93</v>
      </c>
      <c r="Q1014">
        <v>0</v>
      </c>
      <c r="R1014" t="s">
        <v>95</v>
      </c>
      <c r="S1014">
        <v>-19.35337123</v>
      </c>
      <c r="T1014">
        <f t="shared" si="138"/>
        <v>-30.186956873706361</v>
      </c>
      <c r="U1014" t="s">
        <v>95</v>
      </c>
      <c r="V1014">
        <v>7825</v>
      </c>
      <c r="W1014" t="s">
        <v>194</v>
      </c>
      <c r="X1014">
        <v>298</v>
      </c>
      <c r="Y1014" t="s">
        <v>103</v>
      </c>
      <c r="Z1014">
        <v>-20.7</v>
      </c>
      <c r="AA1014" t="s">
        <v>95</v>
      </c>
      <c r="AB1014">
        <f t="shared" si="139"/>
        <v>-32.287398399980034</v>
      </c>
      <c r="AC1014" t="s">
        <v>93</v>
      </c>
      <c r="AD1014">
        <v>2.2999999999999998</v>
      </c>
      <c r="AE1014" t="s">
        <v>95</v>
      </c>
      <c r="AF1014" t="s">
        <v>93</v>
      </c>
      <c r="AT1014">
        <v>0.25</v>
      </c>
      <c r="AY1014">
        <v>0.75</v>
      </c>
      <c r="CR1014">
        <f t="shared" si="140"/>
        <v>12.186767750660177</v>
      </c>
      <c r="CS1014">
        <f t="shared" si="141"/>
        <v>-30.186956873706361</v>
      </c>
      <c r="CT1014">
        <f t="shared" si="142"/>
        <v>-32.287398399980034</v>
      </c>
      <c r="CU1014" s="7">
        <f t="shared" si="143"/>
        <v>-16.762529174342074</v>
      </c>
      <c r="CV1014" s="9">
        <f t="shared" si="144"/>
        <v>641.11699999999996</v>
      </c>
      <c r="CW1014" t="str">
        <f t="shared" si="145"/>
        <v>FePt3</v>
      </c>
    </row>
    <row r="1015" spans="1:101" ht="15.75" thickBot="1" x14ac:dyDescent="0.3">
      <c r="A1015" t="s">
        <v>91</v>
      </c>
      <c r="B1015" t="s">
        <v>2394</v>
      </c>
      <c r="C1015" t="s">
        <v>3144</v>
      </c>
      <c r="E1015" t="s">
        <v>3145</v>
      </c>
      <c r="F1015" t="s">
        <v>93</v>
      </c>
      <c r="G1015" t="s">
        <v>2395</v>
      </c>
      <c r="H1015">
        <v>819.00739999999996</v>
      </c>
      <c r="I1015">
        <v>970</v>
      </c>
      <c r="M1015">
        <f t="shared" si="137"/>
        <v>0</v>
      </c>
      <c r="O1015" t="s">
        <v>93</v>
      </c>
      <c r="P1015" t="s">
        <v>93</v>
      </c>
      <c r="T1015">
        <f t="shared" si="138"/>
        <v>0</v>
      </c>
      <c r="V1015" t="s">
        <v>93</v>
      </c>
      <c r="W1015" t="s">
        <v>93</v>
      </c>
      <c r="X1015">
        <v>298</v>
      </c>
      <c r="Y1015" t="s">
        <v>93</v>
      </c>
      <c r="Z1015">
        <v>-13.6</v>
      </c>
      <c r="AA1015" t="s">
        <v>95</v>
      </c>
      <c r="AB1015">
        <f t="shared" si="139"/>
        <v>-16.605466568433936</v>
      </c>
      <c r="AC1015" t="s">
        <v>93</v>
      </c>
      <c r="AD1015">
        <v>3.1</v>
      </c>
      <c r="AE1015" t="s">
        <v>95</v>
      </c>
      <c r="AF1015" t="s">
        <v>93</v>
      </c>
      <c r="AH1015" t="s">
        <v>93</v>
      </c>
      <c r="AI1015" t="s">
        <v>93</v>
      </c>
      <c r="AJ1015" t="s">
        <v>93</v>
      </c>
      <c r="AK1015" t="s">
        <v>93</v>
      </c>
      <c r="AT1015">
        <v>0.66669999999999996</v>
      </c>
      <c r="BG1015">
        <v>0.22220000000000001</v>
      </c>
      <c r="BK1015">
        <v>0.1111</v>
      </c>
      <c r="CR1015">
        <f t="shared" si="140"/>
        <v>0</v>
      </c>
      <c r="CS1015">
        <f t="shared" si="141"/>
        <v>0</v>
      </c>
      <c r="CT1015">
        <f t="shared" si="142"/>
        <v>-16.605466568433936</v>
      </c>
      <c r="CU1015" s="7">
        <f t="shared" si="143"/>
        <v>-16.605466568433936</v>
      </c>
      <c r="CV1015" s="9">
        <f t="shared" si="144"/>
        <v>819.00739999999996</v>
      </c>
      <c r="CW1015" t="str">
        <f t="shared" si="145"/>
        <v>TbDy2Fe6</v>
      </c>
    </row>
    <row r="1016" spans="1:101" ht="15.75" thickBot="1" x14ac:dyDescent="0.3">
      <c r="A1016" t="s">
        <v>91</v>
      </c>
      <c r="B1016" t="s">
        <v>2218</v>
      </c>
      <c r="C1016" t="s">
        <v>3144</v>
      </c>
      <c r="E1016" t="s">
        <v>3145</v>
      </c>
      <c r="F1016" t="s">
        <v>93</v>
      </c>
      <c r="G1016" t="s">
        <v>2219</v>
      </c>
      <c r="H1016">
        <v>263.22800000000001</v>
      </c>
      <c r="I1016">
        <v>882</v>
      </c>
      <c r="M1016">
        <f t="shared" si="137"/>
        <v>0</v>
      </c>
      <c r="O1016" t="s">
        <v>93</v>
      </c>
      <c r="P1016" t="s">
        <v>93</v>
      </c>
      <c r="T1016">
        <f t="shared" si="138"/>
        <v>0</v>
      </c>
      <c r="V1016" t="s">
        <v>93</v>
      </c>
      <c r="W1016" t="s">
        <v>93</v>
      </c>
      <c r="X1016">
        <v>298</v>
      </c>
      <c r="Y1016" t="s">
        <v>93</v>
      </c>
      <c r="Z1016">
        <v>-4.0999999999999996</v>
      </c>
      <c r="AA1016" t="s">
        <v>95</v>
      </c>
      <c r="AB1016">
        <f t="shared" si="139"/>
        <v>-15.575850593401915</v>
      </c>
      <c r="AC1016" t="s">
        <v>93</v>
      </c>
      <c r="AD1016">
        <v>0.7</v>
      </c>
      <c r="AE1016" t="s">
        <v>95</v>
      </c>
      <c r="AF1016" t="s">
        <v>93</v>
      </c>
      <c r="AH1016" t="s">
        <v>93</v>
      </c>
      <c r="AI1016" t="s">
        <v>93</v>
      </c>
      <c r="AJ1016" t="s">
        <v>93</v>
      </c>
      <c r="AK1016" t="s">
        <v>93</v>
      </c>
      <c r="AX1016">
        <v>0.75</v>
      </c>
      <c r="CA1016">
        <v>0.25</v>
      </c>
      <c r="CR1016">
        <f t="shared" si="140"/>
        <v>0</v>
      </c>
      <c r="CS1016">
        <f t="shared" si="141"/>
        <v>0</v>
      </c>
      <c r="CT1016">
        <f t="shared" si="142"/>
        <v>-15.575850593401915</v>
      </c>
      <c r="CU1016" s="7">
        <f t="shared" si="143"/>
        <v>-15.575850593401915</v>
      </c>
      <c r="CV1016" s="9">
        <f t="shared" si="144"/>
        <v>263.22800000000001</v>
      </c>
      <c r="CW1016" t="str">
        <f t="shared" si="145"/>
        <v>Cu3Ge</v>
      </c>
    </row>
    <row r="1017" spans="1:101" ht="15.75" thickBot="1" x14ac:dyDescent="0.3">
      <c r="A1017" t="s">
        <v>91</v>
      </c>
      <c r="B1017" t="s">
        <v>827</v>
      </c>
      <c r="C1017" t="s">
        <v>3144</v>
      </c>
      <c r="E1017" t="s">
        <v>3145</v>
      </c>
      <c r="F1017" t="s">
        <v>93</v>
      </c>
      <c r="G1017" t="s">
        <v>828</v>
      </c>
      <c r="H1017">
        <v>253.79</v>
      </c>
      <c r="I1017">
        <v>330</v>
      </c>
      <c r="M1017">
        <f t="shared" si="137"/>
        <v>0</v>
      </c>
      <c r="O1017" t="s">
        <v>93</v>
      </c>
      <c r="P1017" t="s">
        <v>93</v>
      </c>
      <c r="T1017">
        <f t="shared" si="138"/>
        <v>0</v>
      </c>
      <c r="V1017" t="s">
        <v>93</v>
      </c>
      <c r="W1017" t="s">
        <v>288</v>
      </c>
      <c r="X1017">
        <v>298</v>
      </c>
      <c r="Y1017" t="s">
        <v>185</v>
      </c>
      <c r="Z1017">
        <v>-3.92</v>
      </c>
      <c r="AA1017" t="s">
        <v>95</v>
      </c>
      <c r="AB1017">
        <f t="shared" si="139"/>
        <v>-15.445841049686749</v>
      </c>
      <c r="AC1017" t="s">
        <v>93</v>
      </c>
      <c r="AD1017">
        <v>2.42</v>
      </c>
      <c r="AE1017" t="s">
        <v>95</v>
      </c>
      <c r="AF1017" t="s">
        <v>93</v>
      </c>
      <c r="AH1017" t="s">
        <v>93</v>
      </c>
      <c r="AI1017" t="s">
        <v>93</v>
      </c>
      <c r="AJ1017" t="s">
        <v>93</v>
      </c>
      <c r="AK1017" t="s">
        <v>93</v>
      </c>
      <c r="AS1017">
        <v>0.5</v>
      </c>
      <c r="AY1017">
        <v>0.5</v>
      </c>
      <c r="CR1017">
        <f t="shared" si="140"/>
        <v>0</v>
      </c>
      <c r="CS1017">
        <f t="shared" si="141"/>
        <v>0</v>
      </c>
      <c r="CT1017">
        <f t="shared" si="142"/>
        <v>-15.445841049686749</v>
      </c>
      <c r="CU1017" s="7">
        <f t="shared" si="143"/>
        <v>-15.445841049686749</v>
      </c>
      <c r="CV1017" s="9">
        <f t="shared" si="144"/>
        <v>253.79</v>
      </c>
      <c r="CW1017" t="str">
        <f t="shared" si="145"/>
        <v>NiPt</v>
      </c>
    </row>
    <row r="1018" spans="1:101" ht="15.75" thickBot="1" x14ac:dyDescent="0.3">
      <c r="A1018" t="s">
        <v>91</v>
      </c>
      <c r="B1018" t="s">
        <v>1771</v>
      </c>
      <c r="C1018" t="s">
        <v>3144</v>
      </c>
      <c r="E1018" t="s">
        <v>3145</v>
      </c>
      <c r="F1018" t="s">
        <v>93</v>
      </c>
      <c r="G1018" t="s">
        <v>1772</v>
      </c>
      <c r="H1018">
        <v>256.44690000000003</v>
      </c>
      <c r="I1018">
        <v>676</v>
      </c>
      <c r="M1018">
        <f t="shared" si="137"/>
        <v>0</v>
      </c>
      <c r="O1018" t="s">
        <v>93</v>
      </c>
      <c r="P1018" t="s">
        <v>93</v>
      </c>
      <c r="Q1018">
        <v>0</v>
      </c>
      <c r="R1018" t="s">
        <v>95</v>
      </c>
      <c r="S1018">
        <v>-6.1676155499999998</v>
      </c>
      <c r="T1018">
        <f t="shared" si="138"/>
        <v>-24.050263621825799</v>
      </c>
      <c r="U1018" t="s">
        <v>95</v>
      </c>
      <c r="V1018">
        <v>30268</v>
      </c>
      <c r="W1018" t="s">
        <v>699</v>
      </c>
      <c r="X1018">
        <v>298</v>
      </c>
      <c r="Y1018" t="s">
        <v>700</v>
      </c>
      <c r="Z1018">
        <v>-1.7</v>
      </c>
      <c r="AA1018" t="s">
        <v>95</v>
      </c>
      <c r="AB1018">
        <f t="shared" si="139"/>
        <v>-6.6290526420869185</v>
      </c>
      <c r="AC1018" t="s">
        <v>93</v>
      </c>
      <c r="AD1018">
        <v>1.1000000000000001</v>
      </c>
      <c r="AE1018" t="s">
        <v>95</v>
      </c>
      <c r="AF1018" t="s">
        <v>93</v>
      </c>
      <c r="AG1018">
        <v>0.25</v>
      </c>
      <c r="AH1018" t="s">
        <v>93</v>
      </c>
      <c r="AI1018" t="s">
        <v>93</v>
      </c>
      <c r="AT1018">
        <v>0.75</v>
      </c>
      <c r="CR1018">
        <f t="shared" si="140"/>
        <v>0</v>
      </c>
      <c r="CS1018">
        <f t="shared" si="141"/>
        <v>-24.050263621825799</v>
      </c>
      <c r="CT1018">
        <f t="shared" si="142"/>
        <v>-6.6290526420869185</v>
      </c>
      <c r="CU1018" s="7">
        <f t="shared" si="143"/>
        <v>-15.339658131956359</v>
      </c>
      <c r="CV1018" s="9">
        <f t="shared" si="144"/>
        <v>256.44690000000003</v>
      </c>
      <c r="CW1018" t="str">
        <f t="shared" si="145"/>
        <v>YFe3</v>
      </c>
    </row>
    <row r="1019" spans="1:101" ht="15.75" thickBot="1" x14ac:dyDescent="0.3">
      <c r="A1019" t="s">
        <v>91</v>
      </c>
      <c r="B1019" t="s">
        <v>2831</v>
      </c>
      <c r="C1019" t="s">
        <v>3144</v>
      </c>
      <c r="E1019" t="s">
        <v>3145</v>
      </c>
      <c r="F1019" t="s">
        <v>93</v>
      </c>
      <c r="G1019" t="s">
        <v>2832</v>
      </c>
      <c r="H1019">
        <v>329.635999999999</v>
      </c>
      <c r="I1019">
        <v>1158</v>
      </c>
      <c r="J1019">
        <v>16.26867579</v>
      </c>
      <c r="K1019" t="s">
        <v>95</v>
      </c>
      <c r="L1019">
        <v>7.6096784800000004</v>
      </c>
      <c r="M1019">
        <f t="shared" si="137"/>
        <v>23.085095317259107</v>
      </c>
      <c r="N1019" t="s">
        <v>95</v>
      </c>
      <c r="O1019" t="s">
        <v>2833</v>
      </c>
      <c r="P1019" t="s">
        <v>93</v>
      </c>
      <c r="T1019">
        <f t="shared" si="138"/>
        <v>0</v>
      </c>
      <c r="V1019" t="s">
        <v>93</v>
      </c>
      <c r="W1019" t="s">
        <v>184</v>
      </c>
      <c r="X1019">
        <v>298</v>
      </c>
      <c r="Y1019" t="s">
        <v>1983</v>
      </c>
      <c r="Z1019">
        <v>-17.399999999999999</v>
      </c>
      <c r="AA1019" t="s">
        <v>95</v>
      </c>
      <c r="AB1019">
        <f t="shared" si="139"/>
        <v>-52.785496729726276</v>
      </c>
      <c r="AC1019" t="s">
        <v>93</v>
      </c>
      <c r="AD1019">
        <v>2.2000000000000002</v>
      </c>
      <c r="AE1019" t="s">
        <v>95</v>
      </c>
      <c r="AF1019" t="s">
        <v>93</v>
      </c>
      <c r="AJ1019" t="s">
        <v>93</v>
      </c>
      <c r="AK1019" t="s">
        <v>93</v>
      </c>
      <c r="AV1019">
        <v>0.25</v>
      </c>
      <c r="BR1019">
        <v>0.5</v>
      </c>
      <c r="CF1019">
        <v>0.25</v>
      </c>
      <c r="CR1019">
        <f t="shared" si="140"/>
        <v>23.085095317259107</v>
      </c>
      <c r="CS1019">
        <f t="shared" si="141"/>
        <v>0</v>
      </c>
      <c r="CT1019">
        <f t="shared" si="142"/>
        <v>-52.785496729726276</v>
      </c>
      <c r="CU1019" s="7">
        <f t="shared" si="143"/>
        <v>-14.850200706233585</v>
      </c>
      <c r="CV1019" s="9">
        <f t="shared" si="144"/>
        <v>329.635999999999</v>
      </c>
      <c r="CW1019" t="str">
        <f t="shared" si="145"/>
        <v>Mn2SnRu</v>
      </c>
    </row>
    <row r="1020" spans="1:101" ht="15.75" thickBot="1" x14ac:dyDescent="0.3">
      <c r="A1020" t="s">
        <v>91</v>
      </c>
      <c r="B1020" t="s">
        <v>2379</v>
      </c>
      <c r="C1020" t="s">
        <v>3144</v>
      </c>
      <c r="E1020" t="s">
        <v>3145</v>
      </c>
      <c r="F1020" t="s">
        <v>93</v>
      </c>
      <c r="G1020" t="s">
        <v>2380</v>
      </c>
      <c r="H1020">
        <v>268.94400000000002</v>
      </c>
      <c r="I1020">
        <v>965</v>
      </c>
      <c r="J1020">
        <v>0</v>
      </c>
      <c r="K1020" t="s">
        <v>95</v>
      </c>
      <c r="L1020">
        <v>-6.8953571800000004</v>
      </c>
      <c r="M1020">
        <f t="shared" si="137"/>
        <v>-25.638635478017726</v>
      </c>
      <c r="N1020" t="s">
        <v>95</v>
      </c>
      <c r="O1020" t="s">
        <v>2381</v>
      </c>
      <c r="P1020" t="s">
        <v>93</v>
      </c>
      <c r="Q1020">
        <v>3.0585069999999999E-2</v>
      </c>
      <c r="R1020" t="s">
        <v>95</v>
      </c>
      <c r="S1020">
        <v>-3.1810025300000002</v>
      </c>
      <c r="T1020">
        <f t="shared" si="138"/>
        <v>-11.827750498244987</v>
      </c>
      <c r="U1020" t="s">
        <v>95</v>
      </c>
      <c r="V1020">
        <v>18836</v>
      </c>
      <c r="W1020" t="s">
        <v>159</v>
      </c>
      <c r="X1020">
        <v>298</v>
      </c>
      <c r="Y1020" t="s">
        <v>160</v>
      </c>
      <c r="Z1020">
        <v>-1.8</v>
      </c>
      <c r="AA1020" t="s">
        <v>95</v>
      </c>
      <c r="AB1020">
        <f t="shared" si="139"/>
        <v>-6.6928431197572724</v>
      </c>
      <c r="AC1020" t="s">
        <v>93</v>
      </c>
      <c r="AD1020">
        <v>3.4</v>
      </c>
      <c r="AE1020" t="s">
        <v>95</v>
      </c>
      <c r="AF1020" t="s">
        <v>93</v>
      </c>
      <c r="AT1020">
        <v>0.66669999999999996</v>
      </c>
      <c r="BI1020">
        <v>0.33329999999999999</v>
      </c>
      <c r="CR1020">
        <f t="shared" si="140"/>
        <v>-25.638635478017726</v>
      </c>
      <c r="CS1020">
        <f t="shared" si="141"/>
        <v>-11.827750498244987</v>
      </c>
      <c r="CT1020">
        <f t="shared" si="142"/>
        <v>-6.6928431197572724</v>
      </c>
      <c r="CU1020" s="7">
        <f t="shared" si="143"/>
        <v>-14.719743032006662</v>
      </c>
      <c r="CV1020" s="9">
        <f t="shared" si="144"/>
        <v>268.94400000000002</v>
      </c>
      <c r="CW1020" t="str">
        <f t="shared" si="145"/>
        <v>Fe2Gd</v>
      </c>
    </row>
    <row r="1021" spans="1:101" ht="15.75" thickBot="1" x14ac:dyDescent="0.3">
      <c r="A1021" t="s">
        <v>91</v>
      </c>
      <c r="B1021" t="s">
        <v>2490</v>
      </c>
      <c r="C1021" t="s">
        <v>3144</v>
      </c>
      <c r="E1021" t="s">
        <v>3145</v>
      </c>
      <c r="F1021" t="s">
        <v>93</v>
      </c>
      <c r="G1021" t="s">
        <v>2491</v>
      </c>
      <c r="H1021">
        <v>1488.396</v>
      </c>
      <c r="I1021">
        <v>1014</v>
      </c>
      <c r="M1021">
        <f t="shared" si="137"/>
        <v>0</v>
      </c>
      <c r="O1021" t="s">
        <v>93</v>
      </c>
      <c r="P1021" t="s">
        <v>93</v>
      </c>
      <c r="T1021">
        <f t="shared" si="138"/>
        <v>0</v>
      </c>
      <c r="V1021" t="s">
        <v>93</v>
      </c>
      <c r="W1021" t="s">
        <v>2492</v>
      </c>
      <c r="X1021">
        <v>300</v>
      </c>
      <c r="Y1021" t="s">
        <v>179</v>
      </c>
      <c r="Z1021">
        <v>-21</v>
      </c>
      <c r="AA1021" t="s">
        <v>95</v>
      </c>
      <c r="AB1021">
        <f t="shared" si="139"/>
        <v>-14.109148371804277</v>
      </c>
      <c r="AC1021" t="s">
        <v>93</v>
      </c>
      <c r="AD1021">
        <v>1</v>
      </c>
      <c r="AE1021" t="s">
        <v>95</v>
      </c>
      <c r="AF1021" t="s">
        <v>93</v>
      </c>
      <c r="AH1021" t="s">
        <v>93</v>
      </c>
      <c r="AI1021" t="s">
        <v>93</v>
      </c>
      <c r="AJ1021" t="s">
        <v>93</v>
      </c>
      <c r="AK1021" t="s">
        <v>93</v>
      </c>
      <c r="BC1021">
        <v>0.4</v>
      </c>
      <c r="BZ1021">
        <v>0.3</v>
      </c>
      <c r="CF1021">
        <v>0.3</v>
      </c>
      <c r="CR1021">
        <f t="shared" si="140"/>
        <v>0</v>
      </c>
      <c r="CS1021">
        <f t="shared" si="141"/>
        <v>0</v>
      </c>
      <c r="CT1021">
        <f t="shared" si="142"/>
        <v>-14.109148371804277</v>
      </c>
      <c r="CU1021" s="7">
        <f t="shared" si="143"/>
        <v>-14.109148371804277</v>
      </c>
      <c r="CV1021" s="9">
        <f t="shared" si="144"/>
        <v>1488.396</v>
      </c>
      <c r="CW1021" t="str">
        <f t="shared" si="145"/>
        <v>Au4In3Sn3</v>
      </c>
    </row>
    <row r="1022" spans="1:101" ht="15.75" thickBot="1" x14ac:dyDescent="0.3">
      <c r="A1022" t="s">
        <v>484</v>
      </c>
      <c r="B1022" t="s">
        <v>93</v>
      </c>
      <c r="C1022" t="s">
        <v>3138</v>
      </c>
      <c r="D1022" t="s">
        <v>3139</v>
      </c>
      <c r="F1022" t="s">
        <v>3140</v>
      </c>
      <c r="G1022" t="s">
        <v>2321</v>
      </c>
      <c r="H1022">
        <v>989.29960000000005</v>
      </c>
      <c r="I1022">
        <v>932</v>
      </c>
      <c r="M1022">
        <f t="shared" si="137"/>
        <v>0</v>
      </c>
      <c r="O1022" t="s">
        <v>93</v>
      </c>
      <c r="P1022" t="s">
        <v>93</v>
      </c>
      <c r="T1022">
        <f t="shared" si="138"/>
        <v>0</v>
      </c>
      <c r="V1022" t="s">
        <v>93</v>
      </c>
      <c r="W1022" t="s">
        <v>699</v>
      </c>
      <c r="X1022">
        <v>298</v>
      </c>
      <c r="Y1022" t="s">
        <v>700</v>
      </c>
      <c r="Z1022">
        <v>-13.9</v>
      </c>
      <c r="AA1022" t="s">
        <v>95</v>
      </c>
      <c r="AB1022">
        <f t="shared" si="139"/>
        <v>-14.050344304192583</v>
      </c>
      <c r="AC1022" t="s">
        <v>93</v>
      </c>
      <c r="AD1022">
        <v>2.8</v>
      </c>
      <c r="AE1022" t="s">
        <v>95</v>
      </c>
      <c r="AF1022" t="s">
        <v>93</v>
      </c>
      <c r="AH1022" t="s">
        <v>93</v>
      </c>
      <c r="AI1022" t="s">
        <v>93</v>
      </c>
      <c r="AJ1022" t="s">
        <v>93</v>
      </c>
      <c r="AK1022" t="s">
        <v>93</v>
      </c>
      <c r="AW1022">
        <v>0.372</v>
      </c>
      <c r="BG1022">
        <v>0.628</v>
      </c>
      <c r="CR1022">
        <f t="shared" si="140"/>
        <v>0</v>
      </c>
      <c r="CS1022">
        <f t="shared" si="141"/>
        <v>0</v>
      </c>
      <c r="CT1022">
        <f t="shared" si="142"/>
        <v>-14.050344304192583</v>
      </c>
      <c r="CU1022" s="7">
        <f t="shared" si="143"/>
        <v>-14.050344304192583</v>
      </c>
      <c r="CV1022" s="9">
        <f t="shared" si="144"/>
        <v>989.29960000000005</v>
      </c>
      <c r="CW1022" t="str">
        <f t="shared" si="145"/>
        <v>Co3Dy5</v>
      </c>
    </row>
    <row r="1023" spans="1:101" ht="15.75" thickBot="1" x14ac:dyDescent="0.3">
      <c r="A1023" t="s">
        <v>91</v>
      </c>
      <c r="B1023" t="s">
        <v>2440</v>
      </c>
      <c r="C1023" t="s">
        <v>3144</v>
      </c>
      <c r="E1023" t="s">
        <v>3145</v>
      </c>
      <c r="F1023" t="s">
        <v>93</v>
      </c>
      <c r="G1023" t="s">
        <v>2441</v>
      </c>
      <c r="H1023">
        <v>304.481999999999</v>
      </c>
      <c r="I1023">
        <v>990</v>
      </c>
      <c r="J1023">
        <v>15.40100983</v>
      </c>
      <c r="K1023" t="s">
        <v>95</v>
      </c>
      <c r="L1023">
        <v>3.9806375799999998</v>
      </c>
      <c r="M1023">
        <f t="shared" si="137"/>
        <v>13.073474228361652</v>
      </c>
      <c r="N1023" t="s">
        <v>95</v>
      </c>
      <c r="O1023" t="s">
        <v>2442</v>
      </c>
      <c r="P1023" t="s">
        <v>93</v>
      </c>
      <c r="Q1023">
        <v>15.040613309999999</v>
      </c>
      <c r="R1023" t="s">
        <v>95</v>
      </c>
      <c r="S1023">
        <v>0.62128534999999996</v>
      </c>
      <c r="T1023">
        <f t="shared" si="138"/>
        <v>2.0404665957265191</v>
      </c>
      <c r="U1023" t="s">
        <v>95</v>
      </c>
      <c r="V1023">
        <v>19462</v>
      </c>
      <c r="W1023" t="s">
        <v>184</v>
      </c>
      <c r="X1023">
        <v>298</v>
      </c>
      <c r="Y1023" t="s">
        <v>185</v>
      </c>
      <c r="Z1023">
        <v>-17.399999999999999</v>
      </c>
      <c r="AA1023" t="s">
        <v>95</v>
      </c>
      <c r="AB1023">
        <f t="shared" si="139"/>
        <v>-57.146235245433409</v>
      </c>
      <c r="AC1023" t="s">
        <v>93</v>
      </c>
      <c r="AD1023">
        <v>2.4</v>
      </c>
      <c r="AE1023" t="s">
        <v>95</v>
      </c>
      <c r="AF1023" t="s">
        <v>93</v>
      </c>
      <c r="AS1023">
        <v>0.25</v>
      </c>
      <c r="AX1023">
        <v>0.5</v>
      </c>
      <c r="CF1023">
        <v>0.25</v>
      </c>
      <c r="CR1023">
        <f t="shared" si="140"/>
        <v>13.073474228361652</v>
      </c>
      <c r="CS1023">
        <f t="shared" si="141"/>
        <v>2.0404665957265191</v>
      </c>
      <c r="CT1023">
        <f t="shared" si="142"/>
        <v>-57.146235245433409</v>
      </c>
      <c r="CU1023" s="7">
        <f t="shared" si="143"/>
        <v>-14.010764807115081</v>
      </c>
      <c r="CV1023" s="9">
        <f t="shared" si="144"/>
        <v>304.481999999999</v>
      </c>
      <c r="CW1023" t="str">
        <f t="shared" si="145"/>
        <v>Cu2NiSn</v>
      </c>
    </row>
    <row r="1024" spans="1:101" ht="15.75" thickBot="1" x14ac:dyDescent="0.3">
      <c r="A1024" t="s">
        <v>91</v>
      </c>
      <c r="B1024" t="s">
        <v>93</v>
      </c>
      <c r="C1024" t="s">
        <v>3144</v>
      </c>
      <c r="E1024" t="s">
        <v>3145</v>
      </c>
      <c r="F1024" t="s">
        <v>93</v>
      </c>
      <c r="G1024" t="s">
        <v>2136</v>
      </c>
      <c r="H1024">
        <v>1791.9299999999901</v>
      </c>
      <c r="I1024">
        <v>850</v>
      </c>
      <c r="J1024">
        <v>0.20774925</v>
      </c>
      <c r="K1024" t="s">
        <v>95</v>
      </c>
      <c r="L1024">
        <v>-24.391471299999999</v>
      </c>
      <c r="M1024">
        <f t="shared" si="137"/>
        <v>-13.611843822024374</v>
      </c>
      <c r="N1024" t="s">
        <v>95</v>
      </c>
      <c r="O1024" t="s">
        <v>2137</v>
      </c>
      <c r="P1024" t="s">
        <v>121</v>
      </c>
      <c r="Q1024">
        <v>0.20835972</v>
      </c>
      <c r="R1024" t="s">
        <v>95</v>
      </c>
      <c r="S1024">
        <v>-30.096824430000002</v>
      </c>
      <c r="T1024">
        <f t="shared" si="138"/>
        <v>-16.79575900286293</v>
      </c>
      <c r="U1024" t="s">
        <v>95</v>
      </c>
      <c r="V1024">
        <v>13860</v>
      </c>
      <c r="W1024" t="s">
        <v>2048</v>
      </c>
      <c r="X1024">
        <v>298</v>
      </c>
      <c r="Y1024" t="s">
        <v>2138</v>
      </c>
      <c r="Z1024">
        <v>-15</v>
      </c>
      <c r="AA1024" t="s">
        <v>95</v>
      </c>
      <c r="AB1024">
        <f t="shared" si="139"/>
        <v>-8.3708627011100241</v>
      </c>
      <c r="AC1024" t="s">
        <v>93</v>
      </c>
      <c r="AD1024">
        <v>1.9</v>
      </c>
      <c r="AE1024" t="s">
        <v>95</v>
      </c>
      <c r="AF1024" t="s">
        <v>93</v>
      </c>
      <c r="BB1024">
        <v>0.42</v>
      </c>
      <c r="CF1024">
        <v>0.57999999999999996</v>
      </c>
      <c r="CR1024">
        <f t="shared" si="140"/>
        <v>-13.611843822024374</v>
      </c>
      <c r="CS1024">
        <f t="shared" si="141"/>
        <v>-16.79575900286293</v>
      </c>
      <c r="CT1024">
        <f t="shared" si="142"/>
        <v>-8.3708627011100241</v>
      </c>
      <c r="CU1024" s="7">
        <f t="shared" si="143"/>
        <v>-12.926155175332445</v>
      </c>
      <c r="CV1024" s="9">
        <f t="shared" si="144"/>
        <v>1791.9299999999901</v>
      </c>
      <c r="CW1024" t="str">
        <f t="shared" si="145"/>
        <v>Ir5Sn7</v>
      </c>
    </row>
    <row r="1025" spans="1:101" ht="15.75" thickBot="1" x14ac:dyDescent="0.3">
      <c r="A1025" t="s">
        <v>484</v>
      </c>
      <c r="B1025" t="s">
        <v>93</v>
      </c>
      <c r="C1025" t="s">
        <v>3138</v>
      </c>
      <c r="D1025" t="s">
        <v>3139</v>
      </c>
      <c r="F1025" t="s">
        <v>3140</v>
      </c>
      <c r="G1025" t="s">
        <v>2325</v>
      </c>
      <c r="H1025">
        <v>560.71319999999901</v>
      </c>
      <c r="I1025">
        <v>935</v>
      </c>
      <c r="M1025">
        <f t="shared" si="137"/>
        <v>0</v>
      </c>
      <c r="O1025" t="s">
        <v>93</v>
      </c>
      <c r="P1025" t="s">
        <v>93</v>
      </c>
      <c r="T1025">
        <f t="shared" si="138"/>
        <v>0</v>
      </c>
      <c r="V1025" t="s">
        <v>93</v>
      </c>
      <c r="W1025" t="s">
        <v>699</v>
      </c>
      <c r="X1025">
        <v>298</v>
      </c>
      <c r="Y1025" t="s">
        <v>700</v>
      </c>
      <c r="Z1025">
        <v>-7</v>
      </c>
      <c r="AA1025" t="s">
        <v>95</v>
      </c>
      <c r="AB1025">
        <f t="shared" si="139"/>
        <v>-12.484100606156609</v>
      </c>
      <c r="AC1025" t="s">
        <v>93</v>
      </c>
      <c r="AD1025">
        <v>1.9</v>
      </c>
      <c r="AE1025" t="s">
        <v>95</v>
      </c>
      <c r="AF1025" t="s">
        <v>93</v>
      </c>
      <c r="AH1025" t="s">
        <v>93</v>
      </c>
      <c r="AI1025" t="s">
        <v>93</v>
      </c>
      <c r="AJ1025" t="s">
        <v>93</v>
      </c>
      <c r="AK1025" t="s">
        <v>93</v>
      </c>
      <c r="AW1025">
        <v>0.23899999999999999</v>
      </c>
      <c r="BH1025">
        <v>0.76100000000000001</v>
      </c>
      <c r="CR1025">
        <f t="shared" si="140"/>
        <v>0</v>
      </c>
      <c r="CS1025">
        <f t="shared" si="141"/>
        <v>0</v>
      </c>
      <c r="CT1025">
        <f t="shared" si="142"/>
        <v>-12.484100606156609</v>
      </c>
      <c r="CU1025" s="7">
        <f t="shared" si="143"/>
        <v>-12.484100606156609</v>
      </c>
      <c r="CV1025" s="9">
        <f t="shared" si="144"/>
        <v>560.71319999999901</v>
      </c>
      <c r="CW1025" t="str">
        <f t="shared" si="145"/>
        <v>CoEr3</v>
      </c>
    </row>
    <row r="1026" spans="1:101" ht="15.75" thickBot="1" x14ac:dyDescent="0.3">
      <c r="A1026" t="s">
        <v>91</v>
      </c>
      <c r="B1026" t="s">
        <v>1741</v>
      </c>
      <c r="C1026" t="s">
        <v>3144</v>
      </c>
      <c r="E1026" t="s">
        <v>3145</v>
      </c>
      <c r="F1026" t="s">
        <v>93</v>
      </c>
      <c r="G1026" t="s">
        <v>1742</v>
      </c>
      <c r="H1026">
        <v>280.37299999999999</v>
      </c>
      <c r="I1026">
        <v>666</v>
      </c>
      <c r="J1026">
        <v>3.0850337200000002</v>
      </c>
      <c r="K1026" t="s">
        <v>95</v>
      </c>
      <c r="L1026">
        <v>3.0850337200000002</v>
      </c>
      <c r="M1026">
        <f t="shared" ref="M1026:M1073" si="146">(1000/H1026)*L1026</f>
        <v>11.003319577848082</v>
      </c>
      <c r="N1026" t="s">
        <v>95</v>
      </c>
      <c r="O1026" t="s">
        <v>1743</v>
      </c>
      <c r="P1026" t="s">
        <v>93</v>
      </c>
      <c r="Q1026">
        <v>3.2707689800000002</v>
      </c>
      <c r="R1026" t="s">
        <v>95</v>
      </c>
      <c r="S1026">
        <v>3.2707689800000002</v>
      </c>
      <c r="T1026">
        <f t="shared" ref="T1026:T1073" si="147">(1000/H1026)*S1026</f>
        <v>11.665777303806003</v>
      </c>
      <c r="U1026" t="s">
        <v>95</v>
      </c>
      <c r="V1026">
        <v>643804</v>
      </c>
      <c r="W1026" t="s">
        <v>159</v>
      </c>
      <c r="X1026">
        <v>298</v>
      </c>
      <c r="Y1026" t="s">
        <v>160</v>
      </c>
      <c r="Z1026">
        <v>-16.7</v>
      </c>
      <c r="AA1026" t="s">
        <v>95</v>
      </c>
      <c r="AB1026">
        <f t="shared" ref="AB1026:AB1073" si="148">(1000/H1026)*Z1026</f>
        <v>-59.563510038413114</v>
      </c>
      <c r="AC1026" t="s">
        <v>93</v>
      </c>
      <c r="AD1026">
        <v>1.7</v>
      </c>
      <c r="AE1026" t="s">
        <v>95</v>
      </c>
      <c r="AF1026" t="s">
        <v>93</v>
      </c>
      <c r="AQ1026">
        <v>0.33</v>
      </c>
      <c r="BD1026">
        <v>0.66</v>
      </c>
      <c r="CR1026">
        <f t="shared" ref="CR1026:CR1073" si="149">VALUE(M1026)</f>
        <v>11.003319577848082</v>
      </c>
      <c r="CS1026">
        <f t="shared" ref="CS1026:CS1073" si="150">VALUE(T1026)</f>
        <v>11.665777303806003</v>
      </c>
      <c r="CT1026">
        <f t="shared" ref="CT1026:CT1073" si="151">VALUE(AB1026)</f>
        <v>-59.563510038413114</v>
      </c>
      <c r="CU1026" s="7">
        <f t="shared" ref="CU1026:CU1073" si="152">SUM(CR1026:CT1026)/(COUNTIF(CR1026:CT1026,"&lt;&gt;0")-COUNTBLANK(CR1026:CT1026)-(COUNTA(CR1026:CT1026)-COUNT(CR1026:CT1026)))</f>
        <v>-12.298137718919676</v>
      </c>
      <c r="CV1026" s="9">
        <f t="shared" si="144"/>
        <v>280.37299999999999</v>
      </c>
      <c r="CW1026" t="str">
        <f t="shared" si="145"/>
        <v>HfV2</v>
      </c>
    </row>
    <row r="1027" spans="1:101" ht="15.75" thickBot="1" x14ac:dyDescent="0.3">
      <c r="A1027" t="s">
        <v>91</v>
      </c>
      <c r="B1027" t="s">
        <v>417</v>
      </c>
      <c r="C1027" t="s">
        <v>3144</v>
      </c>
      <c r="E1027" t="s">
        <v>3145</v>
      </c>
      <c r="F1027" t="s">
        <v>93</v>
      </c>
      <c r="G1027" t="s">
        <v>418</v>
      </c>
      <c r="H1027">
        <v>838.8075</v>
      </c>
      <c r="I1027">
        <v>171</v>
      </c>
      <c r="M1027">
        <f t="shared" si="146"/>
        <v>0</v>
      </c>
      <c r="O1027" t="s">
        <v>93</v>
      </c>
      <c r="P1027" t="s">
        <v>121</v>
      </c>
      <c r="T1027">
        <f t="shared" si="147"/>
        <v>0</v>
      </c>
      <c r="V1027" t="s">
        <v>93</v>
      </c>
      <c r="W1027" t="s">
        <v>93</v>
      </c>
      <c r="X1027">
        <v>298</v>
      </c>
      <c r="Y1027" t="s">
        <v>93</v>
      </c>
      <c r="Z1027">
        <v>-9.7899999999999991</v>
      </c>
      <c r="AA1027" t="s">
        <v>95</v>
      </c>
      <c r="AB1027">
        <f t="shared" si="148"/>
        <v>-11.671331026487007</v>
      </c>
      <c r="AC1027" t="s">
        <v>93</v>
      </c>
      <c r="AD1027">
        <v>2.5</v>
      </c>
      <c r="AE1027" t="s">
        <v>95</v>
      </c>
      <c r="AF1027" t="s">
        <v>93</v>
      </c>
      <c r="AH1027" t="s">
        <v>93</v>
      </c>
      <c r="AI1027" t="s">
        <v>93</v>
      </c>
      <c r="AJ1027" t="s">
        <v>93</v>
      </c>
      <c r="AK1027" t="s">
        <v>93</v>
      </c>
      <c r="BC1027">
        <v>0.8</v>
      </c>
      <c r="BD1027">
        <v>0.2</v>
      </c>
      <c r="CR1027">
        <f t="shared" si="149"/>
        <v>0</v>
      </c>
      <c r="CS1027">
        <f t="shared" si="150"/>
        <v>0</v>
      </c>
      <c r="CT1027">
        <f t="shared" si="151"/>
        <v>-11.671331026487007</v>
      </c>
      <c r="CU1027" s="7">
        <f t="shared" si="152"/>
        <v>-11.671331026487007</v>
      </c>
      <c r="CV1027" s="9">
        <f t="shared" ref="CV1027:CV1073" si="153">H1027</f>
        <v>838.8075</v>
      </c>
      <c r="CW1027" t="str">
        <f t="shared" si="145"/>
        <v>Au4V</v>
      </c>
    </row>
    <row r="1028" spans="1:101" ht="15.75" thickBot="1" x14ac:dyDescent="0.3">
      <c r="A1028" t="s">
        <v>91</v>
      </c>
      <c r="B1028" t="s">
        <v>93</v>
      </c>
      <c r="C1028" t="s">
        <v>3144</v>
      </c>
      <c r="E1028" t="s">
        <v>3145</v>
      </c>
      <c r="F1028" t="s">
        <v>93</v>
      </c>
      <c r="G1028" t="s">
        <v>287</v>
      </c>
      <c r="H1028">
        <v>594.04953999999998</v>
      </c>
      <c r="I1028">
        <v>99</v>
      </c>
      <c r="M1028">
        <f t="shared" si="146"/>
        <v>0</v>
      </c>
      <c r="O1028" t="s">
        <v>93</v>
      </c>
      <c r="P1028" t="s">
        <v>93</v>
      </c>
      <c r="T1028">
        <f t="shared" si="147"/>
        <v>0</v>
      </c>
      <c r="V1028" t="s">
        <v>93</v>
      </c>
      <c r="W1028" t="s">
        <v>288</v>
      </c>
      <c r="X1028">
        <v>298</v>
      </c>
      <c r="Y1028" t="s">
        <v>185</v>
      </c>
      <c r="Z1028">
        <v>-6.61</v>
      </c>
      <c r="AA1028" t="s">
        <v>95</v>
      </c>
      <c r="AB1028">
        <f t="shared" si="148"/>
        <v>-11.127018127141383</v>
      </c>
      <c r="AC1028" t="s">
        <v>93</v>
      </c>
      <c r="AD1028">
        <v>1.6</v>
      </c>
      <c r="AE1028" t="s">
        <v>95</v>
      </c>
      <c r="AF1028" t="s">
        <v>93</v>
      </c>
      <c r="AH1028" t="s">
        <v>93</v>
      </c>
      <c r="AI1028" t="s">
        <v>93</v>
      </c>
      <c r="AJ1028" t="s">
        <v>93</v>
      </c>
      <c r="AK1028" t="s">
        <v>93</v>
      </c>
      <c r="AR1028">
        <v>0.1</v>
      </c>
      <c r="AS1028">
        <v>0.1</v>
      </c>
      <c r="AX1028">
        <v>0.8</v>
      </c>
      <c r="CR1028">
        <f t="shared" si="149"/>
        <v>0</v>
      </c>
      <c r="CS1028">
        <f t="shared" si="150"/>
        <v>0</v>
      </c>
      <c r="CT1028">
        <f t="shared" si="151"/>
        <v>-11.127018127141383</v>
      </c>
      <c r="CU1028" s="7">
        <f t="shared" si="152"/>
        <v>-11.127018127141383</v>
      </c>
      <c r="CV1028" s="9">
        <f t="shared" si="153"/>
        <v>594.04953999999998</v>
      </c>
      <c r="CW1028" t="str">
        <f t="shared" si="145"/>
        <v>AlCu8Ni</v>
      </c>
    </row>
    <row r="1029" spans="1:101" ht="15.75" thickBot="1" x14ac:dyDescent="0.3">
      <c r="A1029" t="s">
        <v>91</v>
      </c>
      <c r="B1029" t="s">
        <v>1735</v>
      </c>
      <c r="C1029" t="s">
        <v>3144</v>
      </c>
      <c r="E1029" t="s">
        <v>3145</v>
      </c>
      <c r="F1029" t="s">
        <v>93</v>
      </c>
      <c r="G1029" t="s">
        <v>1736</v>
      </c>
      <c r="H1029">
        <v>2272.0236</v>
      </c>
      <c r="I1029">
        <v>664</v>
      </c>
      <c r="M1029">
        <f t="shared" si="146"/>
        <v>0</v>
      </c>
      <c r="O1029" t="s">
        <v>93</v>
      </c>
      <c r="P1029" t="s">
        <v>93</v>
      </c>
      <c r="T1029">
        <f t="shared" si="147"/>
        <v>0</v>
      </c>
      <c r="V1029" t="s">
        <v>93</v>
      </c>
      <c r="W1029" t="s">
        <v>1737</v>
      </c>
      <c r="X1029">
        <v>298</v>
      </c>
      <c r="Y1029" t="s">
        <v>185</v>
      </c>
      <c r="Z1029">
        <v>-22.6</v>
      </c>
      <c r="AA1029" t="s">
        <v>95</v>
      </c>
      <c r="AB1029">
        <f t="shared" si="148"/>
        <v>-9.947079775051634</v>
      </c>
      <c r="AC1029" t="s">
        <v>93</v>
      </c>
      <c r="AD1029">
        <v>3</v>
      </c>
      <c r="AE1029" t="s">
        <v>95</v>
      </c>
      <c r="AF1029" t="s">
        <v>93</v>
      </c>
      <c r="AH1029" t="s">
        <v>93</v>
      </c>
      <c r="AI1029" t="s">
        <v>93</v>
      </c>
      <c r="AJ1029" t="s">
        <v>93</v>
      </c>
      <c r="AK1029" t="s">
        <v>93</v>
      </c>
      <c r="BM1029">
        <v>0.73299999999999998</v>
      </c>
      <c r="CR1029">
        <f t="shared" si="149"/>
        <v>0</v>
      </c>
      <c r="CS1029">
        <f t="shared" si="150"/>
        <v>0</v>
      </c>
      <c r="CT1029">
        <f t="shared" si="151"/>
        <v>-9.947079775051634</v>
      </c>
      <c r="CU1029" s="7">
        <f t="shared" si="152"/>
        <v>-9.947079775051634</v>
      </c>
      <c r="CV1029" s="9">
        <f t="shared" si="153"/>
        <v>2272.0236</v>
      </c>
      <c r="CW1029" t="str">
        <f t="shared" si="145"/>
        <v>Os11Sc4</v>
      </c>
    </row>
    <row r="1030" spans="1:101" ht="15.75" thickBot="1" x14ac:dyDescent="0.3">
      <c r="A1030" t="s">
        <v>91</v>
      </c>
      <c r="B1030" t="s">
        <v>2651</v>
      </c>
      <c r="C1030" t="s">
        <v>3144</v>
      </c>
      <c r="E1030" t="s">
        <v>3145</v>
      </c>
      <c r="F1030" t="s">
        <v>93</v>
      </c>
      <c r="G1030" t="s">
        <v>2652</v>
      </c>
      <c r="H1030">
        <v>453.59140000000002</v>
      </c>
      <c r="I1030">
        <v>1082</v>
      </c>
      <c r="J1030">
        <v>0</v>
      </c>
      <c r="K1030" t="s">
        <v>95</v>
      </c>
      <c r="L1030">
        <v>-9.4960178099999997</v>
      </c>
      <c r="M1030">
        <f t="shared" si="146"/>
        <v>-20.93518045095211</v>
      </c>
      <c r="N1030" t="s">
        <v>95</v>
      </c>
      <c r="O1030" t="s">
        <v>2653</v>
      </c>
      <c r="P1030" t="s">
        <v>121</v>
      </c>
      <c r="Q1030">
        <v>12.89525089</v>
      </c>
      <c r="R1030" t="s">
        <v>95</v>
      </c>
      <c r="S1030">
        <v>10.81355825</v>
      </c>
      <c r="T1030">
        <f t="shared" si="147"/>
        <v>23.839866121800366</v>
      </c>
      <c r="U1030" t="s">
        <v>95</v>
      </c>
      <c r="V1030">
        <v>31309</v>
      </c>
      <c r="W1030" t="s">
        <v>172</v>
      </c>
      <c r="X1030">
        <v>298</v>
      </c>
      <c r="Y1030" t="s">
        <v>170</v>
      </c>
      <c r="Z1030">
        <v>-14.7</v>
      </c>
      <c r="AA1030" t="s">
        <v>95</v>
      </c>
      <c r="AB1030">
        <f t="shared" si="148"/>
        <v>-32.408021845211344</v>
      </c>
      <c r="AC1030" t="s">
        <v>93</v>
      </c>
      <c r="AD1030">
        <v>2.7</v>
      </c>
      <c r="AE1030" t="s">
        <v>95</v>
      </c>
      <c r="AF1030" t="s">
        <v>93</v>
      </c>
      <c r="AW1030">
        <v>0.83</v>
      </c>
      <c r="BK1030">
        <v>0.17</v>
      </c>
      <c r="CR1030">
        <f t="shared" si="149"/>
        <v>-20.93518045095211</v>
      </c>
      <c r="CS1030">
        <f t="shared" si="150"/>
        <v>23.839866121800366</v>
      </c>
      <c r="CT1030">
        <f t="shared" si="151"/>
        <v>-32.408021845211344</v>
      </c>
      <c r="CU1030" s="7">
        <f t="shared" si="152"/>
        <v>-9.8344453914543628</v>
      </c>
      <c r="CV1030" s="9">
        <f t="shared" si="153"/>
        <v>453.59140000000002</v>
      </c>
      <c r="CW1030" t="str">
        <f t="shared" si="145"/>
        <v>TbCo5</v>
      </c>
    </row>
    <row r="1031" spans="1:101" ht="15.75" thickBot="1" x14ac:dyDescent="0.3">
      <c r="A1031" t="s">
        <v>91</v>
      </c>
      <c r="B1031" t="s">
        <v>2650</v>
      </c>
      <c r="C1031" t="s">
        <v>3144</v>
      </c>
      <c r="E1031" t="s">
        <v>3145</v>
      </c>
      <c r="F1031" t="s">
        <v>93</v>
      </c>
      <c r="G1031" t="s">
        <v>2329</v>
      </c>
      <c r="H1031">
        <v>451.916</v>
      </c>
      <c r="I1031">
        <v>1081</v>
      </c>
      <c r="M1031">
        <f t="shared" si="146"/>
        <v>0</v>
      </c>
      <c r="O1031" t="s">
        <v>93</v>
      </c>
      <c r="P1031" t="s">
        <v>93</v>
      </c>
      <c r="Q1031">
        <v>9.2868370999999996</v>
      </c>
      <c r="R1031" t="s">
        <v>95</v>
      </c>
      <c r="S1031">
        <v>1.2302591700000001</v>
      </c>
      <c r="T1031">
        <f t="shared" si="147"/>
        <v>2.7223182405579798</v>
      </c>
      <c r="U1031" t="s">
        <v>95</v>
      </c>
      <c r="V1031">
        <v>18800</v>
      </c>
      <c r="W1031" t="s">
        <v>172</v>
      </c>
      <c r="X1031">
        <v>298</v>
      </c>
      <c r="Y1031" t="s">
        <v>170</v>
      </c>
      <c r="Z1031">
        <v>-10</v>
      </c>
      <c r="AA1031" t="s">
        <v>95</v>
      </c>
      <c r="AB1031">
        <f t="shared" si="148"/>
        <v>-22.128006089627274</v>
      </c>
      <c r="AC1031" t="s">
        <v>93</v>
      </c>
      <c r="AD1031">
        <v>2.4</v>
      </c>
      <c r="AE1031" t="s">
        <v>95</v>
      </c>
      <c r="AF1031" t="s">
        <v>93</v>
      </c>
      <c r="AH1031" t="s">
        <v>93</v>
      </c>
      <c r="AI1031" t="s">
        <v>93</v>
      </c>
      <c r="AW1031">
        <v>0.83</v>
      </c>
      <c r="BI1031">
        <v>0.17</v>
      </c>
      <c r="CR1031">
        <f t="shared" si="149"/>
        <v>0</v>
      </c>
      <c r="CS1031">
        <f t="shared" si="150"/>
        <v>2.7223182405579798</v>
      </c>
      <c r="CT1031">
        <f t="shared" si="151"/>
        <v>-22.128006089627274</v>
      </c>
      <c r="CU1031" s="7">
        <f t="shared" si="152"/>
        <v>-9.7028439245346476</v>
      </c>
      <c r="CV1031" s="9">
        <f t="shared" si="153"/>
        <v>451.916</v>
      </c>
      <c r="CW1031" t="str">
        <f t="shared" si="145"/>
        <v>Co5Gd</v>
      </c>
    </row>
    <row r="1032" spans="1:101" ht="15.75" thickBot="1" x14ac:dyDescent="0.3">
      <c r="A1032" t="s">
        <v>91</v>
      </c>
      <c r="B1032" t="s">
        <v>1570</v>
      </c>
      <c r="C1032" t="s">
        <v>3144</v>
      </c>
      <c r="E1032" t="s">
        <v>3145</v>
      </c>
      <c r="F1032" t="s">
        <v>93</v>
      </c>
      <c r="G1032" t="s">
        <v>1571</v>
      </c>
      <c r="H1032">
        <v>400.49950000000001</v>
      </c>
      <c r="I1032">
        <v>603</v>
      </c>
      <c r="J1032">
        <v>29.885962169999999</v>
      </c>
      <c r="K1032" t="s">
        <v>95</v>
      </c>
      <c r="L1032">
        <v>10.48395328</v>
      </c>
      <c r="M1032">
        <f t="shared" si="146"/>
        <v>26.177194428457462</v>
      </c>
      <c r="N1032" t="s">
        <v>95</v>
      </c>
      <c r="O1032" t="s">
        <v>1572</v>
      </c>
      <c r="P1032" t="s">
        <v>93</v>
      </c>
      <c r="Q1032">
        <v>11.45671016</v>
      </c>
      <c r="R1032" t="s">
        <v>95</v>
      </c>
      <c r="S1032">
        <v>-9.1788034700000001</v>
      </c>
      <c r="T1032">
        <f t="shared" si="147"/>
        <v>-22.918389336316274</v>
      </c>
      <c r="U1032" t="s">
        <v>95</v>
      </c>
      <c r="V1032">
        <v>10376</v>
      </c>
      <c r="W1032" t="s">
        <v>846</v>
      </c>
      <c r="X1032">
        <v>298</v>
      </c>
      <c r="Y1032" t="s">
        <v>190</v>
      </c>
      <c r="Z1032">
        <v>-12.7</v>
      </c>
      <c r="AA1032" t="s">
        <v>95</v>
      </c>
      <c r="AB1032">
        <f t="shared" si="148"/>
        <v>-31.710401635957094</v>
      </c>
      <c r="AC1032" t="s">
        <v>93</v>
      </c>
      <c r="AD1032">
        <v>2.5</v>
      </c>
      <c r="AE1032" t="s">
        <v>95</v>
      </c>
      <c r="AF1032" t="s">
        <v>93</v>
      </c>
      <c r="BT1032">
        <v>0.66</v>
      </c>
      <c r="BX1032">
        <v>0.33</v>
      </c>
      <c r="CR1032">
        <f t="shared" si="149"/>
        <v>26.177194428457462</v>
      </c>
      <c r="CS1032">
        <f t="shared" si="150"/>
        <v>-22.918389336316274</v>
      </c>
      <c r="CT1032">
        <f t="shared" si="151"/>
        <v>-31.710401635957094</v>
      </c>
      <c r="CU1032" s="7">
        <f t="shared" si="152"/>
        <v>-9.4838655146053021</v>
      </c>
      <c r="CV1032" s="9">
        <f t="shared" si="153"/>
        <v>400.49950000000001</v>
      </c>
      <c r="CW1032" t="str">
        <f t="shared" si="145"/>
        <v>Re2Si</v>
      </c>
    </row>
    <row r="1033" spans="1:101" ht="15.75" thickBot="1" x14ac:dyDescent="0.3">
      <c r="A1033" t="s">
        <v>91</v>
      </c>
      <c r="B1033" t="s">
        <v>2173</v>
      </c>
      <c r="C1033" t="s">
        <v>3144</v>
      </c>
      <c r="E1033" t="s">
        <v>3145</v>
      </c>
      <c r="F1033" t="s">
        <v>93</v>
      </c>
      <c r="G1033" t="s">
        <v>2174</v>
      </c>
      <c r="H1033">
        <v>477.75</v>
      </c>
      <c r="I1033">
        <v>865</v>
      </c>
      <c r="J1033">
        <v>10.72434872</v>
      </c>
      <c r="K1033" t="s">
        <v>95</v>
      </c>
      <c r="L1033">
        <v>1.1231675299999999</v>
      </c>
      <c r="M1033">
        <f t="shared" si="146"/>
        <v>2.3509524437467291</v>
      </c>
      <c r="N1033" t="s">
        <v>95</v>
      </c>
      <c r="O1033" t="s">
        <v>2175</v>
      </c>
      <c r="P1033" t="s">
        <v>93</v>
      </c>
      <c r="Q1033">
        <v>11.716048170000001</v>
      </c>
      <c r="R1033" t="s">
        <v>95</v>
      </c>
      <c r="S1033">
        <v>1.1060641600000001</v>
      </c>
      <c r="T1033">
        <f t="shared" si="147"/>
        <v>2.3151526111983256</v>
      </c>
      <c r="U1033" t="s">
        <v>95</v>
      </c>
      <c r="V1033">
        <v>13726</v>
      </c>
      <c r="W1033" t="s">
        <v>1362</v>
      </c>
      <c r="X1033">
        <v>298</v>
      </c>
      <c r="Y1033" t="s">
        <v>480</v>
      </c>
      <c r="Z1033">
        <v>-15.7</v>
      </c>
      <c r="AA1033" t="s">
        <v>95</v>
      </c>
      <c r="AB1033">
        <f t="shared" si="148"/>
        <v>-32.862375719518575</v>
      </c>
      <c r="AC1033" t="s">
        <v>93</v>
      </c>
      <c r="AD1033">
        <v>1.1000000000000001</v>
      </c>
      <c r="AE1033" t="s">
        <v>95</v>
      </c>
      <c r="AF1033" t="s">
        <v>93</v>
      </c>
      <c r="BV1033">
        <v>0.625</v>
      </c>
      <c r="CA1033">
        <v>0.375</v>
      </c>
      <c r="CR1033">
        <f t="shared" si="149"/>
        <v>2.3509524437467291</v>
      </c>
      <c r="CS1033">
        <f t="shared" si="150"/>
        <v>2.3151526111983256</v>
      </c>
      <c r="CT1033">
        <f t="shared" si="151"/>
        <v>-32.862375719518575</v>
      </c>
      <c r="CU1033" s="7">
        <f t="shared" si="152"/>
        <v>-9.3987568881911727</v>
      </c>
      <c r="CV1033" s="9">
        <f t="shared" si="153"/>
        <v>477.75</v>
      </c>
      <c r="CW1033" t="str">
        <f t="shared" si="145"/>
        <v>Cr5Ge3</v>
      </c>
    </row>
    <row r="1034" spans="1:101" ht="15.75" thickBot="1" x14ac:dyDescent="0.3">
      <c r="A1034" t="s">
        <v>91</v>
      </c>
      <c r="B1034" t="s">
        <v>2513</v>
      </c>
      <c r="C1034" t="s">
        <v>3144</v>
      </c>
      <c r="E1034" t="s">
        <v>3145</v>
      </c>
      <c r="G1034" t="s">
        <v>2514</v>
      </c>
      <c r="H1034">
        <v>641.11699999999996</v>
      </c>
      <c r="I1034">
        <v>1022</v>
      </c>
      <c r="J1034">
        <v>19.368321439999999</v>
      </c>
      <c r="K1034" t="s">
        <v>95</v>
      </c>
      <c r="L1034">
        <v>7.8131439800000004</v>
      </c>
      <c r="M1034">
        <f t="shared" si="146"/>
        <v>12.186767750660177</v>
      </c>
      <c r="N1034" t="s">
        <v>95</v>
      </c>
      <c r="O1034" t="s">
        <v>2515</v>
      </c>
      <c r="P1034" t="s">
        <v>93</v>
      </c>
      <c r="Q1034">
        <v>0</v>
      </c>
      <c r="R1034" t="s">
        <v>95</v>
      </c>
      <c r="S1034">
        <v>-19.35337123</v>
      </c>
      <c r="T1034">
        <f t="shared" si="147"/>
        <v>-30.186956873706361</v>
      </c>
      <c r="U1034" t="s">
        <v>95</v>
      </c>
      <c r="V1034">
        <v>7825</v>
      </c>
      <c r="W1034" t="s">
        <v>194</v>
      </c>
      <c r="X1034">
        <v>998</v>
      </c>
      <c r="Y1034" t="s">
        <v>103</v>
      </c>
      <c r="AB1034">
        <f t="shared" si="148"/>
        <v>0</v>
      </c>
      <c r="AC1034" t="s">
        <v>93</v>
      </c>
      <c r="AD1034">
        <v>1</v>
      </c>
      <c r="AE1034" t="s">
        <v>95</v>
      </c>
      <c r="AF1034" t="s">
        <v>93</v>
      </c>
      <c r="AT1034">
        <v>0.25</v>
      </c>
      <c r="AY1034">
        <v>0.75</v>
      </c>
      <c r="CG1034">
        <v>-23.7</v>
      </c>
      <c r="CH1034" t="s">
        <v>95</v>
      </c>
      <c r="CI1034" t="s">
        <v>93</v>
      </c>
      <c r="CR1034">
        <f t="shared" si="149"/>
        <v>12.186767750660177</v>
      </c>
      <c r="CS1034">
        <f t="shared" si="150"/>
        <v>-30.186956873706361</v>
      </c>
      <c r="CT1034">
        <f t="shared" si="151"/>
        <v>0</v>
      </c>
      <c r="CU1034" s="7">
        <f t="shared" si="152"/>
        <v>-9.0000945615230918</v>
      </c>
      <c r="CV1034" s="9">
        <f t="shared" si="153"/>
        <v>641.11699999999996</v>
      </c>
      <c r="CW1034" t="str">
        <f t="shared" si="145"/>
        <v>FePt3</v>
      </c>
    </row>
    <row r="1035" spans="1:101" ht="15.75" thickBot="1" x14ac:dyDescent="0.3">
      <c r="A1035" t="s">
        <v>91</v>
      </c>
      <c r="B1035" t="s">
        <v>1730</v>
      </c>
      <c r="C1035" t="s">
        <v>3144</v>
      </c>
      <c r="E1035" t="s">
        <v>3145</v>
      </c>
      <c r="F1035" t="s">
        <v>93</v>
      </c>
      <c r="G1035" t="s">
        <v>1731</v>
      </c>
      <c r="H1035">
        <v>697.29949999999997</v>
      </c>
      <c r="I1035">
        <v>662</v>
      </c>
      <c r="M1035">
        <f t="shared" si="146"/>
        <v>0</v>
      </c>
      <c r="O1035" t="s">
        <v>93</v>
      </c>
      <c r="P1035" t="s">
        <v>93</v>
      </c>
      <c r="Q1035">
        <v>3.32376643</v>
      </c>
      <c r="R1035" t="s">
        <v>95</v>
      </c>
      <c r="S1035">
        <v>-4.1625642799999998</v>
      </c>
      <c r="T1035">
        <f t="shared" si="147"/>
        <v>-5.9695500713825265</v>
      </c>
      <c r="U1035" t="s">
        <v>95</v>
      </c>
      <c r="V1035">
        <v>313826</v>
      </c>
      <c r="W1035" t="s">
        <v>194</v>
      </c>
      <c r="X1035">
        <v>298</v>
      </c>
      <c r="Y1035" t="s">
        <v>185</v>
      </c>
      <c r="Z1035">
        <v>-7.9</v>
      </c>
      <c r="AA1035" t="s">
        <v>95</v>
      </c>
      <c r="AB1035">
        <f t="shared" si="148"/>
        <v>-11.329421575664403</v>
      </c>
      <c r="AC1035" t="s">
        <v>93</v>
      </c>
      <c r="AD1035">
        <v>1.9</v>
      </c>
      <c r="AE1035" t="s">
        <v>95</v>
      </c>
      <c r="AF1035" t="s">
        <v>93</v>
      </c>
      <c r="AH1035" t="s">
        <v>93</v>
      </c>
      <c r="AI1035" t="s">
        <v>93</v>
      </c>
      <c r="AZ1035">
        <v>0.25</v>
      </c>
      <c r="BC1035">
        <v>0.75</v>
      </c>
      <c r="CR1035">
        <f t="shared" si="149"/>
        <v>0</v>
      </c>
      <c r="CS1035">
        <f t="shared" si="150"/>
        <v>-5.9695500713825265</v>
      </c>
      <c r="CT1035">
        <f t="shared" si="151"/>
        <v>-11.329421575664403</v>
      </c>
      <c r="CU1035" s="7">
        <f t="shared" si="152"/>
        <v>-8.6494858235234648</v>
      </c>
      <c r="CV1035" s="9">
        <f t="shared" si="153"/>
        <v>697.29949999999997</v>
      </c>
      <c r="CW1035" t="str">
        <f t="shared" si="145"/>
        <v>PdAu3</v>
      </c>
    </row>
    <row r="1036" spans="1:101" ht="15.75" thickBot="1" x14ac:dyDescent="0.3">
      <c r="A1036" t="s">
        <v>484</v>
      </c>
      <c r="B1036" t="s">
        <v>93</v>
      </c>
      <c r="C1036" t="s">
        <v>3138</v>
      </c>
      <c r="D1036" t="s">
        <v>3139</v>
      </c>
      <c r="F1036" t="s">
        <v>3140</v>
      </c>
      <c r="G1036" t="s">
        <v>2315</v>
      </c>
      <c r="H1036">
        <v>1326.8643999999999</v>
      </c>
      <c r="I1036">
        <v>929</v>
      </c>
      <c r="M1036">
        <f t="shared" si="146"/>
        <v>0</v>
      </c>
      <c r="O1036" t="s">
        <v>93</v>
      </c>
      <c r="P1036" t="s">
        <v>93</v>
      </c>
      <c r="T1036">
        <f t="shared" si="147"/>
        <v>0</v>
      </c>
      <c r="V1036" t="s">
        <v>93</v>
      </c>
      <c r="W1036" t="s">
        <v>2316</v>
      </c>
      <c r="X1036">
        <v>298</v>
      </c>
      <c r="Y1036" t="s">
        <v>700</v>
      </c>
      <c r="Z1036">
        <v>-8.6999999999999993</v>
      </c>
      <c r="AA1036" t="s">
        <v>95</v>
      </c>
      <c r="AB1036">
        <f t="shared" si="148"/>
        <v>-6.556811683243593</v>
      </c>
      <c r="AC1036" t="s">
        <v>93</v>
      </c>
      <c r="AD1036">
        <v>1.1000000000000001</v>
      </c>
      <c r="AE1036" t="s">
        <v>95</v>
      </c>
      <c r="AF1036" t="s">
        <v>93</v>
      </c>
      <c r="AH1036" t="s">
        <v>93</v>
      </c>
      <c r="AI1036" t="s">
        <v>93</v>
      </c>
      <c r="AJ1036" t="s">
        <v>93</v>
      </c>
      <c r="AK1036" t="s">
        <v>93</v>
      </c>
      <c r="AW1036">
        <v>0.89800000000000002</v>
      </c>
      <c r="BG1036">
        <v>0.10199999999999999</v>
      </c>
      <c r="CR1036">
        <f t="shared" si="149"/>
        <v>0</v>
      </c>
      <c r="CS1036">
        <f t="shared" si="150"/>
        <v>0</v>
      </c>
      <c r="CT1036">
        <f t="shared" si="151"/>
        <v>-6.556811683243593</v>
      </c>
      <c r="CU1036" s="7">
        <f t="shared" si="152"/>
        <v>-6.556811683243593</v>
      </c>
      <c r="CV1036" s="9">
        <f t="shared" si="153"/>
        <v>1326.8643999999999</v>
      </c>
      <c r="CW1036" t="str">
        <f t="shared" si="145"/>
        <v>Co17Dy2</v>
      </c>
    </row>
    <row r="1037" spans="1:101" ht="15.75" thickBot="1" x14ac:dyDescent="0.3">
      <c r="A1037" t="s">
        <v>91</v>
      </c>
      <c r="B1037" t="s">
        <v>1751</v>
      </c>
      <c r="C1037" t="s">
        <v>3144</v>
      </c>
      <c r="E1037" t="s">
        <v>3145</v>
      </c>
      <c r="F1037" t="s">
        <v>93</v>
      </c>
      <c r="G1037" t="s">
        <v>1752</v>
      </c>
      <c r="H1037">
        <v>948.36739999999998</v>
      </c>
      <c r="I1037">
        <v>669</v>
      </c>
      <c r="M1037">
        <f t="shared" si="146"/>
        <v>0</v>
      </c>
      <c r="O1037" t="s">
        <v>93</v>
      </c>
      <c r="P1037" t="s">
        <v>93</v>
      </c>
      <c r="T1037">
        <f t="shared" si="147"/>
        <v>0</v>
      </c>
      <c r="V1037" t="s">
        <v>93</v>
      </c>
      <c r="W1037" t="s">
        <v>1753</v>
      </c>
      <c r="X1037">
        <v>298</v>
      </c>
      <c r="Y1037" t="s">
        <v>700</v>
      </c>
      <c r="Z1037">
        <v>-6.2</v>
      </c>
      <c r="AA1037" t="s">
        <v>95</v>
      </c>
      <c r="AB1037">
        <f t="shared" si="148"/>
        <v>-6.5375507424654202</v>
      </c>
      <c r="AC1037" t="s">
        <v>93</v>
      </c>
      <c r="AD1037">
        <v>1.8</v>
      </c>
      <c r="AE1037" t="s">
        <v>95</v>
      </c>
      <c r="AF1037" t="s">
        <v>93</v>
      </c>
      <c r="AH1037" t="s">
        <v>93</v>
      </c>
      <c r="AI1037" t="s">
        <v>93</v>
      </c>
      <c r="AJ1037" t="s">
        <v>93</v>
      </c>
      <c r="AK1037" t="s">
        <v>93</v>
      </c>
      <c r="AT1037">
        <v>0.53800000000000003</v>
      </c>
      <c r="AU1037">
        <v>0.46200000000000002</v>
      </c>
      <c r="CR1037">
        <f t="shared" si="149"/>
        <v>0</v>
      </c>
      <c r="CS1037">
        <f t="shared" si="150"/>
        <v>0</v>
      </c>
      <c r="CT1037">
        <f t="shared" si="151"/>
        <v>-6.5375507424654202</v>
      </c>
      <c r="CU1037" s="7">
        <f t="shared" si="152"/>
        <v>-6.5375507424654202</v>
      </c>
      <c r="CV1037" s="9">
        <f t="shared" si="153"/>
        <v>948.36739999999998</v>
      </c>
      <c r="CW1037" t="str">
        <f t="shared" si="145"/>
        <v>Fe7Nb6</v>
      </c>
    </row>
    <row r="1038" spans="1:101" ht="15.75" thickBot="1" x14ac:dyDescent="0.3">
      <c r="A1038" t="s">
        <v>91</v>
      </c>
      <c r="B1038" t="s">
        <v>2468</v>
      </c>
      <c r="C1038" t="s">
        <v>3144</v>
      </c>
      <c r="E1038" t="s">
        <v>3145</v>
      </c>
      <c r="F1038" t="s">
        <v>93</v>
      </c>
      <c r="G1038" t="s">
        <v>2469</v>
      </c>
      <c r="H1038">
        <v>296.849999999999</v>
      </c>
      <c r="I1038">
        <v>1002</v>
      </c>
      <c r="J1038">
        <v>7.5766331300000003</v>
      </c>
      <c r="K1038" t="s">
        <v>95</v>
      </c>
      <c r="L1038">
        <v>6.7246090799999996</v>
      </c>
      <c r="M1038">
        <f t="shared" si="146"/>
        <v>22.653222435573596</v>
      </c>
      <c r="N1038" t="s">
        <v>95</v>
      </c>
      <c r="O1038" t="s">
        <v>2470</v>
      </c>
      <c r="P1038" t="s">
        <v>93</v>
      </c>
      <c r="Q1038">
        <v>7.4969116700000002</v>
      </c>
      <c r="R1038" t="s">
        <v>95</v>
      </c>
      <c r="S1038">
        <v>6.3569478799999999</v>
      </c>
      <c r="T1038">
        <f t="shared" si="147"/>
        <v>21.414680410982047</v>
      </c>
      <c r="U1038" t="s">
        <v>95</v>
      </c>
      <c r="V1038">
        <v>29699</v>
      </c>
      <c r="W1038" t="s">
        <v>184</v>
      </c>
      <c r="X1038">
        <v>298</v>
      </c>
      <c r="Y1038" t="s">
        <v>185</v>
      </c>
      <c r="Z1038">
        <v>-18.8</v>
      </c>
      <c r="AA1038" t="s">
        <v>95</v>
      </c>
      <c r="AB1038">
        <f t="shared" si="148"/>
        <v>-63.331648980967032</v>
      </c>
      <c r="AC1038" t="s">
        <v>93</v>
      </c>
      <c r="AD1038">
        <v>3.5</v>
      </c>
      <c r="AE1038" t="s">
        <v>95</v>
      </c>
      <c r="AF1038" t="s">
        <v>93</v>
      </c>
      <c r="AX1038">
        <v>0.5</v>
      </c>
      <c r="BR1038">
        <v>0.25</v>
      </c>
      <c r="BZ1038">
        <v>0.25</v>
      </c>
      <c r="CR1038">
        <f t="shared" si="149"/>
        <v>22.653222435573596</v>
      </c>
      <c r="CS1038">
        <f t="shared" si="150"/>
        <v>21.414680410982047</v>
      </c>
      <c r="CT1038">
        <f t="shared" si="151"/>
        <v>-63.331648980967032</v>
      </c>
      <c r="CU1038" s="7">
        <f t="shared" si="152"/>
        <v>-6.4212487114704642</v>
      </c>
      <c r="CV1038" s="9">
        <f t="shared" si="153"/>
        <v>296.849999999999</v>
      </c>
      <c r="CW1038" t="str">
        <f t="shared" si="145"/>
        <v>MnInCu2</v>
      </c>
    </row>
    <row r="1039" spans="1:101" ht="15.75" thickBot="1" x14ac:dyDescent="0.3">
      <c r="A1039" t="s">
        <v>91</v>
      </c>
      <c r="B1039" t="s">
        <v>2639</v>
      </c>
      <c r="C1039" t="s">
        <v>3144</v>
      </c>
      <c r="E1039" t="s">
        <v>3145</v>
      </c>
      <c r="F1039" t="s">
        <v>93</v>
      </c>
      <c r="G1039" t="s">
        <v>2640</v>
      </c>
      <c r="H1039">
        <v>438.90600000000001</v>
      </c>
      <c r="I1039">
        <v>1077</v>
      </c>
      <c r="J1039">
        <v>1.7948567900000001</v>
      </c>
      <c r="K1039" t="s">
        <v>95</v>
      </c>
      <c r="L1039">
        <v>-2.7827556900000001</v>
      </c>
      <c r="M1039">
        <f t="shared" si="146"/>
        <v>-6.3402088146436828</v>
      </c>
      <c r="N1039" t="s">
        <v>95</v>
      </c>
      <c r="O1039" t="s">
        <v>2641</v>
      </c>
      <c r="P1039" t="s">
        <v>93</v>
      </c>
      <c r="Q1039">
        <v>11.227127250000001</v>
      </c>
      <c r="R1039" t="s">
        <v>95</v>
      </c>
      <c r="S1039">
        <v>7.3170189800000003</v>
      </c>
      <c r="T1039">
        <f t="shared" si="147"/>
        <v>16.67103885570031</v>
      </c>
      <c r="U1039" t="s">
        <v>95</v>
      </c>
      <c r="V1039">
        <v>18557</v>
      </c>
      <c r="W1039" t="s">
        <v>172</v>
      </c>
      <c r="X1039">
        <v>298</v>
      </c>
      <c r="Y1039" t="s">
        <v>170</v>
      </c>
      <c r="Z1039">
        <v>-12.7</v>
      </c>
      <c r="AA1039" t="s">
        <v>95</v>
      </c>
      <c r="AB1039">
        <f t="shared" si="148"/>
        <v>-28.93558073938383</v>
      </c>
      <c r="AC1039" t="s">
        <v>93</v>
      </c>
      <c r="AD1039">
        <v>2.6</v>
      </c>
      <c r="AE1039" t="s">
        <v>95</v>
      </c>
      <c r="AF1039" t="s">
        <v>93</v>
      </c>
      <c r="AO1039">
        <v>0.17</v>
      </c>
      <c r="AW1039">
        <v>0.83</v>
      </c>
      <c r="CR1039">
        <f t="shared" si="149"/>
        <v>-6.3402088146436828</v>
      </c>
      <c r="CS1039">
        <f t="shared" si="150"/>
        <v>16.67103885570031</v>
      </c>
      <c r="CT1039">
        <f t="shared" si="151"/>
        <v>-28.93558073938383</v>
      </c>
      <c r="CU1039" s="7">
        <f t="shared" si="152"/>
        <v>-6.2015835661090675</v>
      </c>
      <c r="CV1039" s="9">
        <f t="shared" si="153"/>
        <v>438.90600000000001</v>
      </c>
      <c r="CW1039" t="str">
        <f t="shared" si="145"/>
        <v>NdCo5</v>
      </c>
    </row>
    <row r="1040" spans="1:101" ht="15.75" thickBot="1" x14ac:dyDescent="0.3">
      <c r="A1040" t="s">
        <v>91</v>
      </c>
      <c r="B1040" t="s">
        <v>2654</v>
      </c>
      <c r="C1040" t="s">
        <v>3144</v>
      </c>
      <c r="E1040" t="s">
        <v>3145</v>
      </c>
      <c r="F1040" t="s">
        <v>93</v>
      </c>
      <c r="G1040" t="s">
        <v>2315</v>
      </c>
      <c r="H1040">
        <v>1326.8643999999999</v>
      </c>
      <c r="I1040">
        <v>1084</v>
      </c>
      <c r="M1040">
        <f t="shared" si="146"/>
        <v>0</v>
      </c>
      <c r="O1040" t="s">
        <v>93</v>
      </c>
      <c r="P1040" t="s">
        <v>2371</v>
      </c>
      <c r="T1040">
        <f t="shared" si="147"/>
        <v>0</v>
      </c>
      <c r="V1040" t="s">
        <v>93</v>
      </c>
      <c r="W1040" t="s">
        <v>93</v>
      </c>
      <c r="X1040">
        <v>298</v>
      </c>
      <c r="Y1040" t="s">
        <v>93</v>
      </c>
      <c r="Z1040">
        <v>-8.1</v>
      </c>
      <c r="AA1040" t="s">
        <v>95</v>
      </c>
      <c r="AB1040">
        <f t="shared" si="148"/>
        <v>-6.1046177740543799</v>
      </c>
      <c r="AC1040" t="s">
        <v>93</v>
      </c>
      <c r="AD1040">
        <v>2.9</v>
      </c>
      <c r="AE1040" t="s">
        <v>95</v>
      </c>
      <c r="AF1040" t="s">
        <v>93</v>
      </c>
      <c r="AH1040" t="s">
        <v>93</v>
      </c>
      <c r="AI1040" t="s">
        <v>93</v>
      </c>
      <c r="AJ1040" t="s">
        <v>93</v>
      </c>
      <c r="AK1040" t="s">
        <v>93</v>
      </c>
      <c r="AW1040">
        <v>0.83</v>
      </c>
      <c r="BG1040">
        <v>0.17</v>
      </c>
      <c r="CR1040">
        <f t="shared" si="149"/>
        <v>0</v>
      </c>
      <c r="CS1040">
        <f t="shared" si="150"/>
        <v>0</v>
      </c>
      <c r="CT1040">
        <f t="shared" si="151"/>
        <v>-6.1046177740543799</v>
      </c>
      <c r="CU1040" s="7">
        <f t="shared" si="152"/>
        <v>-6.1046177740543799</v>
      </c>
      <c r="CV1040" s="9">
        <f t="shared" si="153"/>
        <v>1326.8643999999999</v>
      </c>
      <c r="CW1040" t="str">
        <f t="shared" si="145"/>
        <v>Co17Dy2</v>
      </c>
    </row>
    <row r="1041" spans="1:101" ht="15.75" thickBot="1" x14ac:dyDescent="0.3">
      <c r="A1041" t="s">
        <v>91</v>
      </c>
      <c r="B1041" t="s">
        <v>2654</v>
      </c>
      <c r="C1041" t="s">
        <v>3144</v>
      </c>
      <c r="E1041" t="s">
        <v>3145</v>
      </c>
      <c r="F1041" t="s">
        <v>93</v>
      </c>
      <c r="G1041" t="s">
        <v>2655</v>
      </c>
      <c r="H1041">
        <v>1319.7151999999901</v>
      </c>
      <c r="I1041">
        <v>1083</v>
      </c>
      <c r="M1041">
        <f t="shared" si="146"/>
        <v>0</v>
      </c>
      <c r="O1041" t="s">
        <v>93</v>
      </c>
      <c r="P1041" t="s">
        <v>2371</v>
      </c>
      <c r="T1041">
        <f t="shared" si="147"/>
        <v>0</v>
      </c>
      <c r="V1041" t="s">
        <v>93</v>
      </c>
      <c r="W1041" t="s">
        <v>93</v>
      </c>
      <c r="X1041">
        <v>298</v>
      </c>
      <c r="Y1041" t="s">
        <v>93</v>
      </c>
      <c r="Z1041">
        <v>-7.7</v>
      </c>
      <c r="AA1041" t="s">
        <v>95</v>
      </c>
      <c r="AB1041">
        <f t="shared" si="148"/>
        <v>-5.8345921907999978</v>
      </c>
      <c r="AC1041" t="s">
        <v>93</v>
      </c>
      <c r="AD1041">
        <v>2.9</v>
      </c>
      <c r="AE1041" t="s">
        <v>95</v>
      </c>
      <c r="AF1041" t="s">
        <v>93</v>
      </c>
      <c r="AH1041" t="s">
        <v>93</v>
      </c>
      <c r="AI1041" t="s">
        <v>93</v>
      </c>
      <c r="AJ1041" t="s">
        <v>93</v>
      </c>
      <c r="AK1041" t="s">
        <v>93</v>
      </c>
      <c r="AW1041">
        <v>0.89</v>
      </c>
      <c r="BK1041">
        <v>0.11</v>
      </c>
      <c r="CR1041">
        <f t="shared" si="149"/>
        <v>0</v>
      </c>
      <c r="CS1041">
        <f t="shared" si="150"/>
        <v>0</v>
      </c>
      <c r="CT1041">
        <f t="shared" si="151"/>
        <v>-5.8345921907999978</v>
      </c>
      <c r="CU1041" s="7">
        <f t="shared" si="152"/>
        <v>-5.8345921907999978</v>
      </c>
      <c r="CV1041" s="9">
        <f t="shared" si="153"/>
        <v>1319.7151999999901</v>
      </c>
      <c r="CW1041" t="str">
        <f t="shared" si="145"/>
        <v>Tb2Co17</v>
      </c>
    </row>
    <row r="1042" spans="1:101" ht="15.75" thickBot="1" x14ac:dyDescent="0.3">
      <c r="A1042" t="s">
        <v>91</v>
      </c>
      <c r="B1042" t="s">
        <v>2648</v>
      </c>
      <c r="C1042" t="s">
        <v>3144</v>
      </c>
      <c r="E1042" t="s">
        <v>3145</v>
      </c>
      <c r="F1042" t="s">
        <v>93</v>
      </c>
      <c r="G1042" t="s">
        <v>2649</v>
      </c>
      <c r="H1042">
        <v>1302.6643999999999</v>
      </c>
      <c r="I1042">
        <v>1080</v>
      </c>
      <c r="M1042">
        <f t="shared" si="146"/>
        <v>0</v>
      </c>
      <c r="O1042" t="s">
        <v>93</v>
      </c>
      <c r="P1042" t="s">
        <v>2371</v>
      </c>
      <c r="T1042">
        <f t="shared" si="147"/>
        <v>0</v>
      </c>
      <c r="V1042" t="s">
        <v>93</v>
      </c>
      <c r="W1042" t="s">
        <v>93</v>
      </c>
      <c r="X1042">
        <v>298</v>
      </c>
      <c r="Y1042" t="s">
        <v>93</v>
      </c>
      <c r="Z1042">
        <v>-7.2</v>
      </c>
      <c r="AA1042" t="s">
        <v>95</v>
      </c>
      <c r="AB1042">
        <f t="shared" si="148"/>
        <v>-5.5271334658412412</v>
      </c>
      <c r="AC1042" t="s">
        <v>93</v>
      </c>
      <c r="AD1042">
        <v>2.5</v>
      </c>
      <c r="AE1042" t="s">
        <v>95</v>
      </c>
      <c r="AF1042" t="s">
        <v>93</v>
      </c>
      <c r="AH1042" t="s">
        <v>93</v>
      </c>
      <c r="AI1042" t="s">
        <v>93</v>
      </c>
      <c r="AJ1042" t="s">
        <v>93</v>
      </c>
      <c r="AK1042" t="s">
        <v>93</v>
      </c>
      <c r="AW1042">
        <v>0.89</v>
      </c>
      <c r="BN1042">
        <v>0.11</v>
      </c>
      <c r="CR1042">
        <f t="shared" si="149"/>
        <v>0</v>
      </c>
      <c r="CS1042">
        <f t="shared" si="150"/>
        <v>0</v>
      </c>
      <c r="CT1042">
        <f t="shared" si="151"/>
        <v>-5.5271334658412412</v>
      </c>
      <c r="CU1042" s="7">
        <f t="shared" si="152"/>
        <v>-5.5271334658412412</v>
      </c>
      <c r="CV1042" s="9">
        <f t="shared" si="153"/>
        <v>1302.6643999999999</v>
      </c>
      <c r="CW1042" t="str">
        <f t="shared" si="145"/>
        <v>Sm2Co17</v>
      </c>
    </row>
    <row r="1043" spans="1:101" ht="15.75" thickBot="1" x14ac:dyDescent="0.3">
      <c r="A1043" t="s">
        <v>91</v>
      </c>
      <c r="B1043" t="s">
        <v>1695</v>
      </c>
      <c r="C1043" t="s">
        <v>3144</v>
      </c>
      <c r="E1043" t="s">
        <v>3145</v>
      </c>
      <c r="F1043" t="s">
        <v>93</v>
      </c>
      <c r="G1043" t="s">
        <v>1696</v>
      </c>
      <c r="H1043">
        <v>4517.9259999999904</v>
      </c>
      <c r="I1043">
        <v>650</v>
      </c>
      <c r="M1043">
        <f t="shared" si="146"/>
        <v>0</v>
      </c>
      <c r="O1043" t="s">
        <v>93</v>
      </c>
      <c r="P1043" t="s">
        <v>93</v>
      </c>
      <c r="T1043">
        <f t="shared" si="147"/>
        <v>0</v>
      </c>
      <c r="V1043" t="s">
        <v>93</v>
      </c>
      <c r="W1043" t="s">
        <v>106</v>
      </c>
      <c r="X1043">
        <v>298</v>
      </c>
      <c r="Y1043" t="s">
        <v>107</v>
      </c>
      <c r="Z1043">
        <v>-24.3</v>
      </c>
      <c r="AA1043" t="s">
        <v>95</v>
      </c>
      <c r="AB1043">
        <f t="shared" si="148"/>
        <v>-5.378574151059591</v>
      </c>
      <c r="AC1043" t="s">
        <v>93</v>
      </c>
      <c r="AD1043">
        <v>2.2000000000000002</v>
      </c>
      <c r="AE1043" t="s">
        <v>95</v>
      </c>
      <c r="AF1043" t="s">
        <v>93</v>
      </c>
      <c r="AH1043" t="s">
        <v>93</v>
      </c>
      <c r="AI1043" t="s">
        <v>93</v>
      </c>
      <c r="AJ1043" t="s">
        <v>93</v>
      </c>
      <c r="AK1043" t="s">
        <v>93</v>
      </c>
      <c r="AP1043">
        <v>0.215</v>
      </c>
      <c r="AX1043">
        <v>0.78500000000000003</v>
      </c>
      <c r="CR1043">
        <f t="shared" si="149"/>
        <v>0</v>
      </c>
      <c r="CS1043">
        <f t="shared" si="150"/>
        <v>0</v>
      </c>
      <c r="CT1043">
        <f t="shared" si="151"/>
        <v>-5.378574151059591</v>
      </c>
      <c r="CU1043" s="7">
        <f t="shared" si="152"/>
        <v>-5.378574151059591</v>
      </c>
      <c r="CV1043" s="9">
        <f t="shared" si="153"/>
        <v>4517.9259999999904</v>
      </c>
      <c r="CW1043" t="str">
        <f t="shared" si="145"/>
        <v>Cu51Zr14</v>
      </c>
    </row>
    <row r="1044" spans="1:101" ht="15.75" thickBot="1" x14ac:dyDescent="0.3">
      <c r="A1044" t="s">
        <v>91</v>
      </c>
      <c r="B1044" t="s">
        <v>2632</v>
      </c>
      <c r="C1044" t="s">
        <v>3144</v>
      </c>
      <c r="E1044" t="s">
        <v>3145</v>
      </c>
      <c r="F1044" t="s">
        <v>93</v>
      </c>
      <c r="G1044" t="s">
        <v>2633</v>
      </c>
      <c r="H1044">
        <v>1282.1043999999999</v>
      </c>
      <c r="I1044">
        <v>1074</v>
      </c>
      <c r="M1044">
        <f t="shared" si="146"/>
        <v>0</v>
      </c>
      <c r="O1044" t="s">
        <v>93</v>
      </c>
      <c r="P1044" t="s">
        <v>2371</v>
      </c>
      <c r="T1044">
        <f t="shared" si="147"/>
        <v>0</v>
      </c>
      <c r="V1044" t="s">
        <v>93</v>
      </c>
      <c r="W1044" t="s">
        <v>93</v>
      </c>
      <c r="X1044">
        <v>298</v>
      </c>
      <c r="Y1044" t="s">
        <v>93</v>
      </c>
      <c r="Z1044">
        <v>-6.8</v>
      </c>
      <c r="AA1044" t="s">
        <v>95</v>
      </c>
      <c r="AB1044">
        <f t="shared" si="148"/>
        <v>-5.3037802537765257</v>
      </c>
      <c r="AC1044" t="s">
        <v>93</v>
      </c>
      <c r="AD1044">
        <v>3.2</v>
      </c>
      <c r="AE1044" t="s">
        <v>95</v>
      </c>
      <c r="AF1044" t="s">
        <v>93</v>
      </c>
      <c r="AH1044" t="s">
        <v>93</v>
      </c>
      <c r="AI1044" t="s">
        <v>93</v>
      </c>
      <c r="AJ1044" t="s">
        <v>93</v>
      </c>
      <c r="AK1044" t="s">
        <v>93</v>
      </c>
      <c r="AM1044">
        <v>0.11</v>
      </c>
      <c r="AW1044">
        <v>0.89</v>
      </c>
      <c r="CR1044">
        <f t="shared" si="149"/>
        <v>0</v>
      </c>
      <c r="CS1044">
        <f t="shared" si="150"/>
        <v>0</v>
      </c>
      <c r="CT1044">
        <f t="shared" si="151"/>
        <v>-5.3037802537765257</v>
      </c>
      <c r="CU1044" s="7">
        <f t="shared" si="152"/>
        <v>-5.3037802537765257</v>
      </c>
      <c r="CV1044" s="9">
        <f t="shared" si="153"/>
        <v>1282.1043999999999</v>
      </c>
      <c r="CW1044" t="str">
        <f t="shared" si="145"/>
        <v>Ce2Co17</v>
      </c>
    </row>
    <row r="1045" spans="1:101" ht="15.75" thickBot="1" x14ac:dyDescent="0.3">
      <c r="A1045" t="s">
        <v>91</v>
      </c>
      <c r="B1045" t="s">
        <v>2555</v>
      </c>
      <c r="C1045" t="s">
        <v>3144</v>
      </c>
      <c r="E1045" t="s">
        <v>3145</v>
      </c>
      <c r="F1045" t="s">
        <v>93</v>
      </c>
      <c r="G1045" t="s">
        <v>2556</v>
      </c>
      <c r="H1045">
        <v>1764.21999999999</v>
      </c>
      <c r="I1045">
        <v>1043</v>
      </c>
      <c r="M1045">
        <f t="shared" si="146"/>
        <v>0</v>
      </c>
      <c r="O1045" t="s">
        <v>93</v>
      </c>
      <c r="P1045" t="s">
        <v>93</v>
      </c>
      <c r="T1045">
        <f t="shared" si="147"/>
        <v>0</v>
      </c>
      <c r="V1045" t="s">
        <v>93</v>
      </c>
      <c r="W1045" t="s">
        <v>1737</v>
      </c>
      <c r="X1045">
        <v>298</v>
      </c>
      <c r="Y1045" t="s">
        <v>185</v>
      </c>
      <c r="Z1045">
        <v>-8.9</v>
      </c>
      <c r="AA1045" t="s">
        <v>95</v>
      </c>
      <c r="AB1045">
        <f t="shared" si="148"/>
        <v>-5.0447223135436916</v>
      </c>
      <c r="AC1045" t="s">
        <v>93</v>
      </c>
      <c r="AD1045">
        <v>2.1</v>
      </c>
      <c r="AE1045" t="s">
        <v>95</v>
      </c>
      <c r="AF1045" t="s">
        <v>93</v>
      </c>
      <c r="AH1045" t="s">
        <v>93</v>
      </c>
      <c r="AI1045" t="s">
        <v>93</v>
      </c>
      <c r="AJ1045" t="s">
        <v>93</v>
      </c>
      <c r="AK1045" t="s">
        <v>93</v>
      </c>
      <c r="AP1045">
        <v>0.73329999999999995</v>
      </c>
      <c r="BM1045">
        <v>0.26669999999999999</v>
      </c>
      <c r="CR1045">
        <f t="shared" si="149"/>
        <v>0</v>
      </c>
      <c r="CS1045">
        <f t="shared" si="150"/>
        <v>0</v>
      </c>
      <c r="CT1045">
        <f t="shared" si="151"/>
        <v>-5.0447223135436916</v>
      </c>
      <c r="CU1045" s="7">
        <f t="shared" si="152"/>
        <v>-5.0447223135436916</v>
      </c>
      <c r="CV1045" s="9">
        <f t="shared" si="153"/>
        <v>1764.21999999999</v>
      </c>
      <c r="CW1045" t="str">
        <f t="shared" si="145"/>
        <v>Os4Zr11</v>
      </c>
    </row>
    <row r="1046" spans="1:101" ht="15.75" thickBot="1" x14ac:dyDescent="0.3">
      <c r="A1046" t="s">
        <v>91</v>
      </c>
      <c r="B1046" t="s">
        <v>1879</v>
      </c>
      <c r="C1046" t="s">
        <v>3144</v>
      </c>
      <c r="E1046" t="s">
        <v>3145</v>
      </c>
      <c r="F1046" t="s">
        <v>93</v>
      </c>
      <c r="G1046" t="s">
        <v>1880</v>
      </c>
      <c r="H1046">
        <v>12150.8915</v>
      </c>
      <c r="I1046">
        <v>718</v>
      </c>
      <c r="M1046">
        <f t="shared" si="146"/>
        <v>0</v>
      </c>
      <c r="O1046" t="s">
        <v>93</v>
      </c>
      <c r="P1046" t="s">
        <v>93</v>
      </c>
      <c r="T1046">
        <f t="shared" si="147"/>
        <v>0</v>
      </c>
      <c r="V1046" t="s">
        <v>93</v>
      </c>
      <c r="W1046" t="s">
        <v>106</v>
      </c>
      <c r="X1046">
        <v>298</v>
      </c>
      <c r="Y1046" t="s">
        <v>107</v>
      </c>
      <c r="Z1046">
        <v>-59.8</v>
      </c>
      <c r="AA1046" t="s">
        <v>95</v>
      </c>
      <c r="AB1046">
        <f t="shared" si="148"/>
        <v>-4.9214495907563656</v>
      </c>
      <c r="AC1046" t="s">
        <v>93</v>
      </c>
      <c r="AD1046">
        <v>2.2999999999999998</v>
      </c>
      <c r="AE1046" t="s">
        <v>95</v>
      </c>
      <c r="AF1046" t="s">
        <v>93</v>
      </c>
      <c r="AH1046" t="s">
        <v>93</v>
      </c>
      <c r="AI1046" t="s">
        <v>93</v>
      </c>
      <c r="AJ1046" t="s">
        <v>93</v>
      </c>
      <c r="AK1046" t="s">
        <v>93</v>
      </c>
      <c r="BC1046">
        <v>0.78500000000000003</v>
      </c>
      <c r="BN1046">
        <v>0.215</v>
      </c>
      <c r="CR1046">
        <f t="shared" si="149"/>
        <v>0</v>
      </c>
      <c r="CS1046">
        <f t="shared" si="150"/>
        <v>0</v>
      </c>
      <c r="CT1046">
        <f t="shared" si="151"/>
        <v>-4.9214495907563656</v>
      </c>
      <c r="CU1046" s="7">
        <f t="shared" si="152"/>
        <v>-4.9214495907563656</v>
      </c>
      <c r="CV1046" s="9">
        <f t="shared" si="153"/>
        <v>12150.8915</v>
      </c>
      <c r="CW1046" t="str">
        <f t="shared" si="145"/>
        <v>Au51Sm14</v>
      </c>
    </row>
    <row r="1047" spans="1:101" ht="15.75" thickBot="1" x14ac:dyDescent="0.3">
      <c r="A1047" t="s">
        <v>91</v>
      </c>
      <c r="B1047" t="s">
        <v>1858</v>
      </c>
      <c r="C1047" t="s">
        <v>3144</v>
      </c>
      <c r="E1047" t="s">
        <v>3145</v>
      </c>
      <c r="F1047" t="s">
        <v>93</v>
      </c>
      <c r="G1047" t="s">
        <v>1859</v>
      </c>
      <c r="H1047">
        <v>11989.968499999901</v>
      </c>
      <c r="I1047">
        <v>709</v>
      </c>
      <c r="M1047">
        <f t="shared" si="146"/>
        <v>0</v>
      </c>
      <c r="O1047" t="s">
        <v>93</v>
      </c>
      <c r="P1047" t="s">
        <v>93</v>
      </c>
      <c r="T1047">
        <f t="shared" si="147"/>
        <v>0</v>
      </c>
      <c r="V1047" t="s">
        <v>93</v>
      </c>
      <c r="W1047" t="s">
        <v>106</v>
      </c>
      <c r="X1047">
        <v>298</v>
      </c>
      <c r="Y1047" t="s">
        <v>107</v>
      </c>
      <c r="Z1047">
        <v>-57.9</v>
      </c>
      <c r="AA1047" t="s">
        <v>95</v>
      </c>
      <c r="AB1047">
        <f t="shared" si="148"/>
        <v>-4.8290368736165137</v>
      </c>
      <c r="AC1047" t="s">
        <v>93</v>
      </c>
      <c r="AD1047">
        <v>1.9</v>
      </c>
      <c r="AE1047" t="s">
        <v>95</v>
      </c>
      <c r="AF1047" t="s">
        <v>93</v>
      </c>
      <c r="AH1047" t="s">
        <v>93</v>
      </c>
      <c r="AI1047" t="s">
        <v>93</v>
      </c>
      <c r="AJ1047" t="s">
        <v>93</v>
      </c>
      <c r="AK1047" t="s">
        <v>93</v>
      </c>
      <c r="AL1047">
        <v>0.215</v>
      </c>
      <c r="BC1047">
        <v>0.78500000000000003</v>
      </c>
      <c r="CR1047">
        <f t="shared" si="149"/>
        <v>0</v>
      </c>
      <c r="CS1047">
        <f t="shared" si="150"/>
        <v>0</v>
      </c>
      <c r="CT1047">
        <f t="shared" si="151"/>
        <v>-4.8290368736165137</v>
      </c>
      <c r="CU1047" s="7">
        <f t="shared" si="152"/>
        <v>-4.8290368736165137</v>
      </c>
      <c r="CV1047" s="9">
        <f t="shared" si="153"/>
        <v>11989.968499999901</v>
      </c>
      <c r="CW1047" t="str">
        <f t="shared" si="145"/>
        <v>Au51La14</v>
      </c>
    </row>
    <row r="1048" spans="1:101" ht="15.75" thickBot="1" x14ac:dyDescent="0.3">
      <c r="A1048" t="s">
        <v>91</v>
      </c>
      <c r="B1048" t="s">
        <v>2637</v>
      </c>
      <c r="C1048" t="s">
        <v>3144</v>
      </c>
      <c r="E1048" t="s">
        <v>3145</v>
      </c>
      <c r="F1048" t="s">
        <v>93</v>
      </c>
      <c r="G1048" t="s">
        <v>2638</v>
      </c>
      <c r="H1048">
        <v>1283.6797999999999</v>
      </c>
      <c r="I1048">
        <v>1076</v>
      </c>
      <c r="M1048">
        <f t="shared" si="146"/>
        <v>0</v>
      </c>
      <c r="O1048" t="s">
        <v>93</v>
      </c>
      <c r="P1048" t="s">
        <v>93</v>
      </c>
      <c r="Q1048">
        <v>0</v>
      </c>
      <c r="R1048" t="s">
        <v>95</v>
      </c>
      <c r="S1048">
        <v>-4.9407048099999997</v>
      </c>
      <c r="T1048">
        <f t="shared" si="147"/>
        <v>-3.8488607595133928</v>
      </c>
      <c r="U1048" t="s">
        <v>95</v>
      </c>
      <c r="V1048">
        <v>29447</v>
      </c>
      <c r="W1048" t="s">
        <v>2375</v>
      </c>
      <c r="X1048">
        <v>298</v>
      </c>
      <c r="Y1048" t="s">
        <v>700</v>
      </c>
      <c r="Z1048">
        <v>-6.8</v>
      </c>
      <c r="AA1048" t="s">
        <v>95</v>
      </c>
      <c r="AB1048">
        <f t="shared" si="148"/>
        <v>-5.2972711730760276</v>
      </c>
      <c r="AC1048" t="s">
        <v>93</v>
      </c>
      <c r="AD1048">
        <v>3.6</v>
      </c>
      <c r="AE1048" t="s">
        <v>95</v>
      </c>
      <c r="AF1048" t="s">
        <v>93</v>
      </c>
      <c r="AH1048" t="s">
        <v>93</v>
      </c>
      <c r="AI1048" t="s">
        <v>93</v>
      </c>
      <c r="AN1048">
        <v>0.11</v>
      </c>
      <c r="AW1048">
        <v>0.89</v>
      </c>
      <c r="CR1048">
        <f t="shared" si="149"/>
        <v>0</v>
      </c>
      <c r="CS1048">
        <f t="shared" si="150"/>
        <v>-3.8488607595133928</v>
      </c>
      <c r="CT1048">
        <f t="shared" si="151"/>
        <v>-5.2972711730760276</v>
      </c>
      <c r="CU1048" s="7">
        <f t="shared" si="152"/>
        <v>-4.5730659662947097</v>
      </c>
      <c r="CV1048" s="9">
        <f t="shared" si="153"/>
        <v>1283.6797999999999</v>
      </c>
      <c r="CW1048" t="str">
        <f t="shared" si="145"/>
        <v>Pr2Co17</v>
      </c>
    </row>
    <row r="1049" spans="1:101" ht="15.75" thickBot="1" x14ac:dyDescent="0.3">
      <c r="A1049" t="s">
        <v>91</v>
      </c>
      <c r="B1049" t="s">
        <v>368</v>
      </c>
      <c r="C1049" t="s">
        <v>3144</v>
      </c>
      <c r="E1049" t="s">
        <v>3145</v>
      </c>
      <c r="F1049" t="s">
        <v>93</v>
      </c>
      <c r="G1049" t="s">
        <v>369</v>
      </c>
      <c r="H1049">
        <v>12017.999299999999</v>
      </c>
      <c r="I1049">
        <v>154</v>
      </c>
      <c r="M1049">
        <f t="shared" si="146"/>
        <v>0</v>
      </c>
      <c r="O1049" t="s">
        <v>93</v>
      </c>
      <c r="P1049" t="s">
        <v>93</v>
      </c>
      <c r="T1049">
        <f t="shared" si="147"/>
        <v>0</v>
      </c>
      <c r="V1049" t="s">
        <v>93</v>
      </c>
      <c r="W1049" t="s">
        <v>106</v>
      </c>
      <c r="X1049">
        <v>298</v>
      </c>
      <c r="Y1049" t="s">
        <v>107</v>
      </c>
      <c r="Z1049">
        <v>-54.9</v>
      </c>
      <c r="AA1049" t="s">
        <v>95</v>
      </c>
      <c r="AB1049">
        <f t="shared" si="148"/>
        <v>-4.568148044408689</v>
      </c>
      <c r="AC1049" t="s">
        <v>93</v>
      </c>
      <c r="AD1049">
        <v>3.7</v>
      </c>
      <c r="AE1049" t="s">
        <v>95</v>
      </c>
      <c r="AF1049" t="s">
        <v>93</v>
      </c>
      <c r="AH1049" t="s">
        <v>93</v>
      </c>
      <c r="AI1049" t="s">
        <v>93</v>
      </c>
      <c r="AJ1049" t="s">
        <v>93</v>
      </c>
      <c r="AK1049" t="s">
        <v>93</v>
      </c>
      <c r="AN1049">
        <v>0.215</v>
      </c>
      <c r="BC1049">
        <v>0.78500000000000003</v>
      </c>
      <c r="CR1049">
        <f t="shared" si="149"/>
        <v>0</v>
      </c>
      <c r="CS1049">
        <f t="shared" si="150"/>
        <v>0</v>
      </c>
      <c r="CT1049">
        <f t="shared" si="151"/>
        <v>-4.568148044408689</v>
      </c>
      <c r="CU1049" s="7">
        <f t="shared" si="152"/>
        <v>-4.568148044408689</v>
      </c>
      <c r="CV1049" s="9">
        <f t="shared" si="153"/>
        <v>12017.999299999999</v>
      </c>
      <c r="CW1049" t="str">
        <f t="shared" si="145"/>
        <v>Au51Pr14</v>
      </c>
    </row>
    <row r="1050" spans="1:101" ht="15.75" thickBot="1" x14ac:dyDescent="0.3">
      <c r="A1050" t="s">
        <v>91</v>
      </c>
      <c r="B1050" t="s">
        <v>2617</v>
      </c>
      <c r="C1050" t="s">
        <v>3144</v>
      </c>
      <c r="E1050" t="s">
        <v>3145</v>
      </c>
      <c r="F1050" t="s">
        <v>93</v>
      </c>
      <c r="G1050" t="s">
        <v>2618</v>
      </c>
      <c r="H1050">
        <v>1274.3989999999999</v>
      </c>
      <c r="I1050">
        <v>1066</v>
      </c>
      <c r="M1050">
        <f t="shared" si="146"/>
        <v>0</v>
      </c>
      <c r="O1050" t="s">
        <v>93</v>
      </c>
      <c r="P1050" t="s">
        <v>2619</v>
      </c>
      <c r="T1050">
        <f t="shared" si="147"/>
        <v>0</v>
      </c>
      <c r="V1050" t="s">
        <v>93</v>
      </c>
      <c r="W1050" t="s">
        <v>93</v>
      </c>
      <c r="X1050">
        <v>298</v>
      </c>
      <c r="Y1050" t="s">
        <v>93</v>
      </c>
      <c r="Z1050">
        <v>-5.3</v>
      </c>
      <c r="AA1050" t="s">
        <v>95</v>
      </c>
      <c r="AB1050">
        <f t="shared" si="148"/>
        <v>-4.1588231001436755</v>
      </c>
      <c r="AC1050" t="s">
        <v>93</v>
      </c>
      <c r="AD1050">
        <v>1.7</v>
      </c>
      <c r="AE1050" t="s">
        <v>95</v>
      </c>
      <c r="AF1050" t="s">
        <v>93</v>
      </c>
      <c r="AH1050" t="s">
        <v>93</v>
      </c>
      <c r="AI1050" t="s">
        <v>93</v>
      </c>
      <c r="AJ1050" t="s">
        <v>93</v>
      </c>
      <c r="AK1050" t="s">
        <v>93</v>
      </c>
      <c r="AT1050">
        <v>0.84970000000000001</v>
      </c>
      <c r="BG1050">
        <v>0.15029999999999999</v>
      </c>
      <c r="CR1050">
        <f t="shared" si="149"/>
        <v>0</v>
      </c>
      <c r="CS1050">
        <f t="shared" si="150"/>
        <v>0</v>
      </c>
      <c r="CT1050">
        <f t="shared" si="151"/>
        <v>-4.1588231001436755</v>
      </c>
      <c r="CU1050" s="7">
        <f t="shared" si="152"/>
        <v>-4.1588231001436755</v>
      </c>
      <c r="CV1050" s="9">
        <f t="shared" si="153"/>
        <v>1274.3989999999999</v>
      </c>
      <c r="CW1050" t="str">
        <f t="shared" si="145"/>
        <v>Dy2Fe17</v>
      </c>
    </row>
    <row r="1051" spans="1:101" ht="15.75" thickBot="1" x14ac:dyDescent="0.3">
      <c r="A1051" t="s">
        <v>91</v>
      </c>
      <c r="B1051" t="s">
        <v>360</v>
      </c>
      <c r="C1051" t="s">
        <v>3144</v>
      </c>
      <c r="E1051" t="s">
        <v>3145</v>
      </c>
      <c r="F1051" t="s">
        <v>93</v>
      </c>
      <c r="G1051" t="s">
        <v>361</v>
      </c>
      <c r="H1051">
        <v>12006.9715</v>
      </c>
      <c r="I1051">
        <v>151</v>
      </c>
      <c r="M1051">
        <f t="shared" si="146"/>
        <v>0</v>
      </c>
      <c r="O1051" t="s">
        <v>93</v>
      </c>
      <c r="P1051" t="s">
        <v>93</v>
      </c>
      <c r="T1051">
        <f t="shared" si="147"/>
        <v>0</v>
      </c>
      <c r="V1051" t="s">
        <v>93</v>
      </c>
      <c r="W1051" t="s">
        <v>106</v>
      </c>
      <c r="X1051">
        <v>298</v>
      </c>
      <c r="Y1051" t="s">
        <v>107</v>
      </c>
      <c r="Z1051">
        <v>-49.5</v>
      </c>
      <c r="AA1051" t="s">
        <v>95</v>
      </c>
      <c r="AB1051">
        <f t="shared" si="148"/>
        <v>-4.1226049383060506</v>
      </c>
      <c r="AC1051" t="s">
        <v>93</v>
      </c>
      <c r="AD1051">
        <v>2.2000000000000002</v>
      </c>
      <c r="AE1051" t="s">
        <v>95</v>
      </c>
      <c r="AF1051" t="s">
        <v>93</v>
      </c>
      <c r="AH1051" t="s">
        <v>93</v>
      </c>
      <c r="AI1051" t="s">
        <v>93</v>
      </c>
      <c r="AJ1051" t="s">
        <v>93</v>
      </c>
      <c r="AK1051" t="s">
        <v>93</v>
      </c>
      <c r="AM1051">
        <v>0.215</v>
      </c>
      <c r="BC1051">
        <v>0.78500000000000003</v>
      </c>
      <c r="CR1051">
        <f t="shared" si="149"/>
        <v>0</v>
      </c>
      <c r="CS1051">
        <f t="shared" si="150"/>
        <v>0</v>
      </c>
      <c r="CT1051">
        <f t="shared" si="151"/>
        <v>-4.1226049383060506</v>
      </c>
      <c r="CU1051" s="7">
        <f t="shared" si="152"/>
        <v>-4.1226049383060506</v>
      </c>
      <c r="CV1051" s="9">
        <f t="shared" si="153"/>
        <v>12006.9715</v>
      </c>
      <c r="CW1051" t="str">
        <f t="shared" si="145"/>
        <v>Au51Ce14</v>
      </c>
    </row>
    <row r="1052" spans="1:101" ht="15.75" thickBot="1" x14ac:dyDescent="0.3">
      <c r="A1052" t="s">
        <v>91</v>
      </c>
      <c r="B1052" t="s">
        <v>375</v>
      </c>
      <c r="C1052" t="s">
        <v>3144</v>
      </c>
      <c r="E1052" t="s">
        <v>3145</v>
      </c>
      <c r="F1052" t="s">
        <v>93</v>
      </c>
      <c r="G1052" t="s">
        <v>376</v>
      </c>
      <c r="H1052">
        <v>12064.6515</v>
      </c>
      <c r="I1052">
        <v>157</v>
      </c>
      <c r="M1052">
        <f t="shared" si="146"/>
        <v>0</v>
      </c>
      <c r="O1052" t="s">
        <v>93</v>
      </c>
      <c r="P1052" t="s">
        <v>93</v>
      </c>
      <c r="T1052">
        <f t="shared" si="147"/>
        <v>0</v>
      </c>
      <c r="V1052" t="s">
        <v>93</v>
      </c>
      <c r="W1052" t="s">
        <v>106</v>
      </c>
      <c r="X1052">
        <v>298</v>
      </c>
      <c r="Y1052" t="s">
        <v>107</v>
      </c>
      <c r="Z1052">
        <v>-49.3</v>
      </c>
      <c r="AA1052" t="s">
        <v>95</v>
      </c>
      <c r="AB1052">
        <f t="shared" si="148"/>
        <v>-4.0863177854743666</v>
      </c>
      <c r="AC1052" t="s">
        <v>93</v>
      </c>
      <c r="AD1052">
        <v>4.9000000000000004</v>
      </c>
      <c r="AE1052" t="s">
        <v>95</v>
      </c>
      <c r="AF1052" t="s">
        <v>93</v>
      </c>
      <c r="AH1052" t="s">
        <v>93</v>
      </c>
      <c r="AI1052" t="s">
        <v>93</v>
      </c>
      <c r="AJ1052" t="s">
        <v>93</v>
      </c>
      <c r="AK1052" t="s">
        <v>93</v>
      </c>
      <c r="AO1052">
        <v>0.215</v>
      </c>
      <c r="BC1052">
        <v>0.78500000000000003</v>
      </c>
      <c r="CR1052">
        <f t="shared" si="149"/>
        <v>0</v>
      </c>
      <c r="CS1052">
        <f t="shared" si="150"/>
        <v>0</v>
      </c>
      <c r="CT1052">
        <f t="shared" si="151"/>
        <v>-4.0863177854743666</v>
      </c>
      <c r="CU1052" s="7">
        <f t="shared" si="152"/>
        <v>-4.0863177854743666</v>
      </c>
      <c r="CV1052" s="9">
        <f t="shared" si="153"/>
        <v>12064.6515</v>
      </c>
      <c r="CW1052" t="str">
        <f t="shared" si="145"/>
        <v>Au51Nd14</v>
      </c>
    </row>
    <row r="1053" spans="1:101" ht="15.75" thickBot="1" x14ac:dyDescent="0.3">
      <c r="A1053" t="s">
        <v>91</v>
      </c>
      <c r="B1053" t="s">
        <v>1700</v>
      </c>
      <c r="C1053" t="s">
        <v>3144</v>
      </c>
      <c r="E1053" t="s">
        <v>3145</v>
      </c>
      <c r="F1053" t="s">
        <v>93</v>
      </c>
      <c r="G1053" t="s">
        <v>1701</v>
      </c>
      <c r="H1053">
        <v>5739.7060000000001</v>
      </c>
      <c r="I1053">
        <v>652</v>
      </c>
      <c r="M1053">
        <f t="shared" si="146"/>
        <v>0</v>
      </c>
      <c r="O1053" t="s">
        <v>93</v>
      </c>
      <c r="P1053" t="s">
        <v>93</v>
      </c>
      <c r="T1053">
        <f t="shared" si="147"/>
        <v>0</v>
      </c>
      <c r="V1053" t="s">
        <v>93</v>
      </c>
      <c r="W1053" t="s">
        <v>106</v>
      </c>
      <c r="X1053">
        <v>298</v>
      </c>
      <c r="Y1053" t="s">
        <v>107</v>
      </c>
      <c r="Z1053">
        <v>-22.9</v>
      </c>
      <c r="AA1053" t="s">
        <v>95</v>
      </c>
      <c r="AB1053">
        <f t="shared" si="148"/>
        <v>-3.9897513914475757</v>
      </c>
      <c r="AC1053" t="s">
        <v>93</v>
      </c>
      <c r="AD1053">
        <v>2.2999999999999998</v>
      </c>
      <c r="AE1053" t="s">
        <v>95</v>
      </c>
      <c r="AF1053" t="s">
        <v>93</v>
      </c>
      <c r="AH1053" t="s">
        <v>93</v>
      </c>
      <c r="AI1053" t="s">
        <v>93</v>
      </c>
      <c r="AJ1053" t="s">
        <v>93</v>
      </c>
      <c r="AK1053" t="s">
        <v>93</v>
      </c>
      <c r="AQ1053">
        <v>0.215</v>
      </c>
      <c r="AX1053">
        <v>0.78500000000000003</v>
      </c>
      <c r="CR1053">
        <f t="shared" si="149"/>
        <v>0</v>
      </c>
      <c r="CS1053">
        <f t="shared" si="150"/>
        <v>0</v>
      </c>
      <c r="CT1053">
        <f t="shared" si="151"/>
        <v>-3.9897513914475757</v>
      </c>
      <c r="CU1053" s="7">
        <f t="shared" si="152"/>
        <v>-3.9897513914475757</v>
      </c>
      <c r="CV1053" s="9">
        <f t="shared" si="153"/>
        <v>5739.7060000000001</v>
      </c>
      <c r="CW1053" t="str">
        <f t="shared" si="145"/>
        <v>Cu51Hf14</v>
      </c>
    </row>
    <row r="1054" spans="1:101" ht="15.75" thickBot="1" x14ac:dyDescent="0.3">
      <c r="A1054" t="s">
        <v>484</v>
      </c>
      <c r="B1054" t="s">
        <v>2326</v>
      </c>
      <c r="C1054" t="s">
        <v>3138</v>
      </c>
      <c r="D1054" t="s">
        <v>3139</v>
      </c>
      <c r="F1054" t="s">
        <v>3140</v>
      </c>
      <c r="G1054" t="s">
        <v>2327</v>
      </c>
      <c r="H1054">
        <v>1316.3643999999999</v>
      </c>
      <c r="I1054">
        <v>936</v>
      </c>
      <c r="M1054">
        <f t="shared" si="146"/>
        <v>0</v>
      </c>
      <c r="O1054" t="s">
        <v>93</v>
      </c>
      <c r="P1054" t="s">
        <v>93</v>
      </c>
      <c r="T1054">
        <f t="shared" si="147"/>
        <v>0</v>
      </c>
      <c r="V1054" t="s">
        <v>93</v>
      </c>
      <c r="W1054" t="s">
        <v>2328</v>
      </c>
      <c r="X1054">
        <v>298</v>
      </c>
      <c r="Y1054" t="s">
        <v>179</v>
      </c>
      <c r="Z1054">
        <v>-4.5</v>
      </c>
      <c r="AA1054" t="s">
        <v>95</v>
      </c>
      <c r="AB1054">
        <f t="shared" si="148"/>
        <v>-3.4185063041814261</v>
      </c>
      <c r="AC1054" t="s">
        <v>93</v>
      </c>
      <c r="AD1054">
        <v>0.9</v>
      </c>
      <c r="AE1054" t="s">
        <v>95</v>
      </c>
      <c r="AF1054" t="s">
        <v>93</v>
      </c>
      <c r="AH1054" t="s">
        <v>93</v>
      </c>
      <c r="AI1054" t="s">
        <v>93</v>
      </c>
      <c r="AJ1054" t="s">
        <v>93</v>
      </c>
      <c r="AK1054" t="s">
        <v>93</v>
      </c>
      <c r="AW1054">
        <v>0.88900000000000001</v>
      </c>
      <c r="BI1054">
        <v>0.111</v>
      </c>
      <c r="CR1054">
        <f t="shared" si="149"/>
        <v>0</v>
      </c>
      <c r="CS1054">
        <f t="shared" si="150"/>
        <v>0</v>
      </c>
      <c r="CT1054">
        <f t="shared" si="151"/>
        <v>-3.4185063041814261</v>
      </c>
      <c r="CU1054" s="7">
        <f t="shared" si="152"/>
        <v>-3.4185063041814261</v>
      </c>
      <c r="CV1054" s="9">
        <f t="shared" si="153"/>
        <v>1316.3643999999999</v>
      </c>
      <c r="CW1054" t="str">
        <f t="shared" si="145"/>
        <v>Co17Gd2</v>
      </c>
    </row>
    <row r="1055" spans="1:101" ht="15.75" thickBot="1" x14ac:dyDescent="0.3">
      <c r="A1055" t="s">
        <v>91</v>
      </c>
      <c r="B1055" t="s">
        <v>104</v>
      </c>
      <c r="C1055" t="s">
        <v>3144</v>
      </c>
      <c r="E1055" t="s">
        <v>3145</v>
      </c>
      <c r="F1055" t="s">
        <v>93</v>
      </c>
      <c r="G1055" t="s">
        <v>105</v>
      </c>
      <c r="H1055">
        <v>6745.9506000000001</v>
      </c>
      <c r="I1055">
        <v>3</v>
      </c>
      <c r="M1055">
        <f t="shared" si="146"/>
        <v>0</v>
      </c>
      <c r="O1055" t="s">
        <v>93</v>
      </c>
      <c r="P1055" t="s">
        <v>93</v>
      </c>
      <c r="T1055">
        <f t="shared" si="147"/>
        <v>0</v>
      </c>
      <c r="V1055" t="s">
        <v>93</v>
      </c>
      <c r="W1055" t="s">
        <v>106</v>
      </c>
      <c r="X1055">
        <v>298</v>
      </c>
      <c r="Y1055" t="s">
        <v>107</v>
      </c>
      <c r="Z1055">
        <v>-22.2</v>
      </c>
      <c r="AA1055" t="s">
        <v>95</v>
      </c>
      <c r="AB1055">
        <f t="shared" si="148"/>
        <v>-3.2908631142362648</v>
      </c>
      <c r="AC1055" t="s">
        <v>93</v>
      </c>
      <c r="AD1055">
        <v>1.3</v>
      </c>
      <c r="AE1055" t="s">
        <v>95</v>
      </c>
      <c r="AF1055" t="s">
        <v>93</v>
      </c>
      <c r="AG1055">
        <v>0.215</v>
      </c>
      <c r="AH1055" t="s">
        <v>93</v>
      </c>
      <c r="AI1055" t="s">
        <v>93</v>
      </c>
      <c r="AJ1055" t="s">
        <v>93</v>
      </c>
      <c r="AK1055" t="s">
        <v>93</v>
      </c>
      <c r="CR1055">
        <f t="shared" si="149"/>
        <v>0</v>
      </c>
      <c r="CS1055">
        <f t="shared" si="150"/>
        <v>0</v>
      </c>
      <c r="CT1055">
        <f t="shared" si="151"/>
        <v>-3.2908631142362648</v>
      </c>
      <c r="CU1055" s="7">
        <f t="shared" si="152"/>
        <v>-3.2908631142362648</v>
      </c>
      <c r="CV1055" s="9">
        <f t="shared" si="153"/>
        <v>6745.9506000000001</v>
      </c>
      <c r="CW1055" t="str">
        <f t="shared" si="145"/>
        <v>Ag51Y14</v>
      </c>
    </row>
    <row r="1056" spans="1:101" ht="15.75" thickBot="1" x14ac:dyDescent="0.3">
      <c r="A1056" t="s">
        <v>91</v>
      </c>
      <c r="B1056" t="s">
        <v>3017</v>
      </c>
      <c r="C1056" t="s">
        <v>3144</v>
      </c>
      <c r="E1056" t="s">
        <v>3145</v>
      </c>
      <c r="F1056" t="s">
        <v>93</v>
      </c>
      <c r="G1056" t="s">
        <v>3018</v>
      </c>
      <c r="H1056">
        <v>1748.5050000000001</v>
      </c>
      <c r="I1056">
        <v>1269</v>
      </c>
      <c r="M1056">
        <f t="shared" si="146"/>
        <v>0</v>
      </c>
      <c r="O1056" t="s">
        <v>93</v>
      </c>
      <c r="P1056" t="s">
        <v>93</v>
      </c>
      <c r="T1056">
        <f t="shared" si="147"/>
        <v>0</v>
      </c>
      <c r="V1056" t="s">
        <v>93</v>
      </c>
      <c r="W1056" t="s">
        <v>3019</v>
      </c>
      <c r="X1056">
        <v>300</v>
      </c>
      <c r="Y1056" t="s">
        <v>1720</v>
      </c>
      <c r="Z1056">
        <v>-5.5</v>
      </c>
      <c r="AA1056" t="s">
        <v>95</v>
      </c>
      <c r="AB1056">
        <f t="shared" si="148"/>
        <v>-3.1455443364474216</v>
      </c>
      <c r="AF1056" t="s">
        <v>93</v>
      </c>
      <c r="AH1056" t="s">
        <v>93</v>
      </c>
      <c r="AI1056" t="s">
        <v>93</v>
      </c>
      <c r="AJ1056" t="s">
        <v>93</v>
      </c>
      <c r="AK1056" t="s">
        <v>93</v>
      </c>
      <c r="BN1056">
        <v>0.109</v>
      </c>
      <c r="CC1056">
        <v>2</v>
      </c>
      <c r="CD1056" t="s">
        <v>95</v>
      </c>
      <c r="CE1056" t="s">
        <v>93</v>
      </c>
      <c r="CJ1056">
        <v>0.89100000000000001</v>
      </c>
      <c r="CR1056">
        <f t="shared" si="149"/>
        <v>0</v>
      </c>
      <c r="CS1056">
        <f t="shared" si="150"/>
        <v>0</v>
      </c>
      <c r="CT1056">
        <f t="shared" si="151"/>
        <v>-3.1455443364474216</v>
      </c>
      <c r="CU1056" s="7">
        <f t="shared" si="152"/>
        <v>-3.1455443364474216</v>
      </c>
      <c r="CV1056" s="9">
        <f t="shared" si="153"/>
        <v>1748.5050000000001</v>
      </c>
      <c r="CW1056" t="str">
        <f t="shared" si="145"/>
        <v>Mg41Sm5</v>
      </c>
    </row>
    <row r="1057" spans="1:101" ht="15.75" thickBot="1" x14ac:dyDescent="0.3">
      <c r="A1057" t="s">
        <v>91</v>
      </c>
      <c r="B1057" t="s">
        <v>122</v>
      </c>
      <c r="C1057" t="s">
        <v>3144</v>
      </c>
      <c r="E1057" t="s">
        <v>3145</v>
      </c>
      <c r="F1057" t="s">
        <v>93</v>
      </c>
      <c r="G1057" t="s">
        <v>123</v>
      </c>
      <c r="H1057">
        <v>7473.9758000000002</v>
      </c>
      <c r="I1057">
        <v>9</v>
      </c>
      <c r="M1057">
        <f t="shared" si="146"/>
        <v>0</v>
      </c>
      <c r="O1057" t="s">
        <v>93</v>
      </c>
      <c r="P1057" t="s">
        <v>93</v>
      </c>
      <c r="T1057">
        <f t="shared" si="147"/>
        <v>0</v>
      </c>
      <c r="V1057" t="s">
        <v>93</v>
      </c>
      <c r="W1057" t="s">
        <v>106</v>
      </c>
      <c r="X1057">
        <v>298</v>
      </c>
      <c r="Y1057" t="s">
        <v>107</v>
      </c>
      <c r="Z1057">
        <v>-22.1</v>
      </c>
      <c r="AA1057" t="s">
        <v>95</v>
      </c>
      <c r="AB1057">
        <f t="shared" si="148"/>
        <v>-2.9569268875609689</v>
      </c>
      <c r="AC1057" t="s">
        <v>93</v>
      </c>
      <c r="AD1057">
        <v>2.8</v>
      </c>
      <c r="AE1057" t="s">
        <v>95</v>
      </c>
      <c r="AF1057" t="s">
        <v>93</v>
      </c>
      <c r="AH1057" t="s">
        <v>93</v>
      </c>
      <c r="AI1057" t="s">
        <v>93</v>
      </c>
      <c r="AJ1057" t="s">
        <v>93</v>
      </c>
      <c r="AK1057" t="s">
        <v>93</v>
      </c>
      <c r="AN1057">
        <v>0.215</v>
      </c>
      <c r="CR1057">
        <f t="shared" si="149"/>
        <v>0</v>
      </c>
      <c r="CS1057">
        <f t="shared" si="150"/>
        <v>0</v>
      </c>
      <c r="CT1057">
        <f t="shared" si="151"/>
        <v>-2.9569268875609689</v>
      </c>
      <c r="CU1057" s="7">
        <f t="shared" si="152"/>
        <v>-2.9569268875609689</v>
      </c>
      <c r="CV1057" s="9">
        <f t="shared" si="153"/>
        <v>7473.9758000000002</v>
      </c>
      <c r="CW1057" t="str">
        <f t="shared" si="145"/>
        <v>Ag51Pr14</v>
      </c>
    </row>
    <row r="1058" spans="1:101" ht="15.75" thickBot="1" x14ac:dyDescent="0.3">
      <c r="A1058" t="s">
        <v>91</v>
      </c>
      <c r="B1058" t="s">
        <v>111</v>
      </c>
      <c r="C1058" t="s">
        <v>3144</v>
      </c>
      <c r="E1058" t="s">
        <v>3145</v>
      </c>
      <c r="F1058" t="s">
        <v>93</v>
      </c>
      <c r="G1058" t="s">
        <v>112</v>
      </c>
      <c r="H1058">
        <v>7445.9449999999997</v>
      </c>
      <c r="I1058">
        <v>5</v>
      </c>
      <c r="M1058">
        <f t="shared" si="146"/>
        <v>0</v>
      </c>
      <c r="O1058" t="s">
        <v>93</v>
      </c>
      <c r="P1058" t="s">
        <v>93</v>
      </c>
      <c r="T1058">
        <f t="shared" si="147"/>
        <v>0</v>
      </c>
      <c r="V1058" t="s">
        <v>93</v>
      </c>
      <c r="W1058" t="s">
        <v>106</v>
      </c>
      <c r="X1058">
        <v>298</v>
      </c>
      <c r="Y1058" t="s">
        <v>107</v>
      </c>
      <c r="Z1058">
        <v>-21.4</v>
      </c>
      <c r="AA1058" t="s">
        <v>95</v>
      </c>
      <c r="AB1058">
        <f t="shared" si="148"/>
        <v>-2.874047552056858</v>
      </c>
      <c r="AC1058" t="s">
        <v>93</v>
      </c>
      <c r="AD1058">
        <v>2</v>
      </c>
      <c r="AE1058" t="s">
        <v>95</v>
      </c>
      <c r="AF1058" t="s">
        <v>93</v>
      </c>
      <c r="AH1058" t="s">
        <v>93</v>
      </c>
      <c r="AI1058" t="s">
        <v>93</v>
      </c>
      <c r="AJ1058" t="s">
        <v>93</v>
      </c>
      <c r="AK1058" t="s">
        <v>93</v>
      </c>
      <c r="AL1058">
        <v>0.215</v>
      </c>
      <c r="CR1058">
        <f t="shared" si="149"/>
        <v>0</v>
      </c>
      <c r="CS1058">
        <f t="shared" si="150"/>
        <v>0</v>
      </c>
      <c r="CT1058">
        <f t="shared" si="151"/>
        <v>-2.874047552056858</v>
      </c>
      <c r="CU1058" s="7">
        <f t="shared" si="152"/>
        <v>-2.874047552056858</v>
      </c>
      <c r="CV1058" s="9">
        <f t="shared" si="153"/>
        <v>7445.9449999999997</v>
      </c>
      <c r="CW1058" t="str">
        <f t="shared" si="145"/>
        <v>Ag51La14</v>
      </c>
    </row>
    <row r="1059" spans="1:101" ht="15.75" thickBot="1" x14ac:dyDescent="0.3">
      <c r="A1059" t="s">
        <v>484</v>
      </c>
      <c r="B1059" t="s">
        <v>93</v>
      </c>
      <c r="C1059" t="s">
        <v>3138</v>
      </c>
      <c r="D1059" t="s">
        <v>3139</v>
      </c>
      <c r="F1059" t="s">
        <v>3140</v>
      </c>
      <c r="G1059" t="s">
        <v>2333</v>
      </c>
      <c r="H1059">
        <v>2299.5324000000001</v>
      </c>
      <c r="I1059">
        <v>939</v>
      </c>
      <c r="M1059">
        <f t="shared" si="146"/>
        <v>0</v>
      </c>
      <c r="O1059" t="s">
        <v>93</v>
      </c>
      <c r="P1059" t="s">
        <v>93</v>
      </c>
      <c r="T1059">
        <f t="shared" si="147"/>
        <v>0</v>
      </c>
      <c r="V1059" t="s">
        <v>93</v>
      </c>
      <c r="W1059" t="s">
        <v>2334</v>
      </c>
      <c r="X1059">
        <v>298</v>
      </c>
      <c r="Y1059" t="s">
        <v>190</v>
      </c>
      <c r="Z1059">
        <v>-6.3</v>
      </c>
      <c r="AA1059" t="s">
        <v>95</v>
      </c>
      <c r="AB1059">
        <f t="shared" si="148"/>
        <v>-2.7396874251478258</v>
      </c>
      <c r="AC1059" t="s">
        <v>93</v>
      </c>
      <c r="AD1059">
        <v>3.2</v>
      </c>
      <c r="AE1059" t="s">
        <v>95</v>
      </c>
      <c r="AF1059" t="s">
        <v>93</v>
      </c>
      <c r="AH1059" t="s">
        <v>93</v>
      </c>
      <c r="AI1059" t="s">
        <v>93</v>
      </c>
      <c r="AJ1059" t="s">
        <v>93</v>
      </c>
      <c r="AK1059" t="s">
        <v>93</v>
      </c>
      <c r="AW1059">
        <v>0.36599999999999999</v>
      </c>
      <c r="BI1059">
        <v>0.63400000000000001</v>
      </c>
      <c r="CR1059">
        <f t="shared" si="149"/>
        <v>0</v>
      </c>
      <c r="CS1059">
        <f t="shared" si="150"/>
        <v>0</v>
      </c>
      <c r="CT1059">
        <f t="shared" si="151"/>
        <v>-2.7396874251478258</v>
      </c>
      <c r="CU1059" s="7">
        <f t="shared" si="152"/>
        <v>-2.7396874251478258</v>
      </c>
      <c r="CV1059" s="9">
        <f t="shared" si="153"/>
        <v>2299.5324000000001</v>
      </c>
      <c r="CW1059" t="str">
        <f t="shared" si="145"/>
        <v>Co7Gd12</v>
      </c>
    </row>
    <row r="1060" spans="1:101" ht="15.75" thickBot="1" x14ac:dyDescent="0.3">
      <c r="A1060" t="s">
        <v>91</v>
      </c>
      <c r="B1060" t="s">
        <v>2601</v>
      </c>
      <c r="C1060" t="s">
        <v>3144</v>
      </c>
      <c r="E1060" t="s">
        <v>3145</v>
      </c>
      <c r="F1060" t="s">
        <v>93</v>
      </c>
      <c r="G1060" t="s">
        <v>2602</v>
      </c>
      <c r="H1060">
        <v>110.92919999999999</v>
      </c>
      <c r="I1060">
        <v>1060</v>
      </c>
      <c r="M1060">
        <f t="shared" si="146"/>
        <v>0</v>
      </c>
      <c r="O1060" t="s">
        <v>93</v>
      </c>
      <c r="P1060" t="s">
        <v>93</v>
      </c>
      <c r="T1060">
        <f t="shared" si="147"/>
        <v>0</v>
      </c>
      <c r="V1060" t="s">
        <v>93</v>
      </c>
      <c r="W1060" t="s">
        <v>1092</v>
      </c>
      <c r="X1060">
        <v>298</v>
      </c>
      <c r="Y1060" t="s">
        <v>1093</v>
      </c>
      <c r="Z1060">
        <v>-0.3</v>
      </c>
      <c r="AA1060" t="s">
        <v>95</v>
      </c>
      <c r="AB1060">
        <f t="shared" si="148"/>
        <v>-2.7044276890124515</v>
      </c>
      <c r="AC1060" t="s">
        <v>93</v>
      </c>
      <c r="AD1060">
        <v>2.9</v>
      </c>
      <c r="AE1060" t="s">
        <v>95</v>
      </c>
      <c r="AF1060" t="s">
        <v>93</v>
      </c>
      <c r="AH1060" t="s">
        <v>93</v>
      </c>
      <c r="AI1060" t="s">
        <v>93</v>
      </c>
      <c r="AJ1060" t="s">
        <v>93</v>
      </c>
      <c r="AK1060" t="s">
        <v>93</v>
      </c>
      <c r="AW1060">
        <v>0.5</v>
      </c>
      <c r="BV1060">
        <v>0.5</v>
      </c>
      <c r="CR1060">
        <f t="shared" si="149"/>
        <v>0</v>
      </c>
      <c r="CS1060">
        <f t="shared" si="150"/>
        <v>0</v>
      </c>
      <c r="CT1060">
        <f t="shared" si="151"/>
        <v>-2.7044276890124515</v>
      </c>
      <c r="CU1060" s="7">
        <f t="shared" si="152"/>
        <v>-2.7044276890124515</v>
      </c>
      <c r="CV1060" s="9">
        <f t="shared" si="153"/>
        <v>110.92919999999999</v>
      </c>
      <c r="CW1060" t="str">
        <f t="shared" si="145"/>
        <v>CoCr</v>
      </c>
    </row>
    <row r="1061" spans="1:101" ht="15.75" thickBot="1" x14ac:dyDescent="0.3">
      <c r="A1061" t="s">
        <v>91</v>
      </c>
      <c r="B1061" t="s">
        <v>116</v>
      </c>
      <c r="C1061" t="s">
        <v>3144</v>
      </c>
      <c r="E1061" t="s">
        <v>3145</v>
      </c>
      <c r="F1061" t="s">
        <v>93</v>
      </c>
      <c r="G1061" t="s">
        <v>117</v>
      </c>
      <c r="H1061">
        <v>7462.9480000000003</v>
      </c>
      <c r="I1061">
        <v>7</v>
      </c>
      <c r="M1061">
        <f t="shared" si="146"/>
        <v>0</v>
      </c>
      <c r="O1061" t="s">
        <v>93</v>
      </c>
      <c r="P1061" t="s">
        <v>93</v>
      </c>
      <c r="T1061">
        <f t="shared" si="147"/>
        <v>0</v>
      </c>
      <c r="V1061" t="s">
        <v>93</v>
      </c>
      <c r="W1061" t="s">
        <v>106</v>
      </c>
      <c r="X1061">
        <v>298</v>
      </c>
      <c r="Y1061" t="s">
        <v>107</v>
      </c>
      <c r="Z1061">
        <v>-19.3</v>
      </c>
      <c r="AA1061" t="s">
        <v>95</v>
      </c>
      <c r="AB1061">
        <f t="shared" si="148"/>
        <v>-2.5861094034153798</v>
      </c>
      <c r="AC1061" t="s">
        <v>93</v>
      </c>
      <c r="AD1061">
        <v>4.0999999999999996</v>
      </c>
      <c r="AE1061" t="s">
        <v>95</v>
      </c>
      <c r="AF1061" t="s">
        <v>93</v>
      </c>
      <c r="AH1061" t="s">
        <v>93</v>
      </c>
      <c r="AI1061" t="s">
        <v>93</v>
      </c>
      <c r="AJ1061" t="s">
        <v>93</v>
      </c>
      <c r="AK1061" t="s">
        <v>93</v>
      </c>
      <c r="AM1061">
        <v>0.215</v>
      </c>
      <c r="CR1061">
        <f t="shared" si="149"/>
        <v>0</v>
      </c>
      <c r="CS1061">
        <f t="shared" si="150"/>
        <v>0</v>
      </c>
      <c r="CT1061">
        <f t="shared" si="151"/>
        <v>-2.5861094034153798</v>
      </c>
      <c r="CU1061" s="7">
        <f t="shared" si="152"/>
        <v>-2.5861094034153798</v>
      </c>
      <c r="CV1061" s="9">
        <f t="shared" si="153"/>
        <v>7462.9480000000003</v>
      </c>
      <c r="CW1061" t="str">
        <f t="shared" si="145"/>
        <v>Ag51Ce14</v>
      </c>
    </row>
    <row r="1062" spans="1:101" ht="15.75" thickBot="1" x14ac:dyDescent="0.3">
      <c r="A1062" t="s">
        <v>91</v>
      </c>
      <c r="B1062" t="s">
        <v>127</v>
      </c>
      <c r="C1062" t="s">
        <v>3144</v>
      </c>
      <c r="E1062" t="s">
        <v>3145</v>
      </c>
      <c r="F1062" t="s">
        <v>93</v>
      </c>
      <c r="G1062" t="s">
        <v>128</v>
      </c>
      <c r="H1062">
        <v>7520.6279999999997</v>
      </c>
      <c r="I1062">
        <v>11</v>
      </c>
      <c r="M1062">
        <f t="shared" si="146"/>
        <v>0</v>
      </c>
      <c r="O1062" t="s">
        <v>93</v>
      </c>
      <c r="P1062" t="s">
        <v>93</v>
      </c>
      <c r="T1062">
        <f t="shared" si="147"/>
        <v>0</v>
      </c>
      <c r="V1062" t="s">
        <v>93</v>
      </c>
      <c r="W1062" t="s">
        <v>106</v>
      </c>
      <c r="X1062">
        <v>298</v>
      </c>
      <c r="Y1062" t="s">
        <v>107</v>
      </c>
      <c r="Z1062">
        <v>-17.7</v>
      </c>
      <c r="AA1062" t="s">
        <v>95</v>
      </c>
      <c r="AB1062">
        <f t="shared" si="148"/>
        <v>-2.3535268597250125</v>
      </c>
      <c r="AC1062" t="s">
        <v>93</v>
      </c>
      <c r="AD1062">
        <v>2.9</v>
      </c>
      <c r="AE1062" t="s">
        <v>95</v>
      </c>
      <c r="AF1062" t="s">
        <v>93</v>
      </c>
      <c r="AH1062" t="s">
        <v>93</v>
      </c>
      <c r="AI1062" t="s">
        <v>93</v>
      </c>
      <c r="AJ1062" t="s">
        <v>93</v>
      </c>
      <c r="AK1062" t="s">
        <v>93</v>
      </c>
      <c r="AO1062">
        <v>0.215</v>
      </c>
      <c r="CR1062">
        <f t="shared" si="149"/>
        <v>0</v>
      </c>
      <c r="CS1062">
        <f t="shared" si="150"/>
        <v>0</v>
      </c>
      <c r="CT1062">
        <f t="shared" si="151"/>
        <v>-2.3535268597250125</v>
      </c>
      <c r="CU1062" s="7">
        <f t="shared" si="152"/>
        <v>-2.3535268597250125</v>
      </c>
      <c r="CV1062" s="9">
        <f t="shared" si="153"/>
        <v>7520.6279999999997</v>
      </c>
      <c r="CW1062" t="str">
        <f t="shared" si="145"/>
        <v>Ag51Nd14</v>
      </c>
    </row>
    <row r="1063" spans="1:101" ht="15.75" thickBot="1" x14ac:dyDescent="0.3">
      <c r="A1063" t="s">
        <v>91</v>
      </c>
      <c r="B1063" t="s">
        <v>1873</v>
      </c>
      <c r="C1063" t="s">
        <v>3144</v>
      </c>
      <c r="E1063" t="s">
        <v>3145</v>
      </c>
      <c r="F1063" t="s">
        <v>93</v>
      </c>
      <c r="G1063" t="s">
        <v>1874</v>
      </c>
      <c r="H1063">
        <v>7606.8680000000004</v>
      </c>
      <c r="I1063">
        <v>715</v>
      </c>
      <c r="M1063">
        <f t="shared" si="146"/>
        <v>0</v>
      </c>
      <c r="O1063" t="s">
        <v>93</v>
      </c>
      <c r="P1063" t="s">
        <v>93</v>
      </c>
      <c r="T1063">
        <f t="shared" si="147"/>
        <v>0</v>
      </c>
      <c r="V1063" t="s">
        <v>93</v>
      </c>
      <c r="W1063" t="s">
        <v>106</v>
      </c>
      <c r="X1063">
        <v>298</v>
      </c>
      <c r="Y1063" t="s">
        <v>107</v>
      </c>
      <c r="Z1063">
        <v>-16.8</v>
      </c>
      <c r="AA1063" t="s">
        <v>95</v>
      </c>
      <c r="AB1063">
        <f t="shared" si="148"/>
        <v>-2.2085305016466701</v>
      </c>
      <c r="AC1063" t="s">
        <v>93</v>
      </c>
      <c r="AD1063">
        <v>3.5</v>
      </c>
      <c r="AE1063" t="s">
        <v>95</v>
      </c>
      <c r="AF1063" t="s">
        <v>93</v>
      </c>
      <c r="AH1063" t="s">
        <v>93</v>
      </c>
      <c r="AI1063" t="s">
        <v>93</v>
      </c>
      <c r="AJ1063" t="s">
        <v>93</v>
      </c>
      <c r="AK1063" t="s">
        <v>93</v>
      </c>
      <c r="BN1063">
        <v>0.215</v>
      </c>
      <c r="CR1063">
        <f t="shared" si="149"/>
        <v>0</v>
      </c>
      <c r="CS1063">
        <f t="shared" si="150"/>
        <v>0</v>
      </c>
      <c r="CT1063">
        <f t="shared" si="151"/>
        <v>-2.2085305016466701</v>
      </c>
      <c r="CU1063" s="7">
        <f t="shared" si="152"/>
        <v>-2.2085305016466701</v>
      </c>
      <c r="CV1063" s="9">
        <f t="shared" si="153"/>
        <v>7606.8680000000004</v>
      </c>
      <c r="CW1063" t="str">
        <f t="shared" si="145"/>
        <v>Ag51Sm14</v>
      </c>
    </row>
    <row r="1064" spans="1:101" ht="15.75" thickBot="1" x14ac:dyDescent="0.3">
      <c r="A1064" t="s">
        <v>91</v>
      </c>
      <c r="B1064" t="s">
        <v>2614</v>
      </c>
      <c r="C1064" t="s">
        <v>3144</v>
      </c>
      <c r="E1064" t="s">
        <v>3145</v>
      </c>
      <c r="F1064" t="s">
        <v>93</v>
      </c>
      <c r="G1064" t="s">
        <v>2615</v>
      </c>
      <c r="H1064">
        <v>1267.2498000000001</v>
      </c>
      <c r="I1064">
        <v>1065</v>
      </c>
      <c r="M1064">
        <f t="shared" si="146"/>
        <v>0</v>
      </c>
      <c r="O1064" t="s">
        <v>93</v>
      </c>
      <c r="P1064" t="s">
        <v>2616</v>
      </c>
      <c r="T1064">
        <f t="shared" si="147"/>
        <v>0</v>
      </c>
      <c r="V1064" t="s">
        <v>93</v>
      </c>
      <c r="W1064" t="s">
        <v>93</v>
      </c>
      <c r="X1064">
        <v>298</v>
      </c>
      <c r="Y1064" t="s">
        <v>93</v>
      </c>
      <c r="Z1064">
        <v>-2.1</v>
      </c>
      <c r="AA1064" t="s">
        <v>95</v>
      </c>
      <c r="AB1064">
        <f t="shared" si="148"/>
        <v>-1.6571318456708377</v>
      </c>
      <c r="AC1064" t="s">
        <v>93</v>
      </c>
      <c r="AD1064">
        <v>3.1</v>
      </c>
      <c r="AE1064" t="s">
        <v>95</v>
      </c>
      <c r="AF1064" t="s">
        <v>93</v>
      </c>
      <c r="AH1064" t="s">
        <v>93</v>
      </c>
      <c r="AI1064" t="s">
        <v>93</v>
      </c>
      <c r="AJ1064" t="s">
        <v>93</v>
      </c>
      <c r="AK1064" t="s">
        <v>93</v>
      </c>
      <c r="AT1064">
        <v>0.89470000000000005</v>
      </c>
      <c r="BK1064">
        <v>0.15029999999999999</v>
      </c>
      <c r="CR1064">
        <f t="shared" si="149"/>
        <v>0</v>
      </c>
      <c r="CS1064">
        <f t="shared" si="150"/>
        <v>0</v>
      </c>
      <c r="CT1064">
        <f t="shared" si="151"/>
        <v>-1.6571318456708377</v>
      </c>
      <c r="CU1064" s="7">
        <f t="shared" si="152"/>
        <v>-1.6571318456708377</v>
      </c>
      <c r="CV1064" s="9">
        <f t="shared" si="153"/>
        <v>1267.2498000000001</v>
      </c>
      <c r="CW1064" t="str">
        <f t="shared" si="145"/>
        <v>Tb2Fe17</v>
      </c>
    </row>
    <row r="1065" spans="1:101" ht="15.75" thickBot="1" x14ac:dyDescent="0.3">
      <c r="A1065" t="s">
        <v>91</v>
      </c>
      <c r="B1065" t="s">
        <v>2819</v>
      </c>
      <c r="C1065" t="s">
        <v>3144</v>
      </c>
      <c r="E1065" t="s">
        <v>3145</v>
      </c>
      <c r="F1065" t="s">
        <v>93</v>
      </c>
      <c r="G1065" t="s">
        <v>2820</v>
      </c>
      <c r="H1065">
        <v>281.32549999999998</v>
      </c>
      <c r="I1065">
        <v>1152</v>
      </c>
      <c r="J1065">
        <v>13.377777160000001</v>
      </c>
      <c r="K1065" t="s">
        <v>95</v>
      </c>
      <c r="L1065">
        <v>4.2470655199999996</v>
      </c>
      <c r="M1065">
        <f t="shared" si="146"/>
        <v>15.096624799387186</v>
      </c>
      <c r="N1065" t="s">
        <v>95</v>
      </c>
      <c r="O1065" t="s">
        <v>2821</v>
      </c>
      <c r="P1065" t="s">
        <v>93</v>
      </c>
      <c r="Q1065">
        <v>9.3557901300000008</v>
      </c>
      <c r="R1065" t="s">
        <v>95</v>
      </c>
      <c r="S1065">
        <v>-1.79693441</v>
      </c>
      <c r="T1065">
        <f t="shared" si="147"/>
        <v>-6.3873854663014908</v>
      </c>
      <c r="U1065" t="s">
        <v>95</v>
      </c>
      <c r="V1065">
        <v>17233</v>
      </c>
      <c r="W1065" t="s">
        <v>184</v>
      </c>
      <c r="X1065">
        <v>298</v>
      </c>
      <c r="Y1065" t="s">
        <v>185</v>
      </c>
      <c r="Z1065">
        <v>-3.7</v>
      </c>
      <c r="AA1065" t="s">
        <v>95</v>
      </c>
      <c r="AB1065">
        <f t="shared" si="148"/>
        <v>-13.152024967519832</v>
      </c>
      <c r="AC1065" t="s">
        <v>93</v>
      </c>
      <c r="AD1065">
        <v>3.1</v>
      </c>
      <c r="AE1065" t="s">
        <v>95</v>
      </c>
      <c r="AF1065" t="s">
        <v>93</v>
      </c>
      <c r="AT1065">
        <v>0.5</v>
      </c>
      <c r="BD1065">
        <v>0.25</v>
      </c>
      <c r="CF1065">
        <v>0.25</v>
      </c>
      <c r="CR1065">
        <f t="shared" si="149"/>
        <v>15.096624799387186</v>
      </c>
      <c r="CS1065">
        <f t="shared" si="150"/>
        <v>-6.3873854663014908</v>
      </c>
      <c r="CT1065">
        <f t="shared" si="151"/>
        <v>-13.152024967519832</v>
      </c>
      <c r="CU1065" s="7">
        <f t="shared" si="152"/>
        <v>-1.4809285448113794</v>
      </c>
      <c r="CV1065" s="9">
        <f t="shared" si="153"/>
        <v>281.32549999999998</v>
      </c>
      <c r="CW1065" t="str">
        <f t="shared" si="145"/>
        <v>VFe2Sn</v>
      </c>
    </row>
    <row r="1066" spans="1:101" ht="15.75" thickBot="1" x14ac:dyDescent="0.3">
      <c r="A1066" t="s">
        <v>91</v>
      </c>
      <c r="B1066" t="s">
        <v>2369</v>
      </c>
      <c r="C1066" t="s">
        <v>3144</v>
      </c>
      <c r="E1066" t="s">
        <v>3145</v>
      </c>
      <c r="F1066" t="s">
        <v>93</v>
      </c>
      <c r="G1066" t="s">
        <v>2370</v>
      </c>
      <c r="H1066">
        <v>1229.6389999999999</v>
      </c>
      <c r="I1066">
        <v>962</v>
      </c>
      <c r="M1066">
        <f t="shared" si="146"/>
        <v>0</v>
      </c>
      <c r="O1066" t="s">
        <v>93</v>
      </c>
      <c r="P1066" t="s">
        <v>2371</v>
      </c>
      <c r="T1066">
        <f t="shared" si="147"/>
        <v>0</v>
      </c>
      <c r="V1066" t="s">
        <v>93</v>
      </c>
      <c r="W1066" t="s">
        <v>93</v>
      </c>
      <c r="X1066">
        <v>298</v>
      </c>
      <c r="Y1066" t="s">
        <v>93</v>
      </c>
      <c r="Z1066">
        <v>-1.6</v>
      </c>
      <c r="AA1066" t="s">
        <v>95</v>
      </c>
      <c r="AB1066">
        <f t="shared" si="148"/>
        <v>-1.3011949035448618</v>
      </c>
      <c r="AC1066" t="s">
        <v>93</v>
      </c>
      <c r="AD1066">
        <v>2.8</v>
      </c>
      <c r="AE1066" t="s">
        <v>95</v>
      </c>
      <c r="AF1066" t="s">
        <v>93</v>
      </c>
      <c r="AH1066" t="s">
        <v>93</v>
      </c>
      <c r="AI1066" t="s">
        <v>93</v>
      </c>
      <c r="AJ1066" t="s">
        <v>93</v>
      </c>
      <c r="AK1066" t="s">
        <v>93</v>
      </c>
      <c r="AM1066">
        <v>0.105</v>
      </c>
      <c r="AT1066">
        <v>0.89500000000000002</v>
      </c>
      <c r="CR1066">
        <f t="shared" si="149"/>
        <v>0</v>
      </c>
      <c r="CS1066">
        <f t="shared" si="150"/>
        <v>0</v>
      </c>
      <c r="CT1066">
        <f t="shared" si="151"/>
        <v>-1.3011949035448618</v>
      </c>
      <c r="CU1066" s="7">
        <f t="shared" si="152"/>
        <v>-1.3011949035448618</v>
      </c>
      <c r="CV1066" s="9">
        <f t="shared" si="153"/>
        <v>1229.6389999999999</v>
      </c>
      <c r="CW1066" t="str">
        <f t="shared" ref="CW1066:CW1073" si="154">G1066</f>
        <v>Ce2Fe17</v>
      </c>
    </row>
    <row r="1067" spans="1:101" ht="15.75" thickBot="1" x14ac:dyDescent="0.3">
      <c r="A1067" t="s">
        <v>91</v>
      </c>
      <c r="B1067" t="s">
        <v>2634</v>
      </c>
      <c r="C1067" t="s">
        <v>3144</v>
      </c>
      <c r="E1067" t="s">
        <v>3145</v>
      </c>
      <c r="F1067" t="s">
        <v>93</v>
      </c>
      <c r="G1067" t="s">
        <v>2635</v>
      </c>
      <c r="H1067">
        <v>435.57369999999997</v>
      </c>
      <c r="I1067">
        <v>1075</v>
      </c>
      <c r="J1067">
        <v>0</v>
      </c>
      <c r="K1067" t="s">
        <v>95</v>
      </c>
      <c r="L1067">
        <v>-0.83932476</v>
      </c>
      <c r="M1067">
        <f t="shared" si="146"/>
        <v>-1.9269408598361197</v>
      </c>
      <c r="N1067" t="s">
        <v>95</v>
      </c>
      <c r="O1067" t="s">
        <v>2636</v>
      </c>
      <c r="P1067" t="s">
        <v>93</v>
      </c>
      <c r="Q1067">
        <v>14.78683111</v>
      </c>
      <c r="R1067" t="s">
        <v>95</v>
      </c>
      <c r="S1067">
        <v>9.8320428199999998</v>
      </c>
      <c r="T1067">
        <f t="shared" si="147"/>
        <v>22.572627364783504</v>
      </c>
      <c r="U1067" t="s">
        <v>95</v>
      </c>
      <c r="V1067">
        <v>31347</v>
      </c>
      <c r="W1067" t="s">
        <v>172</v>
      </c>
      <c r="X1067">
        <v>298</v>
      </c>
      <c r="Y1067" t="s">
        <v>170</v>
      </c>
      <c r="Z1067">
        <v>-10.5</v>
      </c>
      <c r="AA1067" t="s">
        <v>95</v>
      </c>
      <c r="AB1067">
        <f t="shared" si="148"/>
        <v>-24.10613863968371</v>
      </c>
      <c r="AC1067" t="s">
        <v>93</v>
      </c>
      <c r="AD1067">
        <v>2.4</v>
      </c>
      <c r="AE1067" t="s">
        <v>95</v>
      </c>
      <c r="AF1067" t="s">
        <v>93</v>
      </c>
      <c r="AN1067">
        <v>0.17</v>
      </c>
      <c r="AW1067">
        <v>0.83</v>
      </c>
      <c r="CR1067">
        <f t="shared" si="149"/>
        <v>-1.9269408598361197</v>
      </c>
      <c r="CS1067">
        <f t="shared" si="150"/>
        <v>22.572627364783504</v>
      </c>
      <c r="CT1067">
        <f t="shared" si="151"/>
        <v>-24.10613863968371</v>
      </c>
      <c r="CU1067" s="7">
        <f t="shared" si="152"/>
        <v>-1.1534840449121084</v>
      </c>
      <c r="CV1067" s="9">
        <f t="shared" si="153"/>
        <v>435.57369999999997</v>
      </c>
      <c r="CW1067" t="str">
        <f t="shared" si="154"/>
        <v>PrCo5</v>
      </c>
    </row>
    <row r="1068" spans="1:101" ht="15.75" thickBot="1" x14ac:dyDescent="0.3">
      <c r="A1068" t="s">
        <v>91</v>
      </c>
      <c r="B1068" t="s">
        <v>2376</v>
      </c>
      <c r="C1068" t="s">
        <v>3144</v>
      </c>
      <c r="E1068" t="s">
        <v>3145</v>
      </c>
      <c r="F1068" t="s">
        <v>93</v>
      </c>
      <c r="G1068" t="s">
        <v>2377</v>
      </c>
      <c r="H1068">
        <v>1250.1990000000001</v>
      </c>
      <c r="I1068">
        <v>964</v>
      </c>
      <c r="J1068">
        <v>1.56433855</v>
      </c>
      <c r="K1068" t="s">
        <v>95</v>
      </c>
      <c r="L1068">
        <v>1.56433855</v>
      </c>
      <c r="M1068">
        <f t="shared" si="146"/>
        <v>1.2512716375553012</v>
      </c>
      <c r="N1068" t="s">
        <v>95</v>
      </c>
      <c r="O1068" t="s">
        <v>2378</v>
      </c>
      <c r="P1068" t="s">
        <v>93</v>
      </c>
      <c r="Q1068">
        <v>1.94833857</v>
      </c>
      <c r="R1068" t="s">
        <v>95</v>
      </c>
      <c r="S1068">
        <v>1.94833857</v>
      </c>
      <c r="T1068">
        <f t="shared" si="147"/>
        <v>1.5584227550973884</v>
      </c>
      <c r="U1068" t="s">
        <v>95</v>
      </c>
      <c r="V1068">
        <v>18642</v>
      </c>
      <c r="W1068" t="s">
        <v>2375</v>
      </c>
      <c r="X1068">
        <v>298</v>
      </c>
      <c r="Y1068" t="s">
        <v>700</v>
      </c>
      <c r="Z1068">
        <v>-3.1</v>
      </c>
      <c r="AA1068" t="s">
        <v>95</v>
      </c>
      <c r="AB1068">
        <f t="shared" si="148"/>
        <v>-2.4796052468447023</v>
      </c>
      <c r="AC1068" t="s">
        <v>93</v>
      </c>
      <c r="AD1068">
        <v>3.2</v>
      </c>
      <c r="AE1068" t="s">
        <v>95</v>
      </c>
      <c r="AF1068" t="s">
        <v>93</v>
      </c>
      <c r="AT1068">
        <v>0.89500000000000002</v>
      </c>
      <c r="BN1068">
        <v>0.105</v>
      </c>
      <c r="CR1068">
        <f t="shared" si="149"/>
        <v>1.2512716375553012</v>
      </c>
      <c r="CS1068">
        <f t="shared" si="150"/>
        <v>1.5584227550973884</v>
      </c>
      <c r="CT1068">
        <f t="shared" si="151"/>
        <v>-2.4796052468447023</v>
      </c>
      <c r="CU1068" s="7">
        <f t="shared" si="152"/>
        <v>0.11002971526932903</v>
      </c>
      <c r="CV1068" s="9">
        <f t="shared" si="153"/>
        <v>1250.1990000000001</v>
      </c>
      <c r="CW1068" t="str">
        <f t="shared" si="154"/>
        <v>Sm2Fe17</v>
      </c>
    </row>
    <row r="1069" spans="1:101" ht="15.75" thickBot="1" x14ac:dyDescent="0.3">
      <c r="A1069" t="s">
        <v>91</v>
      </c>
      <c r="B1069" t="s">
        <v>2642</v>
      </c>
      <c r="C1069" t="s">
        <v>3144</v>
      </c>
      <c r="E1069" t="s">
        <v>3145</v>
      </c>
      <c r="F1069" t="s">
        <v>93</v>
      </c>
      <c r="G1069" t="s">
        <v>2643</v>
      </c>
      <c r="H1069">
        <v>1290.3444</v>
      </c>
      <c r="I1069">
        <v>1078</v>
      </c>
      <c r="J1069">
        <v>0</v>
      </c>
      <c r="K1069" t="s">
        <v>95</v>
      </c>
      <c r="L1069">
        <v>-4.5439485700000004</v>
      </c>
      <c r="M1069">
        <f t="shared" si="146"/>
        <v>-3.5215005931749701</v>
      </c>
      <c r="N1069" t="s">
        <v>95</v>
      </c>
      <c r="O1069" t="s">
        <v>2644</v>
      </c>
      <c r="P1069" t="s">
        <v>93</v>
      </c>
      <c r="Q1069">
        <v>14.531941359999999</v>
      </c>
      <c r="R1069" t="s">
        <v>95</v>
      </c>
      <c r="S1069">
        <v>12.06240792</v>
      </c>
      <c r="T1069">
        <f t="shared" si="147"/>
        <v>9.3482080598017099</v>
      </c>
      <c r="U1069" t="s">
        <v>95</v>
      </c>
      <c r="V1069">
        <v>29416</v>
      </c>
      <c r="W1069" t="s">
        <v>2375</v>
      </c>
      <c r="X1069">
        <v>298</v>
      </c>
      <c r="Y1069" t="s">
        <v>700</v>
      </c>
      <c r="Z1069">
        <v>-6.6</v>
      </c>
      <c r="AA1069" t="s">
        <v>95</v>
      </c>
      <c r="AB1069">
        <f t="shared" si="148"/>
        <v>-5.1149135068126004</v>
      </c>
      <c r="AC1069" t="s">
        <v>93</v>
      </c>
      <c r="AD1069">
        <v>2.7</v>
      </c>
      <c r="AE1069" t="s">
        <v>95</v>
      </c>
      <c r="AF1069" t="s">
        <v>93</v>
      </c>
      <c r="AO1069">
        <v>0.11</v>
      </c>
      <c r="AW1069">
        <v>0.89</v>
      </c>
      <c r="CR1069">
        <f t="shared" si="149"/>
        <v>-3.5215005931749701</v>
      </c>
      <c r="CS1069">
        <f t="shared" si="150"/>
        <v>9.3482080598017099</v>
      </c>
      <c r="CT1069">
        <f t="shared" si="151"/>
        <v>-5.1149135068126004</v>
      </c>
      <c r="CU1069" s="7">
        <f t="shared" si="152"/>
        <v>0.2372646532713798</v>
      </c>
      <c r="CV1069" s="9">
        <f t="shared" si="153"/>
        <v>1290.3444</v>
      </c>
      <c r="CW1069" t="str">
        <f t="shared" si="154"/>
        <v>Nd2Co17</v>
      </c>
    </row>
    <row r="1070" spans="1:101" ht="15.75" thickBot="1" x14ac:dyDescent="0.3">
      <c r="A1070" t="s">
        <v>91</v>
      </c>
      <c r="B1070" t="s">
        <v>2372</v>
      </c>
      <c r="C1070" t="s">
        <v>3144</v>
      </c>
      <c r="E1070" t="s">
        <v>3145</v>
      </c>
      <c r="F1070" t="s">
        <v>93</v>
      </c>
      <c r="G1070" t="s">
        <v>2373</v>
      </c>
      <c r="H1070">
        <v>1237.8789999999999</v>
      </c>
      <c r="I1070">
        <v>963</v>
      </c>
      <c r="J1070">
        <v>3.5393111099999999</v>
      </c>
      <c r="K1070" t="s">
        <v>95</v>
      </c>
      <c r="L1070">
        <v>3.5393111099999999</v>
      </c>
      <c r="M1070">
        <f t="shared" si="146"/>
        <v>2.8591737237646009</v>
      </c>
      <c r="N1070" t="s">
        <v>95</v>
      </c>
      <c r="O1070" t="s">
        <v>2374</v>
      </c>
      <c r="P1070" t="s">
        <v>93</v>
      </c>
      <c r="Q1070">
        <v>3.9439557000000001</v>
      </c>
      <c r="R1070" t="s">
        <v>95</v>
      </c>
      <c r="S1070">
        <v>3.9439557000000001</v>
      </c>
      <c r="T1070">
        <f t="shared" si="147"/>
        <v>3.1860591382518004</v>
      </c>
      <c r="U1070" t="s">
        <v>95</v>
      </c>
      <c r="V1070">
        <v>18663</v>
      </c>
      <c r="W1070" t="s">
        <v>2375</v>
      </c>
      <c r="X1070">
        <v>298</v>
      </c>
      <c r="Y1070" t="s">
        <v>700</v>
      </c>
      <c r="Z1070">
        <v>-3</v>
      </c>
      <c r="AA1070" t="s">
        <v>95</v>
      </c>
      <c r="AB1070">
        <f t="shared" si="148"/>
        <v>-2.4235001967074328</v>
      </c>
      <c r="AC1070" t="s">
        <v>93</v>
      </c>
      <c r="AD1070">
        <v>3.7</v>
      </c>
      <c r="AE1070" t="s">
        <v>95</v>
      </c>
      <c r="AF1070" t="s">
        <v>93</v>
      </c>
      <c r="AO1070">
        <v>0.105</v>
      </c>
      <c r="AT1070">
        <v>0.89500000000000002</v>
      </c>
      <c r="CR1070">
        <f t="shared" si="149"/>
        <v>2.8591737237646009</v>
      </c>
      <c r="CS1070">
        <f t="shared" si="150"/>
        <v>3.1860591382518004</v>
      </c>
      <c r="CT1070">
        <f t="shared" si="151"/>
        <v>-2.4235001967074328</v>
      </c>
      <c r="CU1070" s="7">
        <f t="shared" si="152"/>
        <v>1.2072442217696564</v>
      </c>
      <c r="CV1070" s="9">
        <f t="shared" si="153"/>
        <v>1237.8789999999999</v>
      </c>
      <c r="CW1070" t="str">
        <f t="shared" si="154"/>
        <v>Nd2Fe17</v>
      </c>
    </row>
    <row r="1071" spans="1:101" ht="15.75" thickBot="1" x14ac:dyDescent="0.3">
      <c r="A1071" t="s">
        <v>91</v>
      </c>
      <c r="B1071" t="s">
        <v>2770</v>
      </c>
      <c r="C1071" t="s">
        <v>3144</v>
      </c>
      <c r="E1071" t="s">
        <v>3145</v>
      </c>
      <c r="F1071" t="s">
        <v>93</v>
      </c>
      <c r="G1071" t="s">
        <v>2771</v>
      </c>
      <c r="H1071">
        <v>485.91919999999999</v>
      </c>
      <c r="I1071">
        <v>1133</v>
      </c>
      <c r="J1071">
        <v>12.718087860000001</v>
      </c>
      <c r="K1071" t="s">
        <v>95</v>
      </c>
      <c r="L1071">
        <v>12.718087860000001</v>
      </c>
      <c r="M1071">
        <f t="shared" si="146"/>
        <v>26.173256500257654</v>
      </c>
      <c r="N1071" t="s">
        <v>95</v>
      </c>
      <c r="O1071" t="s">
        <v>2772</v>
      </c>
      <c r="P1071" t="s">
        <v>121</v>
      </c>
      <c r="Q1071">
        <v>10.70784886</v>
      </c>
      <c r="R1071" t="s">
        <v>95</v>
      </c>
      <c r="S1071">
        <v>10.70784886</v>
      </c>
      <c r="T1071">
        <f t="shared" si="147"/>
        <v>22.036274467030733</v>
      </c>
      <c r="U1071" t="s">
        <v>95</v>
      </c>
      <c r="V1071">
        <v>17740</v>
      </c>
      <c r="W1071" t="s">
        <v>391</v>
      </c>
      <c r="X1071">
        <v>298</v>
      </c>
      <c r="Y1071" t="s">
        <v>392</v>
      </c>
      <c r="Z1071">
        <v>-10.4</v>
      </c>
      <c r="AA1071" t="s">
        <v>95</v>
      </c>
      <c r="AB1071">
        <f t="shared" si="148"/>
        <v>-21.402735269567451</v>
      </c>
      <c r="AC1071" t="s">
        <v>93</v>
      </c>
      <c r="AD1071">
        <v>3.4</v>
      </c>
      <c r="AE1071" t="s">
        <v>95</v>
      </c>
      <c r="AF1071" t="s">
        <v>93</v>
      </c>
      <c r="AU1071">
        <v>0.75</v>
      </c>
      <c r="CO1071">
        <v>0.25</v>
      </c>
      <c r="CR1071">
        <f t="shared" si="149"/>
        <v>26.173256500257654</v>
      </c>
      <c r="CS1071">
        <f t="shared" si="150"/>
        <v>22.036274467030733</v>
      </c>
      <c r="CT1071">
        <f t="shared" si="151"/>
        <v>-21.402735269567451</v>
      </c>
      <c r="CU1071" s="7">
        <f t="shared" si="152"/>
        <v>8.9355985659069788</v>
      </c>
      <c r="CV1071" s="9">
        <f t="shared" si="153"/>
        <v>485.91919999999999</v>
      </c>
      <c r="CW1071" t="str">
        <f t="shared" si="154"/>
        <v>Nb3Pb</v>
      </c>
    </row>
    <row r="1072" spans="1:101" ht="15.75" thickBot="1" x14ac:dyDescent="0.3">
      <c r="A1072" t="s">
        <v>91</v>
      </c>
      <c r="B1072" t="s">
        <v>2865</v>
      </c>
      <c r="C1072" t="s">
        <v>3144</v>
      </c>
      <c r="E1072" t="s">
        <v>3145</v>
      </c>
      <c r="F1072" t="s">
        <v>93</v>
      </c>
      <c r="G1072" t="s">
        <v>2866</v>
      </c>
      <c r="H1072">
        <v>365.84799999999899</v>
      </c>
      <c r="I1072">
        <v>1174</v>
      </c>
      <c r="J1072">
        <v>49.10924198</v>
      </c>
      <c r="K1072" t="s">
        <v>95</v>
      </c>
      <c r="L1072">
        <v>28.411095499999998</v>
      </c>
      <c r="M1072">
        <f t="shared" si="146"/>
        <v>77.658195480090299</v>
      </c>
      <c r="N1072" t="s">
        <v>95</v>
      </c>
      <c r="O1072" t="s">
        <v>2867</v>
      </c>
      <c r="P1072" t="s">
        <v>93</v>
      </c>
      <c r="Q1072">
        <v>48.597116919999998</v>
      </c>
      <c r="R1072" t="s">
        <v>95</v>
      </c>
      <c r="S1072">
        <v>24.810152850000001</v>
      </c>
      <c r="T1072">
        <f t="shared" si="147"/>
        <v>67.815466669218011</v>
      </c>
      <c r="U1072" t="s">
        <v>95</v>
      </c>
      <c r="V1072">
        <v>17497</v>
      </c>
      <c r="W1072" t="s">
        <v>1370</v>
      </c>
      <c r="X1072">
        <v>298</v>
      </c>
      <c r="Y1072" t="s">
        <v>1983</v>
      </c>
      <c r="Z1072">
        <v>-29.4</v>
      </c>
      <c r="AA1072" t="s">
        <v>95</v>
      </c>
      <c r="AB1072">
        <f t="shared" si="148"/>
        <v>-80.361242920557387</v>
      </c>
      <c r="AC1072" t="s">
        <v>93</v>
      </c>
      <c r="AD1072">
        <v>1.8</v>
      </c>
      <c r="AE1072" t="s">
        <v>95</v>
      </c>
      <c r="AF1072" t="s">
        <v>93</v>
      </c>
      <c r="BB1072">
        <v>0.33300000000000002</v>
      </c>
      <c r="BR1072">
        <v>0.33300000000000002</v>
      </c>
      <c r="CF1072">
        <v>0.33300000000000002</v>
      </c>
      <c r="CR1072">
        <f t="shared" si="149"/>
        <v>77.658195480090299</v>
      </c>
      <c r="CS1072">
        <f t="shared" si="150"/>
        <v>67.815466669218011</v>
      </c>
      <c r="CT1072">
        <f t="shared" si="151"/>
        <v>-80.361242920557387</v>
      </c>
      <c r="CU1072" s="7">
        <f t="shared" si="152"/>
        <v>21.704139742916979</v>
      </c>
      <c r="CV1072" s="9">
        <f t="shared" si="153"/>
        <v>365.84799999999899</v>
      </c>
      <c r="CW1072" t="str">
        <f t="shared" si="154"/>
        <v>MnSnIr</v>
      </c>
    </row>
    <row r="1073" spans="1:101" ht="15.75" thickBot="1" x14ac:dyDescent="0.3">
      <c r="A1073" t="s">
        <v>91</v>
      </c>
      <c r="B1073" t="s">
        <v>93</v>
      </c>
      <c r="C1073" t="s">
        <v>3144</v>
      </c>
      <c r="E1073" t="s">
        <v>3145</v>
      </c>
      <c r="F1073" t="s">
        <v>93</v>
      </c>
      <c r="G1073" t="s">
        <v>2599</v>
      </c>
      <c r="H1073">
        <v>198.78190000000001</v>
      </c>
      <c r="I1073">
        <v>1059</v>
      </c>
      <c r="J1073">
        <v>15.668595310000001</v>
      </c>
      <c r="K1073" t="s">
        <v>95</v>
      </c>
      <c r="L1073">
        <v>15.668595310000001</v>
      </c>
      <c r="M1073">
        <f t="shared" si="146"/>
        <v>78.823048325828452</v>
      </c>
      <c r="N1073" t="s">
        <v>95</v>
      </c>
      <c r="O1073" t="s">
        <v>2600</v>
      </c>
      <c r="P1073" t="s">
        <v>93</v>
      </c>
      <c r="T1073">
        <f t="shared" si="147"/>
        <v>0</v>
      </c>
      <c r="V1073" t="s">
        <v>93</v>
      </c>
      <c r="W1073" t="s">
        <v>159</v>
      </c>
      <c r="X1073">
        <v>298</v>
      </c>
      <c r="Y1073" t="s">
        <v>160</v>
      </c>
      <c r="Z1073">
        <v>-2.8</v>
      </c>
      <c r="AA1073" t="s">
        <v>95</v>
      </c>
      <c r="AB1073">
        <f t="shared" si="148"/>
        <v>-14.085789500955567</v>
      </c>
      <c r="AC1073" t="s">
        <v>93</v>
      </c>
      <c r="AD1073">
        <v>2.8</v>
      </c>
      <c r="AE1073" t="s">
        <v>95</v>
      </c>
      <c r="AF1073" t="s">
        <v>93</v>
      </c>
      <c r="AG1073">
        <v>0.33329999999999999</v>
      </c>
      <c r="AJ1073" t="s">
        <v>93</v>
      </c>
      <c r="AK1073" t="s">
        <v>93</v>
      </c>
      <c r="BR1073">
        <v>0.66669999999999996</v>
      </c>
      <c r="CR1073">
        <f t="shared" si="149"/>
        <v>78.823048325828452</v>
      </c>
      <c r="CS1073">
        <f t="shared" si="150"/>
        <v>0</v>
      </c>
      <c r="CT1073">
        <f t="shared" si="151"/>
        <v>-14.085789500955567</v>
      </c>
      <c r="CU1073" s="7">
        <f t="shared" si="152"/>
        <v>32.368629412436441</v>
      </c>
      <c r="CV1073" s="9">
        <f t="shared" si="153"/>
        <v>198.78190000000001</v>
      </c>
      <c r="CW1073" t="str">
        <f t="shared" si="154"/>
        <v>YMn2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48B10-4596-47FE-9785-BF7DB505698D}">
  <sheetPr codeName="Sheet4"/>
  <dimension ref="A1:B1"/>
  <sheetViews>
    <sheetView workbookViewId="0">
      <selection sqref="A1:B1048576"/>
    </sheetView>
  </sheetViews>
  <sheetFormatPr defaultRowHeight="15" x14ac:dyDescent="0.25"/>
  <sheetData>
    <row r="1" spans="1:2" ht="15.75" thickBot="1" x14ac:dyDescent="0.3">
      <c r="A1" s="2">
        <v>81</v>
      </c>
      <c r="B1" s="4" t="s">
        <v>3084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63AAD-53F3-45CB-B57A-5B9921DF0D53}">
  <sheetPr codeName="Sheet5"/>
  <dimension ref="A1:CW52"/>
  <sheetViews>
    <sheetView topLeftCell="A10" workbookViewId="0">
      <selection activeCell="CW2" sqref="CW2"/>
    </sheetView>
  </sheetViews>
  <sheetFormatPr defaultColWidth="19.85546875" defaultRowHeight="15" x14ac:dyDescent="0.25"/>
  <sheetData>
    <row r="1" spans="1:101" ht="15.75" thickBot="1" x14ac:dyDescent="0.3">
      <c r="A1" t="s">
        <v>0</v>
      </c>
      <c r="B1" t="s">
        <v>1</v>
      </c>
      <c r="C1" t="s">
        <v>3136</v>
      </c>
      <c r="D1" t="s">
        <v>3137</v>
      </c>
      <c r="E1" t="s">
        <v>4</v>
      </c>
      <c r="F1" t="s">
        <v>5</v>
      </c>
      <c r="G1" t="s">
        <v>6</v>
      </c>
      <c r="H1" t="s">
        <v>3122</v>
      </c>
      <c r="I1" t="s">
        <v>7</v>
      </c>
      <c r="J1" t="s">
        <v>8</v>
      </c>
      <c r="K1" t="s">
        <v>9</v>
      </c>
      <c r="L1" t="s">
        <v>10</v>
      </c>
      <c r="M1" t="s">
        <v>3123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3124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3125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61</v>
      </c>
      <c r="BO1" t="s">
        <v>62</v>
      </c>
      <c r="BP1" t="s">
        <v>63</v>
      </c>
      <c r="BQ1" t="s">
        <v>64</v>
      </c>
      <c r="BR1" t="s">
        <v>65</v>
      </c>
      <c r="BS1" t="s">
        <v>66</v>
      </c>
      <c r="BT1" t="s">
        <v>67</v>
      </c>
      <c r="BU1" t="s">
        <v>68</v>
      </c>
      <c r="BV1" t="s">
        <v>69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3131</v>
      </c>
      <c r="CS1" t="s">
        <v>3132</v>
      </c>
      <c r="CT1" t="s">
        <v>3133</v>
      </c>
      <c r="CU1" t="s">
        <v>3134</v>
      </c>
      <c r="CW1" t="s">
        <v>3135</v>
      </c>
    </row>
    <row r="2" spans="1:101" ht="15.75" thickBot="1" x14ac:dyDescent="0.3">
      <c r="A2" t="s">
        <v>2252</v>
      </c>
      <c r="B2" t="s">
        <v>2257</v>
      </c>
      <c r="C2" t="s">
        <v>3141</v>
      </c>
      <c r="D2" t="s">
        <v>3142</v>
      </c>
      <c r="G2" t="s">
        <v>3143</v>
      </c>
      <c r="H2">
        <v>255.53206</v>
      </c>
      <c r="I2">
        <v>902</v>
      </c>
      <c r="M2">
        <v>0</v>
      </c>
      <c r="O2" t="s">
        <v>93</v>
      </c>
      <c r="P2" t="s">
        <v>93</v>
      </c>
      <c r="T2">
        <v>0</v>
      </c>
      <c r="V2" t="s">
        <v>93</v>
      </c>
      <c r="W2" t="s">
        <v>2258</v>
      </c>
      <c r="X2">
        <v>298</v>
      </c>
      <c r="Y2" t="s">
        <v>147</v>
      </c>
      <c r="Z2">
        <v>-361.5</v>
      </c>
      <c r="AA2" t="s">
        <v>95</v>
      </c>
      <c r="AB2">
        <v>-1414.695283245476</v>
      </c>
      <c r="AC2" t="s">
        <v>93</v>
      </c>
      <c r="AD2">
        <v>12</v>
      </c>
      <c r="AE2" t="s">
        <v>95</v>
      </c>
      <c r="AF2" t="s">
        <v>93</v>
      </c>
      <c r="AG2">
        <v>0.17</v>
      </c>
      <c r="AH2" t="s">
        <v>93</v>
      </c>
      <c r="AI2" t="s">
        <v>93</v>
      </c>
      <c r="AJ2" t="s">
        <v>93</v>
      </c>
      <c r="AK2" t="s">
        <v>93</v>
      </c>
      <c r="AR2">
        <v>0.66</v>
      </c>
      <c r="AS2">
        <v>0.17</v>
      </c>
      <c r="CR2">
        <v>0</v>
      </c>
      <c r="CS2">
        <v>0</v>
      </c>
      <c r="CT2">
        <v>-1414.695283245476</v>
      </c>
      <c r="CU2" s="7">
        <v>-1414.695283245476</v>
      </c>
      <c r="CV2" t="s">
        <v>3143</v>
      </c>
    </row>
    <row r="3" spans="1:101" ht="15.75" thickBot="1" x14ac:dyDescent="0.3">
      <c r="A3" t="s">
        <v>2519</v>
      </c>
      <c r="B3" t="s">
        <v>2520</v>
      </c>
      <c r="C3" t="s">
        <v>3141</v>
      </c>
      <c r="D3" t="s">
        <v>3142</v>
      </c>
      <c r="G3" t="s">
        <v>3146</v>
      </c>
      <c r="H3">
        <v>39.371000000000002</v>
      </c>
      <c r="I3">
        <v>1026</v>
      </c>
      <c r="M3">
        <v>0</v>
      </c>
      <c r="O3" t="s">
        <v>93</v>
      </c>
      <c r="P3" t="s">
        <v>93</v>
      </c>
      <c r="Q3">
        <v>0</v>
      </c>
      <c r="R3" t="s">
        <v>95</v>
      </c>
      <c r="S3">
        <v>-23.15274101</v>
      </c>
      <c r="T3">
        <v>-588.06586091285453</v>
      </c>
      <c r="U3" t="s">
        <v>95</v>
      </c>
      <c r="V3">
        <v>689212</v>
      </c>
      <c r="W3" t="s">
        <v>1100</v>
      </c>
      <c r="X3">
        <v>298</v>
      </c>
      <c r="Y3" t="s">
        <v>1273</v>
      </c>
      <c r="Z3">
        <v>-43.6</v>
      </c>
      <c r="AA3" t="s">
        <v>95</v>
      </c>
      <c r="AB3">
        <v>-1107.4140865103757</v>
      </c>
      <c r="AC3" t="s">
        <v>93</v>
      </c>
      <c r="AD3">
        <v>1.8</v>
      </c>
      <c r="AE3" t="s">
        <v>95</v>
      </c>
      <c r="AF3" t="s">
        <v>93</v>
      </c>
      <c r="AH3" t="s">
        <v>93</v>
      </c>
      <c r="AI3" t="s">
        <v>93</v>
      </c>
      <c r="BQ3">
        <v>0.75</v>
      </c>
      <c r="CN3">
        <v>0.25</v>
      </c>
      <c r="CR3">
        <v>0</v>
      </c>
      <c r="CS3">
        <v>-588.06586091285453</v>
      </c>
      <c r="CT3">
        <v>-1107.4140865103757</v>
      </c>
      <c r="CU3" s="7">
        <v>-847.73997371161511</v>
      </c>
      <c r="CV3" t="s">
        <v>3146</v>
      </c>
    </row>
    <row r="4" spans="1:101" ht="15.75" thickBot="1" x14ac:dyDescent="0.3">
      <c r="A4" t="s">
        <v>2252</v>
      </c>
      <c r="B4" t="s">
        <v>2542</v>
      </c>
      <c r="C4" t="s">
        <v>3141</v>
      </c>
      <c r="D4" t="s">
        <v>3142</v>
      </c>
      <c r="G4" t="s">
        <v>3143</v>
      </c>
      <c r="H4">
        <v>85.681539999999998</v>
      </c>
      <c r="I4">
        <v>1035</v>
      </c>
      <c r="J4">
        <v>0</v>
      </c>
      <c r="K4" t="s">
        <v>95</v>
      </c>
      <c r="L4">
        <v>-63.549860010000003</v>
      </c>
      <c r="M4">
        <v>-741.69838695709723</v>
      </c>
      <c r="N4" t="s">
        <v>95</v>
      </c>
      <c r="O4" t="s">
        <v>269</v>
      </c>
      <c r="P4" t="s">
        <v>93</v>
      </c>
      <c r="Q4">
        <v>0</v>
      </c>
      <c r="R4" t="s">
        <v>95</v>
      </c>
      <c r="S4">
        <v>-64.591732399999998</v>
      </c>
      <c r="T4">
        <v>-753.85821029827423</v>
      </c>
      <c r="U4" t="s">
        <v>95</v>
      </c>
      <c r="V4">
        <v>94913</v>
      </c>
      <c r="W4" t="s">
        <v>102</v>
      </c>
      <c r="X4">
        <v>305</v>
      </c>
      <c r="Y4" t="s">
        <v>103</v>
      </c>
      <c r="Z4">
        <v>-66.3</v>
      </c>
      <c r="AA4" t="s">
        <v>95</v>
      </c>
      <c r="AB4">
        <v>-773.79561571839156</v>
      </c>
      <c r="AC4" t="s">
        <v>93</v>
      </c>
      <c r="AD4">
        <v>1.7</v>
      </c>
      <c r="AE4" t="s">
        <v>95</v>
      </c>
      <c r="AF4" t="s">
        <v>93</v>
      </c>
      <c r="AR4">
        <v>0.5</v>
      </c>
      <c r="AS4">
        <v>0.5</v>
      </c>
      <c r="CR4">
        <v>-741.69838695709723</v>
      </c>
      <c r="CS4">
        <v>-753.85821029827423</v>
      </c>
      <c r="CT4">
        <v>-773.79561571839156</v>
      </c>
      <c r="CU4" s="7">
        <v>-756.45073765792097</v>
      </c>
      <c r="CV4" t="s">
        <v>3143</v>
      </c>
    </row>
    <row r="5" spans="1:101" ht="15.75" thickBot="1" x14ac:dyDescent="0.3">
      <c r="A5" t="s">
        <v>2011</v>
      </c>
      <c r="B5" t="s">
        <v>2997</v>
      </c>
      <c r="C5" t="s">
        <v>3141</v>
      </c>
      <c r="D5" t="s">
        <v>3142</v>
      </c>
      <c r="G5" t="s">
        <v>3147</v>
      </c>
      <c r="H5">
        <v>33.922539999999998</v>
      </c>
      <c r="I5">
        <v>1261</v>
      </c>
      <c r="J5">
        <v>0</v>
      </c>
      <c r="K5" t="s">
        <v>95</v>
      </c>
      <c r="L5">
        <v>-17.304785209999999</v>
      </c>
      <c r="M5">
        <v>-510.12645898567735</v>
      </c>
      <c r="N5" t="s">
        <v>95</v>
      </c>
      <c r="O5" t="s">
        <v>2999</v>
      </c>
      <c r="P5" t="s">
        <v>93</v>
      </c>
      <c r="Q5">
        <v>0</v>
      </c>
      <c r="R5" t="s">
        <v>95</v>
      </c>
      <c r="S5">
        <v>-17.958153079999999</v>
      </c>
      <c r="T5">
        <v>-529.38704118264729</v>
      </c>
      <c r="U5" t="s">
        <v>95</v>
      </c>
      <c r="V5">
        <v>2012</v>
      </c>
      <c r="W5" t="s">
        <v>184</v>
      </c>
      <c r="X5">
        <v>296</v>
      </c>
      <c r="Y5" t="s">
        <v>160</v>
      </c>
      <c r="Z5">
        <v>-20.7</v>
      </c>
      <c r="AA5" t="s">
        <v>95</v>
      </c>
      <c r="AB5">
        <v>-610.21373989093979</v>
      </c>
      <c r="AC5" t="s">
        <v>93</v>
      </c>
      <c r="AD5">
        <v>0.5</v>
      </c>
      <c r="AE5" t="s">
        <v>95</v>
      </c>
      <c r="AF5" t="s">
        <v>93</v>
      </c>
      <c r="AR5">
        <v>0.5</v>
      </c>
      <c r="CN5">
        <v>0.5</v>
      </c>
      <c r="CR5">
        <v>-510.12645898567735</v>
      </c>
      <c r="CS5">
        <v>-529.38704118264729</v>
      </c>
      <c r="CT5">
        <v>-610.21373989093979</v>
      </c>
      <c r="CU5" s="7">
        <v>-549.90908001975492</v>
      </c>
      <c r="CV5" t="s">
        <v>3147</v>
      </c>
    </row>
    <row r="6" spans="1:101" ht="15.75" thickBot="1" x14ac:dyDescent="0.3">
      <c r="A6" t="s">
        <v>493</v>
      </c>
      <c r="B6" t="s">
        <v>1196</v>
      </c>
      <c r="C6" t="s">
        <v>3141</v>
      </c>
      <c r="D6" t="s">
        <v>3142</v>
      </c>
      <c r="G6" t="s">
        <v>3148</v>
      </c>
      <c r="H6">
        <v>69.743200000000002</v>
      </c>
      <c r="I6">
        <v>469</v>
      </c>
      <c r="J6">
        <v>0</v>
      </c>
      <c r="K6" t="s">
        <v>95</v>
      </c>
      <c r="L6">
        <v>-38.744114209999999</v>
      </c>
      <c r="M6">
        <v>-555.52533021140414</v>
      </c>
      <c r="N6" t="s">
        <v>95</v>
      </c>
      <c r="O6" t="s">
        <v>1197</v>
      </c>
      <c r="P6" t="s">
        <v>93</v>
      </c>
      <c r="Q6">
        <v>0</v>
      </c>
      <c r="R6" t="s">
        <v>95</v>
      </c>
      <c r="S6">
        <v>-39.567030289999998</v>
      </c>
      <c r="T6">
        <v>-567.32456053063231</v>
      </c>
      <c r="U6" t="s">
        <v>95</v>
      </c>
      <c r="V6">
        <v>5858</v>
      </c>
      <c r="W6" t="s">
        <v>358</v>
      </c>
      <c r="X6">
        <v>298</v>
      </c>
      <c r="Y6" t="s">
        <v>359</v>
      </c>
      <c r="Z6">
        <v>-34.799999999999997</v>
      </c>
      <c r="AA6" t="s">
        <v>95</v>
      </c>
      <c r="AB6">
        <v>-498.97337661592809</v>
      </c>
      <c r="AC6" t="s">
        <v>93</v>
      </c>
      <c r="AD6">
        <v>3</v>
      </c>
      <c r="AE6" t="s">
        <v>95</v>
      </c>
      <c r="AF6" t="s">
        <v>93</v>
      </c>
      <c r="AW6">
        <v>0.5</v>
      </c>
      <c r="BQ6">
        <v>0.5</v>
      </c>
      <c r="CR6">
        <v>-555.52533021140414</v>
      </c>
      <c r="CS6">
        <v>-567.32456053063231</v>
      </c>
      <c r="CT6">
        <v>-498.97337661592809</v>
      </c>
      <c r="CU6" s="7">
        <v>-540.60775578598816</v>
      </c>
      <c r="CV6" t="s">
        <v>3148</v>
      </c>
    </row>
    <row r="7" spans="1:101" ht="15.75" thickBot="1" x14ac:dyDescent="0.3">
      <c r="A7" t="s">
        <v>493</v>
      </c>
      <c r="B7" t="s">
        <v>1198</v>
      </c>
      <c r="C7" t="s">
        <v>3141</v>
      </c>
      <c r="D7" t="s">
        <v>3142</v>
      </c>
      <c r="G7" t="s">
        <v>3148</v>
      </c>
      <c r="H7">
        <v>66.656999999999996</v>
      </c>
      <c r="I7">
        <v>470</v>
      </c>
      <c r="J7">
        <v>0</v>
      </c>
      <c r="K7" t="s">
        <v>95</v>
      </c>
      <c r="L7">
        <v>-35.987253819999999</v>
      </c>
      <c r="M7">
        <v>-539.88709092818453</v>
      </c>
      <c r="N7" t="s">
        <v>95</v>
      </c>
      <c r="O7" t="s">
        <v>1199</v>
      </c>
      <c r="P7" t="s">
        <v>93</v>
      </c>
      <c r="Q7">
        <v>6.0906729999999999E-2</v>
      </c>
      <c r="R7" t="s">
        <v>95</v>
      </c>
      <c r="S7">
        <v>-36.275577660000003</v>
      </c>
      <c r="T7">
        <v>-544.21257572347997</v>
      </c>
      <c r="U7" t="s">
        <v>95</v>
      </c>
      <c r="V7">
        <v>5857</v>
      </c>
      <c r="W7" t="s">
        <v>358</v>
      </c>
      <c r="X7">
        <v>298</v>
      </c>
      <c r="Y7" t="s">
        <v>359</v>
      </c>
      <c r="Z7">
        <v>-32.299999999999997</v>
      </c>
      <c r="AA7" t="s">
        <v>95</v>
      </c>
      <c r="AB7">
        <v>-484.57026268808971</v>
      </c>
      <c r="AC7" t="s">
        <v>93</v>
      </c>
      <c r="AD7">
        <v>2.2000000000000002</v>
      </c>
      <c r="AE7" t="s">
        <v>95</v>
      </c>
      <c r="AF7" t="s">
        <v>93</v>
      </c>
      <c r="AT7">
        <v>0.5</v>
      </c>
      <c r="BQ7">
        <v>0.5</v>
      </c>
      <c r="CR7">
        <v>-539.88709092818453</v>
      </c>
      <c r="CS7">
        <v>-544.21257572347997</v>
      </c>
      <c r="CT7">
        <v>-484.57026268808971</v>
      </c>
      <c r="CU7" s="7">
        <v>-522.88997644658468</v>
      </c>
      <c r="CV7" t="s">
        <v>3148</v>
      </c>
    </row>
    <row r="8" spans="1:101" ht="15.75" thickBot="1" x14ac:dyDescent="0.3">
      <c r="A8" t="s">
        <v>2252</v>
      </c>
      <c r="B8" t="s">
        <v>93</v>
      </c>
      <c r="C8" t="s">
        <v>3141</v>
      </c>
      <c r="D8" t="s">
        <v>3142</v>
      </c>
      <c r="G8" t="s">
        <v>3143</v>
      </c>
      <c r="H8">
        <v>133.58153999999999</v>
      </c>
      <c r="I8">
        <v>1038</v>
      </c>
      <c r="M8">
        <v>0</v>
      </c>
      <c r="O8" t="s">
        <v>93</v>
      </c>
      <c r="P8" t="s">
        <v>93</v>
      </c>
      <c r="T8">
        <v>0</v>
      </c>
      <c r="V8" t="s">
        <v>93</v>
      </c>
      <c r="W8" t="s">
        <v>225</v>
      </c>
      <c r="X8">
        <v>300</v>
      </c>
      <c r="Y8" t="s">
        <v>179</v>
      </c>
      <c r="Z8">
        <v>-56.9</v>
      </c>
      <c r="AA8" t="s">
        <v>95</v>
      </c>
      <c r="AB8">
        <v>-425.95705963563529</v>
      </c>
      <c r="AC8" t="s">
        <v>93</v>
      </c>
      <c r="AD8">
        <v>1.1000000000000001</v>
      </c>
      <c r="AE8" t="s">
        <v>95</v>
      </c>
      <c r="AF8" t="s">
        <v>93</v>
      </c>
      <c r="AH8" t="s">
        <v>93</v>
      </c>
      <c r="AI8" t="s">
        <v>93</v>
      </c>
      <c r="AJ8" t="s">
        <v>93</v>
      </c>
      <c r="AK8" t="s">
        <v>93</v>
      </c>
      <c r="AR8">
        <v>0.33300000000000002</v>
      </c>
      <c r="AS8">
        <v>0.33300000000000002</v>
      </c>
      <c r="BA8">
        <v>0.33300000000000002</v>
      </c>
      <c r="CR8">
        <v>0</v>
      </c>
      <c r="CS8">
        <v>0</v>
      </c>
      <c r="CT8">
        <v>-425.95705963563529</v>
      </c>
      <c r="CU8" s="7">
        <v>-425.95705963563529</v>
      </c>
      <c r="CV8" t="s">
        <v>3143</v>
      </c>
    </row>
    <row r="9" spans="1:101" ht="15.75" thickBot="1" x14ac:dyDescent="0.3">
      <c r="A9" t="s">
        <v>2252</v>
      </c>
      <c r="B9" t="s">
        <v>2255</v>
      </c>
      <c r="C9" t="s">
        <v>3141</v>
      </c>
      <c r="D9" t="s">
        <v>3142</v>
      </c>
      <c r="G9" t="s">
        <v>3143</v>
      </c>
      <c r="H9">
        <v>142.86897999999999</v>
      </c>
      <c r="I9">
        <v>900</v>
      </c>
      <c r="J9">
        <v>0</v>
      </c>
      <c r="K9" t="s">
        <v>95</v>
      </c>
      <c r="L9">
        <v>-51.276283390000003</v>
      </c>
      <c r="M9">
        <v>-358.90424492426564</v>
      </c>
      <c r="N9" t="s">
        <v>95</v>
      </c>
      <c r="O9" t="s">
        <v>1147</v>
      </c>
      <c r="P9" t="s">
        <v>93</v>
      </c>
      <c r="Q9">
        <v>0</v>
      </c>
      <c r="R9" t="s">
        <v>95</v>
      </c>
      <c r="S9">
        <v>-51.513654119999998</v>
      </c>
      <c r="T9">
        <v>-360.56570236590198</v>
      </c>
      <c r="U9" t="s">
        <v>95</v>
      </c>
      <c r="V9">
        <v>10612</v>
      </c>
      <c r="W9" t="s">
        <v>159</v>
      </c>
      <c r="X9">
        <v>298</v>
      </c>
      <c r="Y9" t="s">
        <v>160</v>
      </c>
      <c r="Z9">
        <v>-53.5</v>
      </c>
      <c r="AA9" t="s">
        <v>95</v>
      </c>
      <c r="AB9">
        <v>-374.46897150102149</v>
      </c>
      <c r="AC9" t="s">
        <v>93</v>
      </c>
      <c r="AD9">
        <v>2.5</v>
      </c>
      <c r="AE9" t="s">
        <v>95</v>
      </c>
      <c r="AF9" t="s">
        <v>93</v>
      </c>
      <c r="AG9">
        <v>0.33</v>
      </c>
      <c r="AR9">
        <v>0.66</v>
      </c>
      <c r="CR9">
        <v>-358.90424492426564</v>
      </c>
      <c r="CS9">
        <v>-360.56570236590198</v>
      </c>
      <c r="CT9">
        <v>-374.46897150102149</v>
      </c>
      <c r="CU9" s="7">
        <v>-364.64630626372968</v>
      </c>
      <c r="CV9" t="s">
        <v>3143</v>
      </c>
    </row>
    <row r="10" spans="1:101" ht="15.75" thickBot="1" x14ac:dyDescent="0.3">
      <c r="A10" t="s">
        <v>2252</v>
      </c>
      <c r="B10" t="s">
        <v>1966</v>
      </c>
      <c r="C10" t="s">
        <v>3141</v>
      </c>
      <c r="D10" t="s">
        <v>3142</v>
      </c>
      <c r="G10" t="s">
        <v>3143</v>
      </c>
      <c r="H10">
        <v>103.747</v>
      </c>
      <c r="I10">
        <v>973</v>
      </c>
      <c r="J10">
        <v>0</v>
      </c>
      <c r="K10" t="s">
        <v>95</v>
      </c>
      <c r="L10">
        <v>-40.319287580000001</v>
      </c>
      <c r="M10">
        <v>-388.6308768446317</v>
      </c>
      <c r="N10" t="s">
        <v>95</v>
      </c>
      <c r="O10" t="s">
        <v>1968</v>
      </c>
      <c r="P10" t="s">
        <v>93</v>
      </c>
      <c r="Q10">
        <v>9.5112799999999997E-2</v>
      </c>
      <c r="R10" t="s">
        <v>95</v>
      </c>
      <c r="S10">
        <v>-43.340474280000002</v>
      </c>
      <c r="T10">
        <v>-417.7515906965985</v>
      </c>
      <c r="U10" t="s">
        <v>95</v>
      </c>
      <c r="V10">
        <v>19423</v>
      </c>
      <c r="W10" t="s">
        <v>102</v>
      </c>
      <c r="X10">
        <v>298</v>
      </c>
      <c r="Y10" t="s">
        <v>103</v>
      </c>
      <c r="Z10">
        <v>-22.5</v>
      </c>
      <c r="AA10" t="s">
        <v>95</v>
      </c>
      <c r="AB10">
        <v>-216.87374092744852</v>
      </c>
      <c r="AC10" t="s">
        <v>93</v>
      </c>
      <c r="AD10">
        <v>1.4</v>
      </c>
      <c r="AE10" t="s">
        <v>95</v>
      </c>
      <c r="AF10" t="s">
        <v>93</v>
      </c>
      <c r="AT10">
        <v>0.5</v>
      </c>
      <c r="BA10">
        <v>0.5</v>
      </c>
      <c r="CR10">
        <v>-388.6308768446317</v>
      </c>
      <c r="CS10">
        <v>-417.7515906965985</v>
      </c>
      <c r="CT10">
        <v>-216.87374092744852</v>
      </c>
      <c r="CU10" s="7">
        <v>-341.08540282289295</v>
      </c>
      <c r="CV10" t="s">
        <v>3143</v>
      </c>
    </row>
    <row r="11" spans="1:101" ht="15.75" thickBot="1" x14ac:dyDescent="0.3">
      <c r="A11" t="s">
        <v>2252</v>
      </c>
      <c r="B11" t="s">
        <v>2548</v>
      </c>
      <c r="C11" t="s">
        <v>3141</v>
      </c>
      <c r="D11" t="s">
        <v>3142</v>
      </c>
      <c r="G11" t="s">
        <v>3143</v>
      </c>
      <c r="H11">
        <v>192.28154000000001</v>
      </c>
      <c r="I11">
        <v>1040</v>
      </c>
      <c r="J11">
        <v>0</v>
      </c>
      <c r="K11" t="s">
        <v>95</v>
      </c>
      <c r="L11">
        <v>-59.871580729999998</v>
      </c>
      <c r="M11">
        <v>-311.37456424574088</v>
      </c>
      <c r="N11" t="s">
        <v>95</v>
      </c>
      <c r="O11" t="s">
        <v>328</v>
      </c>
      <c r="P11" t="s">
        <v>93</v>
      </c>
      <c r="Q11">
        <v>0</v>
      </c>
      <c r="R11" t="s">
        <v>95</v>
      </c>
      <c r="S11">
        <v>-61.864152109999999</v>
      </c>
      <c r="T11">
        <v>-321.73734467697727</v>
      </c>
      <c r="U11" t="s">
        <v>95</v>
      </c>
      <c r="V11">
        <v>21081</v>
      </c>
      <c r="W11" t="s">
        <v>184</v>
      </c>
      <c r="X11">
        <v>300</v>
      </c>
      <c r="Y11" t="s">
        <v>185</v>
      </c>
      <c r="Z11">
        <v>-72.099999999999994</v>
      </c>
      <c r="AA11" t="s">
        <v>95</v>
      </c>
      <c r="AB11">
        <v>-374.97099305528752</v>
      </c>
      <c r="AC11" t="s">
        <v>93</v>
      </c>
      <c r="AD11">
        <v>1.2</v>
      </c>
      <c r="AE11" t="s">
        <v>95</v>
      </c>
      <c r="AF11" t="s">
        <v>93</v>
      </c>
      <c r="AR11">
        <v>0.25</v>
      </c>
      <c r="AS11">
        <v>0.5</v>
      </c>
      <c r="BA11">
        <v>0.25</v>
      </c>
      <c r="CR11">
        <v>-311.37456424574088</v>
      </c>
      <c r="CS11">
        <v>-321.73734467697727</v>
      </c>
      <c r="CT11">
        <v>-374.97099305528752</v>
      </c>
      <c r="CU11" s="7">
        <v>-336.02763399266854</v>
      </c>
      <c r="CV11" t="s">
        <v>3143</v>
      </c>
    </row>
    <row r="12" spans="1:101" ht="15.75" thickBot="1" x14ac:dyDescent="0.3">
      <c r="A12" t="s">
        <v>2516</v>
      </c>
      <c r="B12" t="s">
        <v>2076</v>
      </c>
      <c r="C12" t="s">
        <v>3141</v>
      </c>
      <c r="D12" t="s">
        <v>3142</v>
      </c>
      <c r="G12" t="s">
        <v>3034</v>
      </c>
      <c r="H12" t="s">
        <v>3050</v>
      </c>
      <c r="K12" t="s">
        <v>3149</v>
      </c>
      <c r="M12" t="e">
        <v>#VALUE!</v>
      </c>
      <c r="O12" t="s">
        <v>93</v>
      </c>
      <c r="P12" t="s">
        <v>93</v>
      </c>
      <c r="T12" t="e">
        <v>#VALUE!</v>
      </c>
      <c r="V12" t="s">
        <v>93</v>
      </c>
      <c r="W12" t="s">
        <v>1085</v>
      </c>
      <c r="X12">
        <v>298</v>
      </c>
      <c r="Y12" t="s">
        <v>359</v>
      </c>
      <c r="Z12">
        <v>-103.56</v>
      </c>
      <c r="AA12" t="s">
        <v>95</v>
      </c>
      <c r="AB12" t="e">
        <v>#VALUE!</v>
      </c>
      <c r="AC12" t="s">
        <v>93</v>
      </c>
      <c r="AD12">
        <v>23.49</v>
      </c>
      <c r="AE12" t="s">
        <v>95</v>
      </c>
      <c r="AF12" t="s">
        <v>93</v>
      </c>
      <c r="AH12" t="s">
        <v>93</v>
      </c>
      <c r="AI12" t="s">
        <v>93</v>
      </c>
      <c r="AJ12" t="s">
        <v>93</v>
      </c>
      <c r="AK12" t="s">
        <v>93</v>
      </c>
      <c r="AO12">
        <v>0.66700000000000004</v>
      </c>
      <c r="AR12">
        <v>0.33300000000000002</v>
      </c>
      <c r="CR12" t="e">
        <v>#VALUE!</v>
      </c>
      <c r="CS12" t="e">
        <v>#VALUE!</v>
      </c>
      <c r="CT12" t="e">
        <v>#VALUE!</v>
      </c>
      <c r="CU12" s="7" t="e">
        <v>#VALUE!</v>
      </c>
      <c r="CV12" t="s">
        <v>3034</v>
      </c>
    </row>
    <row r="13" spans="1:101" ht="15.75" thickBot="1" x14ac:dyDescent="0.3">
      <c r="A13" t="s">
        <v>493</v>
      </c>
      <c r="B13" t="s">
        <v>1205</v>
      </c>
      <c r="C13" t="s">
        <v>3141</v>
      </c>
      <c r="D13" t="s">
        <v>3142</v>
      </c>
      <c r="G13" t="s">
        <v>3148</v>
      </c>
      <c r="H13">
        <v>69.510000000000005</v>
      </c>
      <c r="I13">
        <v>473</v>
      </c>
      <c r="J13">
        <v>0.26712341000000001</v>
      </c>
      <c r="K13" t="s">
        <v>95</v>
      </c>
      <c r="L13">
        <v>-23.30049541</v>
      </c>
      <c r="M13">
        <v>-335.21069500791248</v>
      </c>
      <c r="N13" t="s">
        <v>95</v>
      </c>
      <c r="O13" t="s">
        <v>1207</v>
      </c>
      <c r="P13" t="s">
        <v>93</v>
      </c>
      <c r="Q13">
        <v>0.44522813999999999</v>
      </c>
      <c r="R13" t="s">
        <v>95</v>
      </c>
      <c r="S13">
        <v>-23.479878859999999</v>
      </c>
      <c r="T13">
        <v>-337.79138052078832</v>
      </c>
      <c r="U13" t="s">
        <v>95</v>
      </c>
      <c r="V13">
        <v>5171</v>
      </c>
      <c r="W13" t="s">
        <v>430</v>
      </c>
      <c r="X13">
        <v>298</v>
      </c>
      <c r="Y13" t="s">
        <v>147</v>
      </c>
      <c r="Z13">
        <v>-20.100000000000001</v>
      </c>
      <c r="AA13" t="s">
        <v>95</v>
      </c>
      <c r="AB13">
        <v>-289.16702632714714</v>
      </c>
      <c r="AC13" t="s">
        <v>93</v>
      </c>
      <c r="AD13">
        <v>1.9</v>
      </c>
      <c r="AE13" t="s">
        <v>95</v>
      </c>
      <c r="AF13" t="s">
        <v>93</v>
      </c>
      <c r="AS13">
        <v>0.5</v>
      </c>
      <c r="BQ13">
        <v>0.5</v>
      </c>
      <c r="CR13">
        <v>-335.21069500791248</v>
      </c>
      <c r="CS13">
        <v>-337.79138052078832</v>
      </c>
      <c r="CT13">
        <v>-289.16702632714714</v>
      </c>
      <c r="CU13" s="7">
        <v>-320.72303395194928</v>
      </c>
      <c r="CV13" t="s">
        <v>3148</v>
      </c>
    </row>
    <row r="14" spans="1:101" ht="15.75" thickBot="1" x14ac:dyDescent="0.3">
      <c r="A14" t="s">
        <v>2252</v>
      </c>
      <c r="B14" t="s">
        <v>2253</v>
      </c>
      <c r="C14" t="s">
        <v>3141</v>
      </c>
      <c r="D14" t="s">
        <v>3142</v>
      </c>
      <c r="G14" t="s">
        <v>3143</v>
      </c>
      <c r="H14">
        <v>169.85051999999999</v>
      </c>
      <c r="I14">
        <v>899</v>
      </c>
      <c r="J14">
        <v>0</v>
      </c>
      <c r="K14" t="s">
        <v>95</v>
      </c>
      <c r="L14">
        <v>-42.12897822</v>
      </c>
      <c r="M14">
        <v>-248.03561519858758</v>
      </c>
      <c r="N14" t="s">
        <v>95</v>
      </c>
      <c r="O14" t="s">
        <v>2254</v>
      </c>
      <c r="P14" t="s">
        <v>93</v>
      </c>
      <c r="T14">
        <v>0</v>
      </c>
      <c r="V14" t="s">
        <v>93</v>
      </c>
      <c r="W14" t="s">
        <v>1313</v>
      </c>
      <c r="X14">
        <v>298</v>
      </c>
      <c r="Y14" t="s">
        <v>179</v>
      </c>
      <c r="Z14">
        <v>-46.4</v>
      </c>
      <c r="AA14" t="s">
        <v>95</v>
      </c>
      <c r="AB14">
        <v>-273.18138325393409</v>
      </c>
      <c r="AC14" t="s">
        <v>93</v>
      </c>
      <c r="AD14">
        <v>1.8</v>
      </c>
      <c r="AE14" t="s">
        <v>95</v>
      </c>
      <c r="AF14" t="s">
        <v>93</v>
      </c>
      <c r="AG14">
        <v>0.25</v>
      </c>
      <c r="AJ14" t="s">
        <v>93</v>
      </c>
      <c r="AK14" t="s">
        <v>93</v>
      </c>
      <c r="AR14">
        <v>0.75</v>
      </c>
      <c r="CR14">
        <v>-248.03561519858758</v>
      </c>
      <c r="CS14">
        <v>0</v>
      </c>
      <c r="CT14">
        <v>-273.18138325393409</v>
      </c>
      <c r="CU14" s="7">
        <v>-260.60849922626085</v>
      </c>
      <c r="CV14" t="s">
        <v>3143</v>
      </c>
    </row>
    <row r="15" spans="1:101" ht="15.75" thickBot="1" x14ac:dyDescent="0.3">
      <c r="A15" t="s">
        <v>2252</v>
      </c>
      <c r="B15" t="s">
        <v>2526</v>
      </c>
      <c r="C15" t="s">
        <v>3141</v>
      </c>
      <c r="D15" t="s">
        <v>3142</v>
      </c>
      <c r="G15" t="s">
        <v>3143</v>
      </c>
      <c r="H15">
        <v>109.81008</v>
      </c>
      <c r="I15">
        <v>1029</v>
      </c>
      <c r="M15">
        <v>0</v>
      </c>
      <c r="O15" t="s">
        <v>93</v>
      </c>
      <c r="P15" t="s">
        <v>93</v>
      </c>
      <c r="T15">
        <v>0</v>
      </c>
      <c r="V15" t="s">
        <v>93</v>
      </c>
      <c r="W15" t="s">
        <v>2527</v>
      </c>
      <c r="X15">
        <v>298</v>
      </c>
      <c r="Y15" t="s">
        <v>2528</v>
      </c>
      <c r="Z15">
        <v>-27.8</v>
      </c>
      <c r="AA15" t="s">
        <v>95</v>
      </c>
      <c r="AB15">
        <v>-253.16437252390676</v>
      </c>
      <c r="AC15" t="s">
        <v>93</v>
      </c>
      <c r="AD15">
        <v>1.9</v>
      </c>
      <c r="AE15" t="s">
        <v>95</v>
      </c>
      <c r="AF15" t="s">
        <v>93</v>
      </c>
      <c r="AH15" t="s">
        <v>93</v>
      </c>
      <c r="AI15" t="s">
        <v>93</v>
      </c>
      <c r="AJ15" t="s">
        <v>93</v>
      </c>
      <c r="AK15" t="s">
        <v>93</v>
      </c>
      <c r="AR15">
        <v>0.66700000000000004</v>
      </c>
      <c r="AT15">
        <v>0.33300000000000002</v>
      </c>
      <c r="CR15">
        <v>0</v>
      </c>
      <c r="CS15">
        <v>0</v>
      </c>
      <c r="CT15">
        <v>-253.16437252390676</v>
      </c>
      <c r="CU15" s="7">
        <v>-253.16437252390676</v>
      </c>
      <c r="CV15" t="s">
        <v>3143</v>
      </c>
    </row>
    <row r="16" spans="1:101" ht="15.75" thickBot="1" x14ac:dyDescent="0.3">
      <c r="A16" t="s">
        <v>2011</v>
      </c>
      <c r="B16" t="s">
        <v>3000</v>
      </c>
      <c r="C16" t="s">
        <v>3141</v>
      </c>
      <c r="D16" t="s">
        <v>3142</v>
      </c>
      <c r="G16" t="s">
        <v>3147</v>
      </c>
      <c r="H16">
        <v>74.786079999999998</v>
      </c>
      <c r="I16">
        <v>1263</v>
      </c>
      <c r="J16">
        <v>0</v>
      </c>
      <c r="K16" t="s">
        <v>95</v>
      </c>
      <c r="L16">
        <v>-17.507539999999999</v>
      </c>
      <c r="M16">
        <v>-234.10158681936531</v>
      </c>
      <c r="N16" t="s">
        <v>95</v>
      </c>
      <c r="O16" t="s">
        <v>3001</v>
      </c>
      <c r="P16" t="s">
        <v>93</v>
      </c>
      <c r="Q16">
        <v>0</v>
      </c>
      <c r="R16" t="s">
        <v>95</v>
      </c>
      <c r="S16">
        <v>-18.524730680000001</v>
      </c>
      <c r="T16">
        <v>-247.70292385962739</v>
      </c>
      <c r="U16" t="s">
        <v>95</v>
      </c>
      <c r="V16">
        <v>10488</v>
      </c>
      <c r="W16" t="s">
        <v>3002</v>
      </c>
      <c r="X16">
        <v>296</v>
      </c>
      <c r="Y16" t="s">
        <v>700</v>
      </c>
      <c r="Z16">
        <v>-19.100000000000001</v>
      </c>
      <c r="AA16" t="s">
        <v>95</v>
      </c>
      <c r="AB16">
        <v>-255.39512165900396</v>
      </c>
      <c r="AC16" t="s">
        <v>93</v>
      </c>
      <c r="AD16">
        <v>0.4</v>
      </c>
      <c r="AE16" t="s">
        <v>95</v>
      </c>
      <c r="AF16" t="s">
        <v>93</v>
      </c>
      <c r="AR16">
        <v>0.4</v>
      </c>
      <c r="CN16">
        <v>0.6</v>
      </c>
      <c r="CR16">
        <v>-234.10158681936531</v>
      </c>
      <c r="CS16">
        <v>-247.70292385962739</v>
      </c>
      <c r="CT16">
        <v>-255.39512165900396</v>
      </c>
      <c r="CU16" s="7">
        <v>-245.73321077933224</v>
      </c>
      <c r="CV16" t="s">
        <v>3147</v>
      </c>
    </row>
    <row r="17" spans="1:100" ht="15.75" thickBot="1" x14ac:dyDescent="0.3">
      <c r="A17" t="s">
        <v>2252</v>
      </c>
      <c r="B17" t="s">
        <v>2546</v>
      </c>
      <c r="C17" t="s">
        <v>3141</v>
      </c>
      <c r="D17" t="s">
        <v>3142</v>
      </c>
      <c r="G17" t="s">
        <v>3143</v>
      </c>
      <c r="H17">
        <v>160.56308000000001</v>
      </c>
      <c r="I17">
        <v>1037</v>
      </c>
      <c r="M17">
        <v>0</v>
      </c>
      <c r="O17" t="s">
        <v>93</v>
      </c>
      <c r="P17" t="s">
        <v>93</v>
      </c>
      <c r="Q17">
        <v>22.157315390000001</v>
      </c>
      <c r="R17" t="s">
        <v>95</v>
      </c>
      <c r="S17">
        <v>-32.516634549999999</v>
      </c>
      <c r="T17">
        <v>-202.51626058742767</v>
      </c>
      <c r="U17" t="s">
        <v>95</v>
      </c>
      <c r="V17">
        <v>509949</v>
      </c>
      <c r="W17" t="s">
        <v>1965</v>
      </c>
      <c r="X17">
        <v>300</v>
      </c>
      <c r="Y17" t="s">
        <v>185</v>
      </c>
      <c r="Z17">
        <v>-40.700000000000003</v>
      </c>
      <c r="AA17" t="s">
        <v>95</v>
      </c>
      <c r="AB17">
        <v>-253.48293019790103</v>
      </c>
      <c r="AC17" t="s">
        <v>93</v>
      </c>
      <c r="AD17">
        <v>1.8</v>
      </c>
      <c r="AE17" t="s">
        <v>95</v>
      </c>
      <c r="AF17" t="s">
        <v>93</v>
      </c>
      <c r="AH17" t="s">
        <v>93</v>
      </c>
      <c r="AI17" t="s">
        <v>93</v>
      </c>
      <c r="AR17">
        <v>0.5</v>
      </c>
      <c r="AS17">
        <v>0.25</v>
      </c>
      <c r="BA17">
        <v>0.25</v>
      </c>
      <c r="CR17">
        <v>0</v>
      </c>
      <c r="CS17">
        <v>-202.51626058742767</v>
      </c>
      <c r="CT17">
        <v>-253.48293019790103</v>
      </c>
      <c r="CU17" s="7">
        <v>-227.99959539266433</v>
      </c>
      <c r="CV17" t="s">
        <v>3143</v>
      </c>
    </row>
    <row r="18" spans="1:100" ht="15.75" thickBot="1" x14ac:dyDescent="0.3">
      <c r="A18" t="s">
        <v>493</v>
      </c>
      <c r="B18" t="s">
        <v>494</v>
      </c>
      <c r="C18" t="s">
        <v>3141</v>
      </c>
      <c r="D18" t="s">
        <v>3142</v>
      </c>
      <c r="G18" t="s">
        <v>3148</v>
      </c>
      <c r="H18">
        <v>108.50190000000001</v>
      </c>
      <c r="I18">
        <v>200</v>
      </c>
      <c r="J18">
        <v>0</v>
      </c>
      <c r="K18" t="s">
        <v>95</v>
      </c>
      <c r="L18">
        <v>-26.202944209999998</v>
      </c>
      <c r="M18">
        <v>-241.49756096437019</v>
      </c>
      <c r="N18" t="s">
        <v>95</v>
      </c>
      <c r="O18" t="s">
        <v>495</v>
      </c>
      <c r="P18" t="s">
        <v>93</v>
      </c>
      <c r="Q18">
        <v>4.643982E-2</v>
      </c>
      <c r="R18" t="s">
        <v>95</v>
      </c>
      <c r="S18">
        <v>-26.857092640000001</v>
      </c>
      <c r="T18">
        <v>-247.52647317696741</v>
      </c>
      <c r="U18" t="s">
        <v>95</v>
      </c>
      <c r="V18">
        <v>88926</v>
      </c>
      <c r="W18" t="s">
        <v>102</v>
      </c>
      <c r="X18">
        <v>298</v>
      </c>
      <c r="Y18" t="s">
        <v>103</v>
      </c>
      <c r="Z18">
        <v>-20.85</v>
      </c>
      <c r="AA18" t="s">
        <v>95</v>
      </c>
      <c r="AB18">
        <v>-192.16253355932017</v>
      </c>
      <c r="AC18" t="s">
        <v>93</v>
      </c>
      <c r="AD18">
        <v>1.28</v>
      </c>
      <c r="AE18" t="s">
        <v>95</v>
      </c>
      <c r="AF18" t="s">
        <v>93</v>
      </c>
      <c r="AX18">
        <v>0.5</v>
      </c>
      <c r="CR18">
        <v>-241.49756096437019</v>
      </c>
      <c r="CS18">
        <v>-247.52647317696741</v>
      </c>
      <c r="CT18">
        <v>-192.16253355932017</v>
      </c>
      <c r="CU18" s="7">
        <v>-227.06218923355257</v>
      </c>
      <c r="CV18" t="s">
        <v>3148</v>
      </c>
    </row>
    <row r="19" spans="1:100" ht="15.75" thickBot="1" x14ac:dyDescent="0.3">
      <c r="A19" t="s">
        <v>493</v>
      </c>
      <c r="B19" t="s">
        <v>1187</v>
      </c>
      <c r="C19" t="s">
        <v>3141</v>
      </c>
      <c r="D19" t="s">
        <v>3142</v>
      </c>
      <c r="G19" t="s">
        <v>3148</v>
      </c>
      <c r="H19">
        <v>122.504</v>
      </c>
      <c r="I19">
        <v>465</v>
      </c>
      <c r="J19">
        <v>0</v>
      </c>
      <c r="K19" t="s">
        <v>95</v>
      </c>
      <c r="L19">
        <v>-30.153616450000001</v>
      </c>
      <c r="M19">
        <v>-246.14393366747206</v>
      </c>
      <c r="N19" t="s">
        <v>95</v>
      </c>
      <c r="O19" t="s">
        <v>1188</v>
      </c>
      <c r="P19" t="s">
        <v>93</v>
      </c>
      <c r="Q19">
        <v>0</v>
      </c>
      <c r="R19" t="s">
        <v>95</v>
      </c>
      <c r="S19">
        <v>-30.137833570000002</v>
      </c>
      <c r="T19">
        <v>-246.01509803761508</v>
      </c>
      <c r="U19" t="s">
        <v>95</v>
      </c>
      <c r="V19">
        <v>7798</v>
      </c>
      <c r="W19" t="s">
        <v>479</v>
      </c>
      <c r="X19">
        <v>298</v>
      </c>
      <c r="Y19" t="s">
        <v>480</v>
      </c>
      <c r="Z19">
        <v>-22.6</v>
      </c>
      <c r="AA19" t="s">
        <v>95</v>
      </c>
      <c r="AB19">
        <v>-184.48377195846666</v>
      </c>
      <c r="AC19" t="s">
        <v>93</v>
      </c>
      <c r="AD19">
        <v>2.7</v>
      </c>
      <c r="AE19" t="s">
        <v>95</v>
      </c>
      <c r="AF19" t="s">
        <v>93</v>
      </c>
      <c r="AT19">
        <v>0.66</v>
      </c>
      <c r="BQ19">
        <v>0.33</v>
      </c>
      <c r="CR19">
        <v>-246.14393366747206</v>
      </c>
      <c r="CS19">
        <v>-246.01509803761508</v>
      </c>
      <c r="CT19">
        <v>-184.48377195846666</v>
      </c>
      <c r="CU19" s="7">
        <v>-225.54760122118464</v>
      </c>
      <c r="CV19" t="s">
        <v>3148</v>
      </c>
    </row>
    <row r="20" spans="1:100" ht="15.75" thickBot="1" x14ac:dyDescent="0.3">
      <c r="A20" t="s">
        <v>2530</v>
      </c>
      <c r="B20" t="s">
        <v>2535</v>
      </c>
      <c r="C20" t="s">
        <v>3141</v>
      </c>
      <c r="D20" t="s">
        <v>3142</v>
      </c>
      <c r="G20" t="s">
        <v>3150</v>
      </c>
      <c r="J20" t="s">
        <v>3149</v>
      </c>
      <c r="M20" t="e">
        <v>#DIV/0!</v>
      </c>
      <c r="O20" t="s">
        <v>93</v>
      </c>
      <c r="P20" t="s">
        <v>93</v>
      </c>
      <c r="T20" t="e">
        <v>#DIV/0!</v>
      </c>
      <c r="V20" t="s">
        <v>93</v>
      </c>
      <c r="W20" t="s">
        <v>1121</v>
      </c>
      <c r="X20">
        <v>300</v>
      </c>
      <c r="Y20" t="s">
        <v>700</v>
      </c>
      <c r="Z20">
        <v>-29.4</v>
      </c>
      <c r="AA20" t="s">
        <v>95</v>
      </c>
      <c r="AB20" t="e">
        <v>#DIV/0!</v>
      </c>
      <c r="AC20" t="s">
        <v>93</v>
      </c>
      <c r="AD20">
        <v>1</v>
      </c>
      <c r="AE20" t="s">
        <v>95</v>
      </c>
      <c r="AF20" t="s">
        <v>93</v>
      </c>
      <c r="AH20" t="s">
        <v>93</v>
      </c>
      <c r="AI20" t="s">
        <v>93</v>
      </c>
      <c r="AJ20" t="s">
        <v>93</v>
      </c>
      <c r="AK20" t="s">
        <v>93</v>
      </c>
      <c r="BX20">
        <v>0.3</v>
      </c>
      <c r="CN20">
        <v>0.7</v>
      </c>
      <c r="CR20" t="e">
        <v>#DIV/0!</v>
      </c>
      <c r="CS20" t="e">
        <v>#DIV/0!</v>
      </c>
      <c r="CT20" t="e">
        <v>#DIV/0!</v>
      </c>
      <c r="CU20" s="7" t="e">
        <v>#DIV/0!</v>
      </c>
      <c r="CV20" t="s">
        <v>3150</v>
      </c>
    </row>
    <row r="21" spans="1:100" ht="15.75" thickBot="1" x14ac:dyDescent="0.3">
      <c r="A21" t="s">
        <v>493</v>
      </c>
      <c r="B21" t="s">
        <v>1192</v>
      </c>
      <c r="C21" t="s">
        <v>3141</v>
      </c>
      <c r="D21" t="s">
        <v>3142</v>
      </c>
      <c r="G21" t="s">
        <v>3148</v>
      </c>
      <c r="H21">
        <v>128.21</v>
      </c>
      <c r="I21">
        <v>467</v>
      </c>
      <c r="J21">
        <v>0</v>
      </c>
      <c r="K21" t="s">
        <v>95</v>
      </c>
      <c r="L21">
        <v>-27.975269560000001</v>
      </c>
      <c r="M21">
        <v>-218.19881101318148</v>
      </c>
      <c r="N21" t="s">
        <v>95</v>
      </c>
      <c r="O21" t="s">
        <v>1193</v>
      </c>
      <c r="P21" t="s">
        <v>93</v>
      </c>
      <c r="Q21">
        <v>0</v>
      </c>
      <c r="R21" t="s">
        <v>95</v>
      </c>
      <c r="S21">
        <v>-28.372826239999998</v>
      </c>
      <c r="T21">
        <v>-221.2996352858591</v>
      </c>
      <c r="U21" t="s">
        <v>95</v>
      </c>
      <c r="V21">
        <v>7800</v>
      </c>
      <c r="W21" t="s">
        <v>479</v>
      </c>
      <c r="X21">
        <v>298</v>
      </c>
      <c r="Y21" t="s">
        <v>480</v>
      </c>
      <c r="Z21">
        <v>-22.6</v>
      </c>
      <c r="AA21" t="s">
        <v>95</v>
      </c>
      <c r="AB21">
        <v>-176.27330161453864</v>
      </c>
      <c r="AC21" t="s">
        <v>93</v>
      </c>
      <c r="AD21">
        <v>1.4</v>
      </c>
      <c r="AE21" t="s">
        <v>95</v>
      </c>
      <c r="AF21" t="s">
        <v>93</v>
      </c>
      <c r="AS21">
        <v>0.66</v>
      </c>
      <c r="BQ21">
        <v>0.33</v>
      </c>
      <c r="CR21">
        <v>-218.19881101318148</v>
      </c>
      <c r="CS21">
        <v>-221.2996352858591</v>
      </c>
      <c r="CT21">
        <v>-176.27330161453864</v>
      </c>
      <c r="CU21" s="7">
        <v>-205.25724930452643</v>
      </c>
      <c r="CV21" t="s">
        <v>3148</v>
      </c>
    </row>
    <row r="22" spans="1:100" ht="15.75" thickBot="1" x14ac:dyDescent="0.3">
      <c r="A22" t="s">
        <v>2252</v>
      </c>
      <c r="B22" t="s">
        <v>2544</v>
      </c>
      <c r="C22" t="s">
        <v>3141</v>
      </c>
      <c r="D22" t="s">
        <v>3142</v>
      </c>
      <c r="G22" t="s">
        <v>3143</v>
      </c>
      <c r="H22">
        <v>203.08153999999999</v>
      </c>
      <c r="I22">
        <v>1036</v>
      </c>
      <c r="J22">
        <v>0</v>
      </c>
      <c r="K22" t="s">
        <v>95</v>
      </c>
      <c r="L22">
        <v>-41.731525070000004</v>
      </c>
      <c r="M22">
        <v>-205.49147436049583</v>
      </c>
      <c r="N22" t="s">
        <v>95</v>
      </c>
      <c r="O22" t="s">
        <v>2545</v>
      </c>
      <c r="P22" t="s">
        <v>93</v>
      </c>
      <c r="Q22">
        <v>0</v>
      </c>
      <c r="R22" t="s">
        <v>95</v>
      </c>
      <c r="S22">
        <v>-42.32309497</v>
      </c>
      <c r="T22">
        <v>-208.4044417331088</v>
      </c>
      <c r="U22" t="s">
        <v>95</v>
      </c>
      <c r="V22">
        <v>17890</v>
      </c>
      <c r="W22" t="s">
        <v>194</v>
      </c>
      <c r="X22">
        <v>298</v>
      </c>
      <c r="Y22" t="s">
        <v>103</v>
      </c>
      <c r="Z22">
        <v>-40.5</v>
      </c>
      <c r="AA22" t="s">
        <v>95</v>
      </c>
      <c r="AB22">
        <v>-199.4272842327274</v>
      </c>
      <c r="AC22" t="s">
        <v>93</v>
      </c>
      <c r="AD22">
        <v>1.6</v>
      </c>
      <c r="AE22" t="s">
        <v>95</v>
      </c>
      <c r="AF22" t="s">
        <v>93</v>
      </c>
      <c r="AR22">
        <v>0.25</v>
      </c>
      <c r="AS22">
        <v>0.75</v>
      </c>
      <c r="CR22">
        <v>-205.49147436049583</v>
      </c>
      <c r="CS22">
        <v>-208.4044417331088</v>
      </c>
      <c r="CT22">
        <v>-199.4272842327274</v>
      </c>
      <c r="CU22" s="7">
        <v>-204.441066775444</v>
      </c>
      <c r="CV22" t="s">
        <v>3143</v>
      </c>
    </row>
    <row r="23" spans="1:100" ht="15.75" thickBot="1" x14ac:dyDescent="0.3">
      <c r="A23" t="s">
        <v>2519</v>
      </c>
      <c r="B23" t="s">
        <v>2521</v>
      </c>
      <c r="C23" t="s">
        <v>3141</v>
      </c>
      <c r="D23" t="s">
        <v>3142</v>
      </c>
      <c r="G23" t="s">
        <v>3146</v>
      </c>
      <c r="H23">
        <v>172.16300000000001</v>
      </c>
      <c r="I23">
        <v>1027</v>
      </c>
      <c r="M23">
        <v>0</v>
      </c>
      <c r="O23" t="s">
        <v>93</v>
      </c>
      <c r="P23" t="s">
        <v>93</v>
      </c>
      <c r="T23">
        <v>0</v>
      </c>
      <c r="V23" t="s">
        <v>93</v>
      </c>
      <c r="W23" t="s">
        <v>2522</v>
      </c>
      <c r="X23">
        <v>298</v>
      </c>
      <c r="Y23" t="s">
        <v>2523</v>
      </c>
      <c r="Z23">
        <v>-33.200000000000003</v>
      </c>
      <c r="AA23" t="s">
        <v>95</v>
      </c>
      <c r="AB23">
        <v>-192.84050579973629</v>
      </c>
      <c r="AC23" t="s">
        <v>93</v>
      </c>
      <c r="AD23">
        <v>1.6</v>
      </c>
      <c r="AE23" t="s">
        <v>95</v>
      </c>
      <c r="AF23" t="s">
        <v>93</v>
      </c>
      <c r="AH23" t="s">
        <v>93</v>
      </c>
      <c r="AI23" t="s">
        <v>93</v>
      </c>
      <c r="AJ23" t="s">
        <v>93</v>
      </c>
      <c r="AK23" t="s">
        <v>93</v>
      </c>
      <c r="BQ23">
        <v>0.82</v>
      </c>
      <c r="CN23">
        <v>0.18</v>
      </c>
      <c r="CR23">
        <v>0</v>
      </c>
      <c r="CS23">
        <v>0</v>
      </c>
      <c r="CT23">
        <v>-192.84050579973629</v>
      </c>
      <c r="CU23" s="7">
        <v>-192.84050579973629</v>
      </c>
      <c r="CV23" t="s">
        <v>3146</v>
      </c>
    </row>
    <row r="24" spans="1:100" ht="15.75" thickBot="1" x14ac:dyDescent="0.3">
      <c r="A24" t="s">
        <v>2252</v>
      </c>
      <c r="B24" t="s">
        <v>1969</v>
      </c>
      <c r="C24" t="s">
        <v>3141</v>
      </c>
      <c r="D24" t="s">
        <v>3142</v>
      </c>
      <c r="G24" t="s">
        <v>3143</v>
      </c>
      <c r="H24">
        <v>159.59399999999999</v>
      </c>
      <c r="I24">
        <v>972</v>
      </c>
      <c r="J24">
        <v>0</v>
      </c>
      <c r="K24" t="s">
        <v>95</v>
      </c>
      <c r="L24">
        <v>-27.539814809999999</v>
      </c>
      <c r="M24">
        <v>-172.56171792172637</v>
      </c>
      <c r="N24" t="s">
        <v>95</v>
      </c>
      <c r="O24" t="s">
        <v>1971</v>
      </c>
      <c r="P24" t="s">
        <v>93</v>
      </c>
      <c r="Q24">
        <v>0.22053972999999999</v>
      </c>
      <c r="R24" t="s">
        <v>95</v>
      </c>
      <c r="S24">
        <v>-28.736489370000001</v>
      </c>
      <c r="T24">
        <v>-180.05996071280876</v>
      </c>
      <c r="U24" t="s">
        <v>95</v>
      </c>
      <c r="V24">
        <v>18688</v>
      </c>
      <c r="W24" t="s">
        <v>225</v>
      </c>
      <c r="X24">
        <v>298</v>
      </c>
      <c r="Y24" t="s">
        <v>179</v>
      </c>
      <c r="Z24">
        <v>-27.2</v>
      </c>
      <c r="AA24" t="s">
        <v>95</v>
      </c>
      <c r="AB24">
        <v>-170.43247239871172</v>
      </c>
      <c r="AC24" t="s">
        <v>93</v>
      </c>
      <c r="AD24">
        <v>1.3</v>
      </c>
      <c r="AE24" t="s">
        <v>95</v>
      </c>
      <c r="AF24" t="s">
        <v>93</v>
      </c>
      <c r="AT24">
        <v>0.66700000000000004</v>
      </c>
      <c r="BA24">
        <v>0.33300000000000002</v>
      </c>
      <c r="CR24">
        <v>-172.56171792172637</v>
      </c>
      <c r="CS24">
        <v>-180.05996071280876</v>
      </c>
      <c r="CT24">
        <v>-170.43247239871172</v>
      </c>
      <c r="CU24" s="7">
        <v>-174.35138367774894</v>
      </c>
      <c r="CV24" t="s">
        <v>3143</v>
      </c>
    </row>
    <row r="25" spans="1:100" ht="15.75" thickBot="1" x14ac:dyDescent="0.3">
      <c r="A25" t="s">
        <v>2252</v>
      </c>
      <c r="B25" t="s">
        <v>93</v>
      </c>
      <c r="C25" t="s">
        <v>3141</v>
      </c>
      <c r="D25" t="s">
        <v>3142</v>
      </c>
      <c r="G25" t="s">
        <v>3143</v>
      </c>
      <c r="H25">
        <v>210.34699999999901</v>
      </c>
      <c r="I25">
        <v>974</v>
      </c>
      <c r="M25">
        <v>0</v>
      </c>
      <c r="O25" t="s">
        <v>93</v>
      </c>
      <c r="P25" t="s">
        <v>93</v>
      </c>
      <c r="T25">
        <v>0</v>
      </c>
      <c r="V25" t="s">
        <v>93</v>
      </c>
      <c r="W25" t="s">
        <v>93</v>
      </c>
      <c r="X25">
        <v>300</v>
      </c>
      <c r="Y25" t="s">
        <v>93</v>
      </c>
      <c r="Z25">
        <v>-34.200000000000003</v>
      </c>
      <c r="AA25" t="s">
        <v>95</v>
      </c>
      <c r="AB25">
        <v>-162.58848474187965</v>
      </c>
      <c r="AC25" t="s">
        <v>93</v>
      </c>
      <c r="AD25">
        <v>1.3</v>
      </c>
      <c r="AE25" t="s">
        <v>95</v>
      </c>
      <c r="AF25" t="s">
        <v>93</v>
      </c>
      <c r="AH25" t="s">
        <v>93</v>
      </c>
      <c r="AI25" t="s">
        <v>93</v>
      </c>
      <c r="AJ25" t="s">
        <v>93</v>
      </c>
      <c r="AK25" t="s">
        <v>93</v>
      </c>
      <c r="AS25">
        <v>0.25</v>
      </c>
      <c r="AT25">
        <v>0.25</v>
      </c>
      <c r="BA25">
        <v>0.5</v>
      </c>
      <c r="CR25">
        <v>0</v>
      </c>
      <c r="CS25">
        <v>0</v>
      </c>
      <c r="CT25">
        <v>-162.58848474187965</v>
      </c>
      <c r="CU25" s="7">
        <v>-162.58848474187965</v>
      </c>
      <c r="CV25" t="s">
        <v>3143</v>
      </c>
    </row>
    <row r="26" spans="1:100" ht="15.75" thickBot="1" x14ac:dyDescent="0.3">
      <c r="A26" t="s">
        <v>493</v>
      </c>
      <c r="B26" t="s">
        <v>1185</v>
      </c>
      <c r="C26" t="s">
        <v>3141</v>
      </c>
      <c r="D26" t="s">
        <v>3142</v>
      </c>
      <c r="G26" t="s">
        <v>3148</v>
      </c>
      <c r="H26">
        <v>128.6764</v>
      </c>
      <c r="I26">
        <v>464</v>
      </c>
      <c r="J26">
        <v>2.6210895600000002</v>
      </c>
      <c r="K26" t="s">
        <v>95</v>
      </c>
      <c r="L26">
        <v>-23.208319920000001</v>
      </c>
      <c r="M26">
        <v>-180.3618994625277</v>
      </c>
      <c r="N26" t="s">
        <v>95</v>
      </c>
      <c r="O26" t="s">
        <v>1186</v>
      </c>
      <c r="P26" t="s">
        <v>93</v>
      </c>
      <c r="Q26">
        <v>6.9582762100000002</v>
      </c>
      <c r="R26" t="s">
        <v>95</v>
      </c>
      <c r="S26">
        <v>-19.419717609999999</v>
      </c>
      <c r="T26">
        <v>-150.91903107329705</v>
      </c>
      <c r="U26" t="s">
        <v>95</v>
      </c>
      <c r="V26">
        <v>5855</v>
      </c>
      <c r="W26" t="s">
        <v>479</v>
      </c>
      <c r="X26">
        <v>298</v>
      </c>
      <c r="Y26" t="s">
        <v>480</v>
      </c>
      <c r="Z26">
        <v>-19.399999999999999</v>
      </c>
      <c r="AA26" t="s">
        <v>95</v>
      </c>
      <c r="AB26">
        <v>-150.7657969915229</v>
      </c>
      <c r="AC26" t="s">
        <v>93</v>
      </c>
      <c r="AD26">
        <v>2.2999999999999998</v>
      </c>
      <c r="AE26" t="s">
        <v>95</v>
      </c>
      <c r="AF26" t="s">
        <v>93</v>
      </c>
      <c r="AW26">
        <v>0.66</v>
      </c>
      <c r="BQ26">
        <v>0.33</v>
      </c>
      <c r="CR26">
        <v>-180.3618994625277</v>
      </c>
      <c r="CS26">
        <v>-150.91903107329705</v>
      </c>
      <c r="CT26">
        <v>-150.7657969915229</v>
      </c>
      <c r="CU26" s="7">
        <v>-160.68224250911587</v>
      </c>
      <c r="CV26" t="s">
        <v>3148</v>
      </c>
    </row>
    <row r="27" spans="1:100" ht="15.75" thickBot="1" x14ac:dyDescent="0.3">
      <c r="A27" t="s">
        <v>2530</v>
      </c>
      <c r="B27" t="s">
        <v>2531</v>
      </c>
      <c r="C27" t="s">
        <v>3141</v>
      </c>
      <c r="D27" t="s">
        <v>3142</v>
      </c>
      <c r="G27" t="s">
        <v>3150</v>
      </c>
      <c r="J27" t="s">
        <v>3149</v>
      </c>
      <c r="K27" t="s">
        <v>95</v>
      </c>
      <c r="L27">
        <v>-23.971056959999999</v>
      </c>
      <c r="M27" t="e">
        <v>#DIV/0!</v>
      </c>
      <c r="N27" t="s">
        <v>95</v>
      </c>
      <c r="O27" t="s">
        <v>2532</v>
      </c>
      <c r="P27" t="s">
        <v>93</v>
      </c>
      <c r="Q27">
        <v>0</v>
      </c>
      <c r="R27" t="s">
        <v>95</v>
      </c>
      <c r="S27">
        <v>-24.421817470000001</v>
      </c>
      <c r="T27" t="e">
        <v>#DIV/0!</v>
      </c>
      <c r="U27" t="s">
        <v>95</v>
      </c>
      <c r="V27">
        <v>31357</v>
      </c>
      <c r="W27" t="s">
        <v>2533</v>
      </c>
      <c r="X27">
        <v>300</v>
      </c>
      <c r="Y27" t="s">
        <v>2534</v>
      </c>
      <c r="Z27">
        <v>-30.4</v>
      </c>
      <c r="AA27" t="s">
        <v>95</v>
      </c>
      <c r="AB27" t="e">
        <v>#DIV/0!</v>
      </c>
      <c r="AC27" t="s">
        <v>93</v>
      </c>
      <c r="AD27">
        <v>0.8</v>
      </c>
      <c r="AE27" t="s">
        <v>95</v>
      </c>
      <c r="AF27" t="s">
        <v>93</v>
      </c>
      <c r="BX27">
        <v>0.24</v>
      </c>
      <c r="CN27">
        <v>0.76</v>
      </c>
      <c r="CR27" t="e">
        <v>#DIV/0!</v>
      </c>
      <c r="CS27" t="e">
        <v>#DIV/0!</v>
      </c>
      <c r="CT27" t="e">
        <v>#DIV/0!</v>
      </c>
      <c r="CU27" s="7" t="e">
        <v>#DIV/0!</v>
      </c>
      <c r="CV27" t="s">
        <v>3150</v>
      </c>
    </row>
    <row r="28" spans="1:100" ht="15.75" thickBot="1" x14ac:dyDescent="0.3">
      <c r="A28" t="s">
        <v>2252</v>
      </c>
      <c r="B28" t="s">
        <v>2256</v>
      </c>
      <c r="C28" t="s">
        <v>3141</v>
      </c>
      <c r="D28" t="s">
        <v>3142</v>
      </c>
      <c r="G28" t="s">
        <v>3143</v>
      </c>
      <c r="H28">
        <v>320.68078000000003</v>
      </c>
      <c r="I28">
        <v>901</v>
      </c>
      <c r="J28">
        <v>0.19657132999999999</v>
      </c>
      <c r="K28" t="s">
        <v>95</v>
      </c>
      <c r="L28">
        <v>-34.190834260000003</v>
      </c>
      <c r="M28">
        <v>-106.61953067471022</v>
      </c>
      <c r="N28" t="s">
        <v>95</v>
      </c>
      <c r="O28" t="s">
        <v>1099</v>
      </c>
      <c r="P28" t="s">
        <v>93</v>
      </c>
      <c r="T28">
        <v>0</v>
      </c>
      <c r="V28" t="s">
        <v>93</v>
      </c>
      <c r="W28" t="s">
        <v>1100</v>
      </c>
      <c r="X28">
        <v>298</v>
      </c>
      <c r="Y28" t="s">
        <v>1093</v>
      </c>
      <c r="Z28">
        <v>-46.9</v>
      </c>
      <c r="AA28" t="s">
        <v>95</v>
      </c>
      <c r="AB28">
        <v>-146.25135937364252</v>
      </c>
      <c r="AC28" t="s">
        <v>93</v>
      </c>
      <c r="AD28">
        <v>3.9</v>
      </c>
      <c r="AE28" t="s">
        <v>95</v>
      </c>
      <c r="AF28" t="s">
        <v>93</v>
      </c>
      <c r="AG28">
        <v>0.6</v>
      </c>
      <c r="AJ28" t="s">
        <v>93</v>
      </c>
      <c r="AK28" t="s">
        <v>93</v>
      </c>
      <c r="AR28">
        <v>0.4</v>
      </c>
      <c r="CR28">
        <v>-106.61953067471022</v>
      </c>
      <c r="CS28">
        <v>0</v>
      </c>
      <c r="CT28">
        <v>-146.25135937364252</v>
      </c>
      <c r="CU28" s="7">
        <v>-126.43544502417637</v>
      </c>
      <c r="CV28" t="s">
        <v>3143</v>
      </c>
    </row>
    <row r="29" spans="1:100" ht="15.75" thickBot="1" x14ac:dyDescent="0.3">
      <c r="A29" t="s">
        <v>2252</v>
      </c>
      <c r="B29" t="s">
        <v>2529</v>
      </c>
      <c r="C29" t="s">
        <v>3141</v>
      </c>
      <c r="D29" t="s">
        <v>3142</v>
      </c>
      <c r="G29" t="s">
        <v>3143</v>
      </c>
      <c r="H29">
        <v>246.60169999999999</v>
      </c>
      <c r="I29">
        <v>1030</v>
      </c>
      <c r="M29">
        <v>0</v>
      </c>
      <c r="O29" t="s">
        <v>93</v>
      </c>
      <c r="P29" t="s">
        <v>93</v>
      </c>
      <c r="T29">
        <v>0</v>
      </c>
      <c r="V29" t="s">
        <v>93</v>
      </c>
      <c r="W29" t="s">
        <v>2258</v>
      </c>
      <c r="X29">
        <v>300</v>
      </c>
      <c r="Y29" t="s">
        <v>147</v>
      </c>
      <c r="Z29">
        <v>-30.5</v>
      </c>
      <c r="AA29" t="s">
        <v>95</v>
      </c>
      <c r="AB29">
        <v>-123.68122360875859</v>
      </c>
      <c r="AC29" t="s">
        <v>93</v>
      </c>
      <c r="AD29">
        <v>1.7</v>
      </c>
      <c r="AE29" t="s">
        <v>95</v>
      </c>
      <c r="AF29" t="s">
        <v>93</v>
      </c>
      <c r="AH29" t="s">
        <v>93</v>
      </c>
      <c r="AI29" t="s">
        <v>93</v>
      </c>
      <c r="AJ29" t="s">
        <v>93</v>
      </c>
      <c r="AK29" t="s">
        <v>93</v>
      </c>
      <c r="AR29">
        <v>0.71</v>
      </c>
      <c r="AT29">
        <v>0.28999999999999998</v>
      </c>
      <c r="CR29">
        <v>0</v>
      </c>
      <c r="CS29">
        <v>0</v>
      </c>
      <c r="CT29">
        <v>-123.68122360875859</v>
      </c>
      <c r="CU29" s="7">
        <v>-123.68122360875859</v>
      </c>
      <c r="CV29" t="s">
        <v>3143</v>
      </c>
    </row>
    <row r="30" spans="1:100" ht="15.75" thickBot="1" x14ac:dyDescent="0.3">
      <c r="A30" t="s">
        <v>2011</v>
      </c>
      <c r="B30" t="s">
        <v>2993</v>
      </c>
      <c r="C30" t="s">
        <v>3141</v>
      </c>
      <c r="D30" t="s">
        <v>3142</v>
      </c>
      <c r="G30" t="s">
        <v>3147</v>
      </c>
      <c r="H30">
        <v>128.43700000000001</v>
      </c>
      <c r="I30">
        <v>1259</v>
      </c>
      <c r="J30">
        <v>0</v>
      </c>
      <c r="K30" t="s">
        <v>95</v>
      </c>
      <c r="L30">
        <v>-12.137217700000001</v>
      </c>
      <c r="M30">
        <v>-94.499386469631034</v>
      </c>
      <c r="N30" t="s">
        <v>95</v>
      </c>
      <c r="O30" t="s">
        <v>2994</v>
      </c>
      <c r="P30" t="s">
        <v>93</v>
      </c>
      <c r="Q30">
        <v>0</v>
      </c>
      <c r="R30" t="s">
        <v>95</v>
      </c>
      <c r="S30">
        <v>-12.31845906</v>
      </c>
      <c r="T30">
        <v>-95.910516907121774</v>
      </c>
      <c r="U30" t="s">
        <v>95</v>
      </c>
      <c r="V30">
        <v>647200</v>
      </c>
      <c r="W30" t="s">
        <v>172</v>
      </c>
      <c r="X30">
        <v>298</v>
      </c>
      <c r="Y30" t="s">
        <v>170</v>
      </c>
      <c r="Z30">
        <v>-15.56</v>
      </c>
      <c r="AA30" t="s">
        <v>95</v>
      </c>
      <c r="AB30">
        <v>-121.14889011733379</v>
      </c>
      <c r="AC30" t="s">
        <v>93</v>
      </c>
      <c r="AD30">
        <v>0.92</v>
      </c>
      <c r="AE30" t="s">
        <v>95</v>
      </c>
      <c r="AF30" t="s">
        <v>93</v>
      </c>
      <c r="AT30">
        <v>0.5</v>
      </c>
      <c r="CA30">
        <v>0.5</v>
      </c>
      <c r="CR30">
        <v>-94.499386469631034</v>
      </c>
      <c r="CS30">
        <v>-95.910516907121774</v>
      </c>
      <c r="CT30">
        <v>-121.14889011733379</v>
      </c>
      <c r="CU30" s="7">
        <v>-103.85293116469553</v>
      </c>
      <c r="CV30" t="s">
        <v>3147</v>
      </c>
    </row>
    <row r="31" spans="1:100" ht="15.75" thickBot="1" x14ac:dyDescent="0.3">
      <c r="A31" t="s">
        <v>2519</v>
      </c>
      <c r="B31" t="s">
        <v>2524</v>
      </c>
      <c r="C31" t="s">
        <v>3141</v>
      </c>
      <c r="D31" t="s">
        <v>3142</v>
      </c>
      <c r="G31" t="s">
        <v>3146</v>
      </c>
      <c r="H31">
        <v>147.471</v>
      </c>
      <c r="I31">
        <v>1028</v>
      </c>
      <c r="M31">
        <v>0</v>
      </c>
      <c r="O31" t="s">
        <v>93</v>
      </c>
      <c r="P31" t="s">
        <v>93</v>
      </c>
      <c r="T31">
        <v>0</v>
      </c>
      <c r="V31" t="s">
        <v>93</v>
      </c>
      <c r="W31" t="s">
        <v>2525</v>
      </c>
      <c r="X31">
        <v>298</v>
      </c>
      <c r="Y31" t="s">
        <v>700</v>
      </c>
      <c r="Z31">
        <v>-14.1</v>
      </c>
      <c r="AA31" t="s">
        <v>95</v>
      </c>
      <c r="AB31">
        <v>-95.612018634172145</v>
      </c>
      <c r="AC31" t="s">
        <v>93</v>
      </c>
      <c r="AD31">
        <v>0.1</v>
      </c>
      <c r="AE31" t="s">
        <v>95</v>
      </c>
      <c r="AF31" t="s">
        <v>93</v>
      </c>
      <c r="AH31" t="s">
        <v>93</v>
      </c>
      <c r="AI31" t="s">
        <v>93</v>
      </c>
      <c r="AJ31" t="s">
        <v>93</v>
      </c>
      <c r="AK31" t="s">
        <v>93</v>
      </c>
      <c r="BQ31">
        <v>0.93</v>
      </c>
      <c r="CN31">
        <v>7.0000000000000007E-2</v>
      </c>
      <c r="CR31">
        <v>0</v>
      </c>
      <c r="CS31">
        <v>0</v>
      </c>
      <c r="CT31">
        <v>-95.612018634172145</v>
      </c>
      <c r="CU31" s="7">
        <v>-95.612018634172145</v>
      </c>
      <c r="CV31" t="s">
        <v>3146</v>
      </c>
    </row>
    <row r="32" spans="1:100" ht="15.75" thickBot="1" x14ac:dyDescent="0.3">
      <c r="A32" t="s">
        <v>2011</v>
      </c>
      <c r="B32" t="s">
        <v>3003</v>
      </c>
      <c r="C32" t="s">
        <v>3141</v>
      </c>
      <c r="D32" t="s">
        <v>3142</v>
      </c>
      <c r="G32" t="s">
        <v>3147</v>
      </c>
      <c r="H32">
        <v>170.39516</v>
      </c>
      <c r="I32">
        <v>1264</v>
      </c>
      <c r="J32">
        <v>0</v>
      </c>
      <c r="K32" t="s">
        <v>95</v>
      </c>
      <c r="L32">
        <v>-15.05094244</v>
      </c>
      <c r="M32">
        <v>-88.329635888718897</v>
      </c>
      <c r="N32" t="s">
        <v>95</v>
      </c>
      <c r="O32" t="s">
        <v>3004</v>
      </c>
      <c r="P32" t="s">
        <v>93</v>
      </c>
      <c r="T32">
        <v>0</v>
      </c>
      <c r="V32" t="s">
        <v>93</v>
      </c>
      <c r="W32" t="s">
        <v>2004</v>
      </c>
      <c r="X32">
        <v>296</v>
      </c>
      <c r="Y32" t="s">
        <v>633</v>
      </c>
      <c r="Z32">
        <v>-15.1</v>
      </c>
      <c r="AA32" t="s">
        <v>95</v>
      </c>
      <c r="AB32">
        <v>-88.61754054516571</v>
      </c>
      <c r="AC32" t="s">
        <v>93</v>
      </c>
      <c r="AD32">
        <v>0.2</v>
      </c>
      <c r="AE32" t="s">
        <v>95</v>
      </c>
      <c r="AF32" t="s">
        <v>93</v>
      </c>
      <c r="AJ32" t="s">
        <v>93</v>
      </c>
      <c r="AK32" t="s">
        <v>93</v>
      </c>
      <c r="AR32">
        <v>0.308</v>
      </c>
      <c r="CN32">
        <v>0.69199999999999995</v>
      </c>
      <c r="CR32">
        <v>-88.329635888718897</v>
      </c>
      <c r="CS32">
        <v>0</v>
      </c>
      <c r="CT32">
        <v>-88.61754054516571</v>
      </c>
      <c r="CU32" s="7">
        <v>-88.473588216942304</v>
      </c>
      <c r="CV32" t="s">
        <v>3147</v>
      </c>
    </row>
    <row r="33" spans="1:100" ht="15.75" thickBot="1" x14ac:dyDescent="0.3">
      <c r="A33" t="s">
        <v>2530</v>
      </c>
      <c r="B33" t="s">
        <v>2536</v>
      </c>
      <c r="C33" t="s">
        <v>3141</v>
      </c>
      <c r="D33" t="s">
        <v>3142</v>
      </c>
      <c r="G33" t="s">
        <v>3150</v>
      </c>
      <c r="J33" t="s">
        <v>3149</v>
      </c>
      <c r="K33" t="s">
        <v>95</v>
      </c>
      <c r="L33">
        <v>-23.392682969999999</v>
      </c>
      <c r="M33" t="e">
        <v>#DIV/0!</v>
      </c>
      <c r="N33" t="s">
        <v>95</v>
      </c>
      <c r="O33" t="s">
        <v>2537</v>
      </c>
      <c r="P33" t="s">
        <v>93</v>
      </c>
      <c r="Q33">
        <v>0</v>
      </c>
      <c r="R33" t="s">
        <v>95</v>
      </c>
      <c r="S33">
        <v>-23.113494840000001</v>
      </c>
      <c r="T33" t="e">
        <v>#DIV/0!</v>
      </c>
      <c r="U33" t="s">
        <v>95</v>
      </c>
      <c r="V33">
        <v>7559</v>
      </c>
      <c r="W33" t="s">
        <v>2538</v>
      </c>
      <c r="X33">
        <v>300</v>
      </c>
      <c r="Y33" t="s">
        <v>359</v>
      </c>
      <c r="Z33">
        <v>-25.6</v>
      </c>
      <c r="AA33" t="s">
        <v>95</v>
      </c>
      <c r="AB33" t="e">
        <v>#DIV/0!</v>
      </c>
      <c r="AC33" t="s">
        <v>93</v>
      </c>
      <c r="AD33">
        <v>1.9</v>
      </c>
      <c r="AE33" t="s">
        <v>95</v>
      </c>
      <c r="AF33" t="s">
        <v>93</v>
      </c>
      <c r="BX33">
        <v>0.37</v>
      </c>
      <c r="CN33">
        <v>0.63</v>
      </c>
      <c r="CR33" t="e">
        <v>#DIV/0!</v>
      </c>
      <c r="CS33" t="e">
        <v>#DIV/0!</v>
      </c>
      <c r="CT33" t="e">
        <v>#DIV/0!</v>
      </c>
      <c r="CU33" s="7" t="e">
        <v>#DIV/0!</v>
      </c>
      <c r="CV33" t="s">
        <v>3150</v>
      </c>
    </row>
    <row r="34" spans="1:100" ht="15.75" thickBot="1" x14ac:dyDescent="0.3">
      <c r="A34" t="s">
        <v>2011</v>
      </c>
      <c r="B34" t="s">
        <v>2995</v>
      </c>
      <c r="C34" t="s">
        <v>3141</v>
      </c>
      <c r="D34" t="s">
        <v>3142</v>
      </c>
      <c r="G34" t="s">
        <v>3147</v>
      </c>
      <c r="H34">
        <v>201.02699999999999</v>
      </c>
      <c r="I34">
        <v>1260</v>
      </c>
      <c r="J34">
        <v>2.2549319900000002</v>
      </c>
      <c r="K34" t="s">
        <v>95</v>
      </c>
      <c r="L34">
        <v>-5.8365465099999998</v>
      </c>
      <c r="M34">
        <v>-29.033644784033989</v>
      </c>
      <c r="N34" t="s">
        <v>95</v>
      </c>
      <c r="O34" t="s">
        <v>2996</v>
      </c>
      <c r="P34" t="s">
        <v>93</v>
      </c>
      <c r="Q34">
        <v>1.94293809</v>
      </c>
      <c r="R34" t="s">
        <v>95</v>
      </c>
      <c r="S34">
        <v>-6.2693597800000003</v>
      </c>
      <c r="T34">
        <v>-31.186655424395735</v>
      </c>
      <c r="U34" t="s">
        <v>95</v>
      </c>
      <c r="V34">
        <v>7790</v>
      </c>
      <c r="W34" t="s">
        <v>479</v>
      </c>
      <c r="X34">
        <v>298</v>
      </c>
      <c r="Y34" t="s">
        <v>480</v>
      </c>
      <c r="Z34">
        <v>-36.89</v>
      </c>
      <c r="AA34" t="s">
        <v>95</v>
      </c>
      <c r="AB34">
        <v>-183.50768802200702</v>
      </c>
      <c r="AC34" t="s">
        <v>93</v>
      </c>
      <c r="AD34">
        <v>1.17</v>
      </c>
      <c r="AE34" t="s">
        <v>95</v>
      </c>
      <c r="AF34" t="s">
        <v>93</v>
      </c>
      <c r="AT34">
        <v>0.33329999999999999</v>
      </c>
      <c r="CA34">
        <v>0.66669999999999996</v>
      </c>
      <c r="CR34">
        <v>-29.033644784033989</v>
      </c>
      <c r="CS34">
        <v>-31.186655424395735</v>
      </c>
      <c r="CT34">
        <v>-183.50768802200702</v>
      </c>
      <c r="CU34" s="7">
        <v>-81.242662743478903</v>
      </c>
      <c r="CV34" t="s">
        <v>3147</v>
      </c>
    </row>
    <row r="35" spans="1:100" ht="15.75" thickBot="1" x14ac:dyDescent="0.3">
      <c r="A35" t="s">
        <v>2530</v>
      </c>
      <c r="B35" t="s">
        <v>2539</v>
      </c>
      <c r="C35" t="s">
        <v>3141</v>
      </c>
      <c r="D35" t="s">
        <v>3142</v>
      </c>
      <c r="G35" t="s">
        <v>3150</v>
      </c>
      <c r="J35" t="s">
        <v>3149</v>
      </c>
      <c r="K35" t="s">
        <v>95</v>
      </c>
      <c r="L35">
        <v>-18.910877589999998</v>
      </c>
      <c r="M35" t="e">
        <v>#DIV/0!</v>
      </c>
      <c r="N35" t="s">
        <v>95</v>
      </c>
      <c r="O35" t="s">
        <v>2540</v>
      </c>
      <c r="P35" t="s">
        <v>93</v>
      </c>
      <c r="T35" t="e">
        <v>#DIV/0!</v>
      </c>
      <c r="V35" t="s">
        <v>93</v>
      </c>
      <c r="W35" t="s">
        <v>2541</v>
      </c>
      <c r="X35">
        <v>298</v>
      </c>
      <c r="Y35" t="s">
        <v>1983</v>
      </c>
      <c r="Z35">
        <v>-24.4</v>
      </c>
      <c r="AA35" t="s">
        <v>95</v>
      </c>
      <c r="AB35" t="e">
        <v>#DIV/0!</v>
      </c>
      <c r="AC35" t="s">
        <v>93</v>
      </c>
      <c r="AD35">
        <v>3</v>
      </c>
      <c r="AE35" t="s">
        <v>95</v>
      </c>
      <c r="AF35" t="s">
        <v>93</v>
      </c>
      <c r="AJ35" t="s">
        <v>93</v>
      </c>
      <c r="AK35" t="s">
        <v>93</v>
      </c>
      <c r="BX35">
        <v>0.19</v>
      </c>
      <c r="CN35">
        <v>0.81</v>
      </c>
      <c r="CR35" t="e">
        <v>#DIV/0!</v>
      </c>
      <c r="CS35" t="e">
        <v>#DIV/0!</v>
      </c>
      <c r="CT35" t="e">
        <v>#DIV/0!</v>
      </c>
      <c r="CU35" s="7" t="e">
        <v>#DIV/0!</v>
      </c>
      <c r="CV35" t="s">
        <v>3150</v>
      </c>
    </row>
    <row r="36" spans="1:100" ht="15.75" thickBot="1" x14ac:dyDescent="0.3">
      <c r="A36" t="s">
        <v>2516</v>
      </c>
      <c r="B36" t="s">
        <v>3030</v>
      </c>
      <c r="C36" t="s">
        <v>3141</v>
      </c>
      <c r="D36" t="s">
        <v>3142</v>
      </c>
      <c r="G36" t="s">
        <v>3034</v>
      </c>
      <c r="H36" t="s">
        <v>3050</v>
      </c>
      <c r="K36" t="s">
        <v>3149</v>
      </c>
      <c r="M36" t="e">
        <v>#VALUE!</v>
      </c>
      <c r="O36" t="s">
        <v>93</v>
      </c>
      <c r="P36" t="s">
        <v>93</v>
      </c>
      <c r="T36" t="e">
        <v>#VALUE!</v>
      </c>
      <c r="V36" t="s">
        <v>93</v>
      </c>
      <c r="W36" t="s">
        <v>1313</v>
      </c>
      <c r="X36">
        <v>298</v>
      </c>
      <c r="Y36" t="s">
        <v>179</v>
      </c>
      <c r="Z36">
        <v>-30.21</v>
      </c>
      <c r="AA36" t="s">
        <v>95</v>
      </c>
      <c r="AB36" t="e">
        <v>#VALUE!</v>
      </c>
      <c r="AC36" t="s">
        <v>93</v>
      </c>
      <c r="AD36">
        <v>5.07</v>
      </c>
      <c r="AE36" t="s">
        <v>95</v>
      </c>
      <c r="AF36" t="s">
        <v>93</v>
      </c>
      <c r="AH36" t="s">
        <v>93</v>
      </c>
      <c r="AI36" t="s">
        <v>93</v>
      </c>
      <c r="AJ36" t="s">
        <v>93</v>
      </c>
      <c r="AK36" t="s">
        <v>93</v>
      </c>
      <c r="AO36">
        <v>0.75</v>
      </c>
      <c r="AR36">
        <v>0.25</v>
      </c>
      <c r="CR36" t="e">
        <v>#VALUE!</v>
      </c>
      <c r="CS36" t="e">
        <v>#VALUE!</v>
      </c>
      <c r="CT36" t="e">
        <v>#VALUE!</v>
      </c>
      <c r="CU36" s="7" t="e">
        <v>#VALUE!</v>
      </c>
      <c r="CV36" t="s">
        <v>3034</v>
      </c>
    </row>
    <row r="37" spans="1:100" ht="15.75" thickBot="1" x14ac:dyDescent="0.3">
      <c r="A37" t="s">
        <v>731</v>
      </c>
      <c r="B37" t="s">
        <v>732</v>
      </c>
      <c r="C37" t="s">
        <v>3141</v>
      </c>
      <c r="D37" t="s">
        <v>3142</v>
      </c>
      <c r="G37" t="s">
        <v>3151</v>
      </c>
      <c r="H37">
        <v>432.40549999999899</v>
      </c>
      <c r="I37">
        <v>292</v>
      </c>
      <c r="J37">
        <v>0</v>
      </c>
      <c r="K37" t="s">
        <v>95</v>
      </c>
      <c r="L37">
        <v>-27.575694609999999</v>
      </c>
      <c r="M37">
        <v>-63.77276563318474</v>
      </c>
      <c r="N37" t="s">
        <v>95</v>
      </c>
      <c r="O37" t="s">
        <v>733</v>
      </c>
      <c r="P37" t="s">
        <v>93</v>
      </c>
      <c r="Q37">
        <v>0</v>
      </c>
      <c r="R37" t="s">
        <v>95</v>
      </c>
      <c r="S37">
        <v>-27.972423339999999</v>
      </c>
      <c r="T37">
        <v>-64.690257963878963</v>
      </c>
      <c r="U37" t="s">
        <v>95</v>
      </c>
      <c r="V37">
        <v>17564</v>
      </c>
      <c r="W37" t="s">
        <v>172</v>
      </c>
      <c r="X37">
        <v>298</v>
      </c>
      <c r="Y37" t="s">
        <v>170</v>
      </c>
      <c r="Z37">
        <v>-26.3</v>
      </c>
      <c r="AA37" t="s">
        <v>95</v>
      </c>
      <c r="AB37">
        <v>-60.822538103701412</v>
      </c>
      <c r="AC37" t="s">
        <v>93</v>
      </c>
      <c r="AD37">
        <v>4.5999999999999996</v>
      </c>
      <c r="AE37" t="s">
        <v>95</v>
      </c>
      <c r="AF37" t="s">
        <v>93</v>
      </c>
      <c r="AL37">
        <v>0.17</v>
      </c>
      <c r="AS37">
        <v>0.83</v>
      </c>
      <c r="CR37">
        <v>-63.77276563318474</v>
      </c>
      <c r="CS37">
        <v>-64.690257963878963</v>
      </c>
      <c r="CT37">
        <v>-60.822538103701412</v>
      </c>
      <c r="CU37" s="7">
        <v>-63.095187233588376</v>
      </c>
      <c r="CV37" t="s">
        <v>3151</v>
      </c>
    </row>
    <row r="38" spans="1:100" ht="15.75" thickBot="1" x14ac:dyDescent="0.3">
      <c r="A38" t="s">
        <v>2011</v>
      </c>
      <c r="B38" t="s">
        <v>2978</v>
      </c>
      <c r="C38" t="s">
        <v>3141</v>
      </c>
      <c r="D38" t="s">
        <v>3142</v>
      </c>
      <c r="G38" t="s">
        <v>3147</v>
      </c>
      <c r="H38">
        <v>592.75699999999995</v>
      </c>
      <c r="I38">
        <v>1246</v>
      </c>
      <c r="J38">
        <v>0</v>
      </c>
      <c r="K38" t="s">
        <v>95</v>
      </c>
      <c r="L38">
        <v>-33.612347759999999</v>
      </c>
      <c r="M38">
        <v>-56.705104722508551</v>
      </c>
      <c r="N38" t="s">
        <v>95</v>
      </c>
      <c r="O38" t="s">
        <v>2979</v>
      </c>
      <c r="P38" t="s">
        <v>93</v>
      </c>
      <c r="Q38">
        <v>0</v>
      </c>
      <c r="R38" t="s">
        <v>95</v>
      </c>
      <c r="S38">
        <v>-34.494107239999998</v>
      </c>
      <c r="T38">
        <v>-58.192661141074673</v>
      </c>
      <c r="U38" t="s">
        <v>95</v>
      </c>
      <c r="V38">
        <v>22905</v>
      </c>
      <c r="W38" t="s">
        <v>2980</v>
      </c>
      <c r="X38">
        <v>298</v>
      </c>
      <c r="Y38" t="s">
        <v>1983</v>
      </c>
      <c r="Z38">
        <v>-40.1</v>
      </c>
      <c r="AA38" t="s">
        <v>95</v>
      </c>
      <c r="AB38">
        <v>-67.649981358296913</v>
      </c>
      <c r="AF38" t="s">
        <v>93</v>
      </c>
      <c r="CC38">
        <v>0.4</v>
      </c>
      <c r="CD38" t="s">
        <v>95</v>
      </c>
      <c r="CE38" t="s">
        <v>93</v>
      </c>
      <c r="CF38">
        <v>0.19</v>
      </c>
      <c r="CN38">
        <v>0.81</v>
      </c>
      <c r="CR38">
        <v>-56.705104722508551</v>
      </c>
      <c r="CS38">
        <v>-58.192661141074673</v>
      </c>
      <c r="CT38">
        <v>-67.649981358296913</v>
      </c>
      <c r="CU38" s="7">
        <v>-60.849249073960046</v>
      </c>
      <c r="CV38" t="s">
        <v>3147</v>
      </c>
    </row>
    <row r="39" spans="1:100" ht="15.75" thickBot="1" x14ac:dyDescent="0.3">
      <c r="A39" t="s">
        <v>3031</v>
      </c>
      <c r="B39" t="s">
        <v>1776</v>
      </c>
      <c r="C39" t="s">
        <v>3141</v>
      </c>
      <c r="D39" t="s">
        <v>3142</v>
      </c>
      <c r="G39" t="s">
        <v>3152</v>
      </c>
      <c r="H39">
        <v>204.60040000000001</v>
      </c>
      <c r="I39">
        <v>1276</v>
      </c>
      <c r="J39">
        <v>0</v>
      </c>
      <c r="K39" t="s">
        <v>95</v>
      </c>
      <c r="L39">
        <v>-11.801611429999999</v>
      </c>
      <c r="M39">
        <v>-57.681272519506315</v>
      </c>
      <c r="N39" t="s">
        <v>95</v>
      </c>
      <c r="O39" t="s">
        <v>1778</v>
      </c>
      <c r="P39" t="s">
        <v>93</v>
      </c>
      <c r="Q39">
        <v>0</v>
      </c>
      <c r="R39" t="s">
        <v>95</v>
      </c>
      <c r="S39">
        <v>-11.782797090000001</v>
      </c>
      <c r="T39">
        <v>-57.589316003292275</v>
      </c>
      <c r="U39" t="s">
        <v>95</v>
      </c>
      <c r="V39">
        <v>30227</v>
      </c>
      <c r="W39" t="s">
        <v>225</v>
      </c>
      <c r="X39">
        <v>298</v>
      </c>
      <c r="Y39" t="s">
        <v>179</v>
      </c>
      <c r="Z39">
        <v>-13.6</v>
      </c>
      <c r="AA39" t="s">
        <v>95</v>
      </c>
      <c r="AB39">
        <v>-66.471033292212525</v>
      </c>
      <c r="AC39" t="s">
        <v>93</v>
      </c>
      <c r="AT39">
        <v>0.66669999999999996</v>
      </c>
      <c r="AU39">
        <v>0.33329999999999999</v>
      </c>
      <c r="CE39" t="s">
        <v>93</v>
      </c>
      <c r="CP39">
        <v>0.03</v>
      </c>
      <c r="CQ39" t="s">
        <v>95</v>
      </c>
      <c r="CR39">
        <v>-57.681272519506315</v>
      </c>
      <c r="CS39">
        <v>-57.589316003292275</v>
      </c>
      <c r="CT39">
        <v>-66.471033292212525</v>
      </c>
      <c r="CU39" s="7">
        <v>-60.580540605003705</v>
      </c>
      <c r="CV39" t="s">
        <v>3152</v>
      </c>
    </row>
    <row r="40" spans="1:100" ht="15.75" thickBot="1" x14ac:dyDescent="0.3">
      <c r="A40" t="s">
        <v>2011</v>
      </c>
      <c r="B40" t="s">
        <v>2493</v>
      </c>
      <c r="C40" t="s">
        <v>3141</v>
      </c>
      <c r="D40" t="s">
        <v>3142</v>
      </c>
      <c r="G40" t="s">
        <v>3147</v>
      </c>
      <c r="H40">
        <v>315.65649999999999</v>
      </c>
      <c r="I40">
        <v>1015</v>
      </c>
      <c r="J40">
        <v>0</v>
      </c>
      <c r="K40" t="s">
        <v>95</v>
      </c>
      <c r="L40">
        <v>-17.632901329999999</v>
      </c>
      <c r="M40">
        <v>-55.861043032536948</v>
      </c>
      <c r="N40" t="s">
        <v>95</v>
      </c>
      <c r="O40" t="s">
        <v>2494</v>
      </c>
      <c r="P40" t="s">
        <v>93</v>
      </c>
      <c r="Q40">
        <v>0</v>
      </c>
      <c r="R40" t="s">
        <v>95</v>
      </c>
      <c r="S40">
        <v>-22.154242620000002</v>
      </c>
      <c r="T40">
        <v>-70.184655218568295</v>
      </c>
      <c r="U40" t="s">
        <v>95</v>
      </c>
      <c r="V40">
        <v>10120</v>
      </c>
      <c r="W40" t="s">
        <v>1212</v>
      </c>
      <c r="X40">
        <v>300</v>
      </c>
      <c r="Y40" t="s">
        <v>179</v>
      </c>
      <c r="Z40">
        <v>-15.4</v>
      </c>
      <c r="AA40" t="s">
        <v>95</v>
      </c>
      <c r="AB40">
        <v>-48.787210147739714</v>
      </c>
      <c r="AC40" t="s">
        <v>93</v>
      </c>
      <c r="AD40">
        <v>0.3</v>
      </c>
      <c r="AE40" t="s">
        <v>95</v>
      </c>
      <c r="AF40" t="s">
        <v>93</v>
      </c>
      <c r="BC40">
        <v>0.5</v>
      </c>
      <c r="CF40">
        <v>0.5</v>
      </c>
      <c r="CR40">
        <v>-55.861043032536948</v>
      </c>
      <c r="CS40">
        <v>-70.184655218568295</v>
      </c>
      <c r="CT40">
        <v>-48.787210147739714</v>
      </c>
      <c r="CU40" s="7">
        <v>-58.277636132948317</v>
      </c>
      <c r="CV40" t="s">
        <v>3147</v>
      </c>
    </row>
    <row r="41" spans="1:100" ht="15.75" thickBot="1" x14ac:dyDescent="0.3">
      <c r="A41" t="s">
        <v>2011</v>
      </c>
      <c r="B41" t="s">
        <v>2981</v>
      </c>
      <c r="C41" t="s">
        <v>3141</v>
      </c>
      <c r="D41" t="s">
        <v>3142</v>
      </c>
      <c r="G41" t="s">
        <v>3147</v>
      </c>
      <c r="H41">
        <v>228.108</v>
      </c>
      <c r="I41">
        <v>1247</v>
      </c>
      <c r="M41">
        <v>0</v>
      </c>
      <c r="O41" t="s">
        <v>93</v>
      </c>
      <c r="P41" t="s">
        <v>93</v>
      </c>
      <c r="T41">
        <v>0</v>
      </c>
      <c r="V41" t="s">
        <v>93</v>
      </c>
      <c r="W41" t="s">
        <v>2052</v>
      </c>
      <c r="X41">
        <v>298</v>
      </c>
      <c r="Y41" t="s">
        <v>147</v>
      </c>
      <c r="Z41">
        <v>-11.8</v>
      </c>
      <c r="AA41" t="s">
        <v>95</v>
      </c>
      <c r="AB41">
        <v>-51.729882336437129</v>
      </c>
      <c r="AC41" t="s">
        <v>93</v>
      </c>
      <c r="AH41" t="s">
        <v>93</v>
      </c>
      <c r="AI41" t="s">
        <v>93</v>
      </c>
      <c r="AJ41" t="s">
        <v>93</v>
      </c>
      <c r="AK41" t="s">
        <v>93</v>
      </c>
      <c r="CE41" t="s">
        <v>93</v>
      </c>
      <c r="CM41">
        <v>0.75</v>
      </c>
      <c r="CP41">
        <v>0.6</v>
      </c>
      <c r="CQ41" t="s">
        <v>95</v>
      </c>
      <c r="CR41">
        <v>0</v>
      </c>
      <c r="CS41">
        <v>0</v>
      </c>
      <c r="CT41">
        <v>-51.729882336437129</v>
      </c>
      <c r="CU41" s="7">
        <v>-51.729882336437129</v>
      </c>
      <c r="CV41" t="s">
        <v>3147</v>
      </c>
    </row>
    <row r="42" spans="1:100" ht="15.75" thickBot="1" x14ac:dyDescent="0.3">
      <c r="A42" t="s">
        <v>493</v>
      </c>
      <c r="B42" t="s">
        <v>523</v>
      </c>
      <c r="C42" t="s">
        <v>3141</v>
      </c>
      <c r="D42" t="s">
        <v>3142</v>
      </c>
      <c r="G42" t="s">
        <v>3148</v>
      </c>
      <c r="H42">
        <v>281.858</v>
      </c>
      <c r="I42">
        <v>211</v>
      </c>
      <c r="M42">
        <v>0</v>
      </c>
      <c r="O42" t="s">
        <v>93</v>
      </c>
      <c r="P42" t="s">
        <v>121</v>
      </c>
      <c r="T42">
        <v>0</v>
      </c>
      <c r="V42" t="s">
        <v>93</v>
      </c>
      <c r="W42" t="s">
        <v>93</v>
      </c>
      <c r="X42">
        <v>298</v>
      </c>
      <c r="Y42" t="s">
        <v>93</v>
      </c>
      <c r="Z42">
        <v>-14.07</v>
      </c>
      <c r="AA42" t="s">
        <v>95</v>
      </c>
      <c r="AB42">
        <v>-49.918753414840097</v>
      </c>
      <c r="AC42" t="s">
        <v>93</v>
      </c>
      <c r="AD42">
        <v>1.24</v>
      </c>
      <c r="AE42" t="s">
        <v>95</v>
      </c>
      <c r="AF42" t="s">
        <v>93</v>
      </c>
      <c r="AH42" t="s">
        <v>93</v>
      </c>
      <c r="AI42" t="s">
        <v>93</v>
      </c>
      <c r="AJ42" t="s">
        <v>93</v>
      </c>
      <c r="AK42" t="s">
        <v>93</v>
      </c>
      <c r="AP42">
        <v>0.25</v>
      </c>
      <c r="AX42">
        <v>0.75</v>
      </c>
      <c r="CR42">
        <v>0</v>
      </c>
      <c r="CS42">
        <v>0</v>
      </c>
      <c r="CT42">
        <v>-49.918753414840097</v>
      </c>
      <c r="CU42" s="7">
        <v>-49.918753414840097</v>
      </c>
      <c r="CV42" t="s">
        <v>3148</v>
      </c>
    </row>
    <row r="43" spans="1:100" ht="15.75" thickBot="1" x14ac:dyDescent="0.3">
      <c r="A43" t="s">
        <v>493</v>
      </c>
      <c r="B43" t="s">
        <v>533</v>
      </c>
      <c r="C43" t="s">
        <v>3141</v>
      </c>
      <c r="D43" t="s">
        <v>3142</v>
      </c>
      <c r="G43" t="s">
        <v>3148</v>
      </c>
      <c r="H43">
        <v>420.52600000000001</v>
      </c>
      <c r="I43">
        <v>217</v>
      </c>
      <c r="M43">
        <v>0</v>
      </c>
      <c r="O43" t="s">
        <v>93</v>
      </c>
      <c r="P43" t="s">
        <v>93</v>
      </c>
      <c r="T43">
        <v>0</v>
      </c>
      <c r="V43" t="s">
        <v>93</v>
      </c>
      <c r="W43" t="s">
        <v>93</v>
      </c>
      <c r="X43">
        <v>298</v>
      </c>
      <c r="Y43" t="s">
        <v>93</v>
      </c>
      <c r="Z43">
        <v>-15.23</v>
      </c>
      <c r="AA43" t="s">
        <v>95</v>
      </c>
      <c r="AB43">
        <v>-36.216547847219907</v>
      </c>
      <c r="AC43" t="s">
        <v>93</v>
      </c>
      <c r="AD43">
        <v>0.3</v>
      </c>
      <c r="AE43" t="s">
        <v>95</v>
      </c>
      <c r="AF43" t="s">
        <v>93</v>
      </c>
      <c r="AH43" t="s">
        <v>93</v>
      </c>
      <c r="AI43" t="s">
        <v>93</v>
      </c>
      <c r="AJ43" t="s">
        <v>93</v>
      </c>
      <c r="AK43" t="s">
        <v>93</v>
      </c>
      <c r="AQ43">
        <v>0.66</v>
      </c>
      <c r="AX43">
        <v>0.33</v>
      </c>
      <c r="CR43">
        <v>0</v>
      </c>
      <c r="CS43">
        <v>0</v>
      </c>
      <c r="CT43">
        <v>-36.216547847219907</v>
      </c>
      <c r="CU43" s="7">
        <v>-36.216547847219907</v>
      </c>
      <c r="CV43" t="s">
        <v>3148</v>
      </c>
    </row>
    <row r="44" spans="1:100" ht="15.75" thickBot="1" x14ac:dyDescent="0.3">
      <c r="A44" t="s">
        <v>2011</v>
      </c>
      <c r="B44" t="s">
        <v>2495</v>
      </c>
      <c r="C44" t="s">
        <v>3141</v>
      </c>
      <c r="D44" t="s">
        <v>3142</v>
      </c>
      <c r="G44" t="s">
        <v>3147</v>
      </c>
      <c r="H44">
        <v>434.34649999999999</v>
      </c>
      <c r="I44">
        <v>1016</v>
      </c>
      <c r="J44">
        <v>0</v>
      </c>
      <c r="K44" t="s">
        <v>95</v>
      </c>
      <c r="L44">
        <v>-12.36464687</v>
      </c>
      <c r="M44">
        <v>-28.467241867955654</v>
      </c>
      <c r="N44" t="s">
        <v>95</v>
      </c>
      <c r="O44" t="s">
        <v>2496</v>
      </c>
      <c r="P44" t="s">
        <v>93</v>
      </c>
      <c r="Q44">
        <v>0</v>
      </c>
      <c r="R44" t="s">
        <v>95</v>
      </c>
      <c r="S44">
        <v>-18.4031372</v>
      </c>
      <c r="T44">
        <v>-42.369714502131366</v>
      </c>
      <c r="U44" t="s">
        <v>95</v>
      </c>
      <c r="V44">
        <v>10801</v>
      </c>
      <c r="W44" t="s">
        <v>2497</v>
      </c>
      <c r="X44">
        <v>295</v>
      </c>
      <c r="Y44" t="s">
        <v>2498</v>
      </c>
      <c r="Z44">
        <v>-14.2</v>
      </c>
      <c r="AA44" t="s">
        <v>95</v>
      </c>
      <c r="AB44">
        <v>-32.692792505522668</v>
      </c>
      <c r="AC44" t="s">
        <v>93</v>
      </c>
      <c r="AD44">
        <v>0.3</v>
      </c>
      <c r="AE44" t="s">
        <v>95</v>
      </c>
      <c r="AF44" t="s">
        <v>93</v>
      </c>
      <c r="BC44">
        <v>0.33300000000000002</v>
      </c>
      <c r="CF44">
        <v>0.66700000000000004</v>
      </c>
      <c r="CR44">
        <v>-28.467241867955654</v>
      </c>
      <c r="CS44">
        <v>-42.369714502131366</v>
      </c>
      <c r="CT44">
        <v>-32.692792505522668</v>
      </c>
      <c r="CU44" s="7">
        <v>-34.509916291869899</v>
      </c>
      <c r="CV44" t="s">
        <v>3147</v>
      </c>
    </row>
    <row r="45" spans="1:100" ht="15.75" thickBot="1" x14ac:dyDescent="0.3">
      <c r="A45" t="s">
        <v>493</v>
      </c>
      <c r="B45" t="s">
        <v>530</v>
      </c>
      <c r="C45" t="s">
        <v>3141</v>
      </c>
      <c r="D45" t="s">
        <v>3142</v>
      </c>
      <c r="G45" t="s">
        <v>3148</v>
      </c>
      <c r="H45">
        <v>432.67399999999998</v>
      </c>
      <c r="I45">
        <v>215</v>
      </c>
      <c r="M45">
        <v>0</v>
      </c>
      <c r="O45" t="s">
        <v>93</v>
      </c>
      <c r="P45" t="s">
        <v>121</v>
      </c>
      <c r="T45">
        <v>0</v>
      </c>
      <c r="V45" t="s">
        <v>93</v>
      </c>
      <c r="W45" t="s">
        <v>93</v>
      </c>
      <c r="X45">
        <v>298</v>
      </c>
      <c r="Y45" t="s">
        <v>93</v>
      </c>
      <c r="Z45">
        <v>-13.65</v>
      </c>
      <c r="AA45" t="s">
        <v>95</v>
      </c>
      <c r="AB45">
        <v>-31.548001497663368</v>
      </c>
      <c r="AC45" t="s">
        <v>93</v>
      </c>
      <c r="AD45">
        <v>0.24</v>
      </c>
      <c r="AE45" t="s">
        <v>95</v>
      </c>
      <c r="AF45" t="s">
        <v>93</v>
      </c>
      <c r="AH45" t="s">
        <v>93</v>
      </c>
      <c r="AI45" t="s">
        <v>93</v>
      </c>
      <c r="AJ45" t="s">
        <v>93</v>
      </c>
      <c r="AK45" t="s">
        <v>93</v>
      </c>
      <c r="AQ45">
        <v>0.2</v>
      </c>
      <c r="AX45">
        <v>0.8</v>
      </c>
      <c r="CR45">
        <v>0</v>
      </c>
      <c r="CS45">
        <v>0</v>
      </c>
      <c r="CT45">
        <v>-31.548001497663368</v>
      </c>
      <c r="CU45" s="7">
        <v>-31.548001497663368</v>
      </c>
      <c r="CV45" t="s">
        <v>3148</v>
      </c>
    </row>
    <row r="46" spans="1:100" ht="15.75" thickBot="1" x14ac:dyDescent="0.3">
      <c r="A46" t="s">
        <v>2252</v>
      </c>
      <c r="B46" t="s">
        <v>2517</v>
      </c>
      <c r="C46" t="s">
        <v>3141</v>
      </c>
      <c r="D46" t="s">
        <v>3142</v>
      </c>
      <c r="G46" t="s">
        <v>3143</v>
      </c>
      <c r="H46">
        <v>53.961999999999897</v>
      </c>
      <c r="I46">
        <v>1024</v>
      </c>
      <c r="J46">
        <v>0</v>
      </c>
      <c r="K46" t="s">
        <v>95</v>
      </c>
      <c r="L46">
        <v>-1.6278125699999999</v>
      </c>
      <c r="M46">
        <v>-30.1659050813536</v>
      </c>
      <c r="N46" t="s">
        <v>95</v>
      </c>
      <c r="O46" t="s">
        <v>2518</v>
      </c>
      <c r="P46" t="s">
        <v>93</v>
      </c>
      <c r="T46">
        <v>0</v>
      </c>
      <c r="V46" t="s">
        <v>93</v>
      </c>
      <c r="W46" t="s">
        <v>225</v>
      </c>
      <c r="X46">
        <v>1126</v>
      </c>
      <c r="Y46" t="s">
        <v>179</v>
      </c>
      <c r="AB46">
        <v>0</v>
      </c>
      <c r="AC46" t="s">
        <v>93</v>
      </c>
      <c r="AD46">
        <v>1.7</v>
      </c>
      <c r="AE46" t="s">
        <v>95</v>
      </c>
      <c r="AF46" t="s">
        <v>93</v>
      </c>
      <c r="AJ46" t="s">
        <v>93</v>
      </c>
      <c r="AK46" t="s">
        <v>93</v>
      </c>
      <c r="CG46">
        <v>-2.9</v>
      </c>
      <c r="CH46" t="s">
        <v>95</v>
      </c>
      <c r="CI46" t="s">
        <v>93</v>
      </c>
      <c r="CM46">
        <v>0.33300000000000002</v>
      </c>
      <c r="CN46">
        <v>0.66700000000000004</v>
      </c>
      <c r="CR46">
        <v>-30.1659050813536</v>
      </c>
      <c r="CS46">
        <v>0</v>
      </c>
      <c r="CT46">
        <v>0</v>
      </c>
      <c r="CU46" s="7">
        <v>-30.1659050813536</v>
      </c>
      <c r="CV46" t="s">
        <v>3143</v>
      </c>
    </row>
    <row r="47" spans="1:100" ht="15.75" thickBot="1" x14ac:dyDescent="0.3">
      <c r="A47" t="s">
        <v>2252</v>
      </c>
      <c r="B47" t="s">
        <v>2517</v>
      </c>
      <c r="C47" t="s">
        <v>3141</v>
      </c>
      <c r="D47" t="s">
        <v>3142</v>
      </c>
      <c r="G47" t="s">
        <v>3143</v>
      </c>
      <c r="H47">
        <v>53.961999999999897</v>
      </c>
      <c r="I47">
        <v>1025</v>
      </c>
      <c r="J47">
        <v>0</v>
      </c>
      <c r="K47" t="s">
        <v>95</v>
      </c>
      <c r="L47">
        <v>-1.6278125699999999</v>
      </c>
      <c r="M47">
        <v>-30.1659050813536</v>
      </c>
      <c r="N47" t="s">
        <v>95</v>
      </c>
      <c r="O47" t="s">
        <v>2518</v>
      </c>
      <c r="P47" t="s">
        <v>93</v>
      </c>
      <c r="T47">
        <v>0</v>
      </c>
      <c r="V47" t="s">
        <v>93</v>
      </c>
      <c r="W47" t="s">
        <v>225</v>
      </c>
      <c r="X47">
        <v>1020</v>
      </c>
      <c r="Y47" t="s">
        <v>179</v>
      </c>
      <c r="AB47">
        <v>0</v>
      </c>
      <c r="AC47" t="s">
        <v>93</v>
      </c>
      <c r="AD47">
        <v>1.3</v>
      </c>
      <c r="AE47" t="s">
        <v>95</v>
      </c>
      <c r="AF47" t="s">
        <v>93</v>
      </c>
      <c r="AJ47" t="s">
        <v>93</v>
      </c>
      <c r="AK47" t="s">
        <v>93</v>
      </c>
      <c r="CG47">
        <v>-2.7</v>
      </c>
      <c r="CH47" t="s">
        <v>95</v>
      </c>
      <c r="CI47" t="s">
        <v>93</v>
      </c>
      <c r="CM47">
        <v>0.33300000000000002</v>
      </c>
      <c r="CN47">
        <v>0.66700000000000004</v>
      </c>
      <c r="CR47">
        <v>-30.1659050813536</v>
      </c>
      <c r="CS47">
        <v>0</v>
      </c>
      <c r="CT47">
        <v>0</v>
      </c>
      <c r="CU47" s="7">
        <v>-30.1659050813536</v>
      </c>
      <c r="CV47" t="s">
        <v>3143</v>
      </c>
    </row>
    <row r="48" spans="1:100" ht="15.75" thickBot="1" x14ac:dyDescent="0.3">
      <c r="A48" t="s">
        <v>3031</v>
      </c>
      <c r="B48" t="s">
        <v>3032</v>
      </c>
      <c r="C48" t="s">
        <v>3141</v>
      </c>
      <c r="D48" t="s">
        <v>3142</v>
      </c>
      <c r="G48" t="s">
        <v>3152</v>
      </c>
      <c r="H48">
        <v>196.89840000000001</v>
      </c>
      <c r="I48">
        <v>1275</v>
      </c>
      <c r="J48">
        <v>0</v>
      </c>
      <c r="K48" t="s">
        <v>95</v>
      </c>
      <c r="L48">
        <v>-2.9789756299999999</v>
      </c>
      <c r="M48">
        <v>-15.129506537381713</v>
      </c>
      <c r="N48" t="s">
        <v>95</v>
      </c>
      <c r="O48" t="s">
        <v>3033</v>
      </c>
      <c r="P48" t="s">
        <v>93</v>
      </c>
      <c r="Q48">
        <v>0</v>
      </c>
      <c r="R48" t="s">
        <v>95</v>
      </c>
      <c r="S48">
        <v>-3.9204203299999998</v>
      </c>
      <c r="T48">
        <v>-19.910879570377411</v>
      </c>
      <c r="U48" t="s">
        <v>95</v>
      </c>
      <c r="V48">
        <v>19373</v>
      </c>
      <c r="W48" t="s">
        <v>159</v>
      </c>
      <c r="X48">
        <v>298</v>
      </c>
      <c r="Y48" t="s">
        <v>160</v>
      </c>
      <c r="Z48">
        <v>-2.9</v>
      </c>
      <c r="AA48" t="s">
        <v>95</v>
      </c>
      <c r="AB48">
        <v>-14.728408153646752</v>
      </c>
      <c r="AC48" t="s">
        <v>93</v>
      </c>
      <c r="AD48">
        <v>0.03</v>
      </c>
      <c r="AE48" t="s">
        <v>95</v>
      </c>
      <c r="AF48" t="s">
        <v>93</v>
      </c>
      <c r="AU48">
        <v>0.33329999999999999</v>
      </c>
      <c r="BV48">
        <v>0.66669999999999996</v>
      </c>
      <c r="CR48">
        <v>-15.129506537381713</v>
      </c>
      <c r="CS48">
        <v>-19.910879570377411</v>
      </c>
      <c r="CT48">
        <v>-14.728408153646752</v>
      </c>
      <c r="CU48" s="7">
        <v>-16.589598087135293</v>
      </c>
      <c r="CV48" t="s">
        <v>3152</v>
      </c>
    </row>
    <row r="49" spans="1:100" ht="15.75" thickBot="1" x14ac:dyDescent="0.3">
      <c r="A49" t="s">
        <v>2011</v>
      </c>
      <c r="B49" t="s">
        <v>2499</v>
      </c>
      <c r="C49" t="s">
        <v>3141</v>
      </c>
      <c r="D49" t="s">
        <v>3142</v>
      </c>
      <c r="G49" t="s">
        <v>3147</v>
      </c>
      <c r="H49">
        <v>671.72649999999999</v>
      </c>
      <c r="I49">
        <v>1017</v>
      </c>
      <c r="J49">
        <v>0.74265218</v>
      </c>
      <c r="K49" t="s">
        <v>95</v>
      </c>
      <c r="L49">
        <v>-6.6761360200000004</v>
      </c>
      <c r="M49">
        <v>-9.9387712409738196</v>
      </c>
      <c r="N49" t="s">
        <v>95</v>
      </c>
      <c r="O49" t="s">
        <v>2500</v>
      </c>
      <c r="P49" t="s">
        <v>93</v>
      </c>
      <c r="Q49">
        <v>0</v>
      </c>
      <c r="R49" t="s">
        <v>95</v>
      </c>
      <c r="S49">
        <v>-13.928773250000001</v>
      </c>
      <c r="T49">
        <v>-20.73578048506349</v>
      </c>
      <c r="U49" t="s">
        <v>95</v>
      </c>
      <c r="V49">
        <v>19456</v>
      </c>
      <c r="W49" t="s">
        <v>2501</v>
      </c>
      <c r="X49">
        <v>300</v>
      </c>
      <c r="Y49" t="s">
        <v>2502</v>
      </c>
      <c r="Z49">
        <v>-7.9</v>
      </c>
      <c r="AA49" t="s">
        <v>95</v>
      </c>
      <c r="AB49">
        <v>-11.760738931693181</v>
      </c>
      <c r="AC49" t="s">
        <v>93</v>
      </c>
      <c r="AD49">
        <v>0.6</v>
      </c>
      <c r="AE49" t="s">
        <v>95</v>
      </c>
      <c r="AF49" t="s">
        <v>93</v>
      </c>
      <c r="BC49">
        <v>0.2</v>
      </c>
      <c r="CF49">
        <v>0.8</v>
      </c>
      <c r="CR49">
        <v>-9.9387712409738196</v>
      </c>
      <c r="CS49">
        <v>-20.73578048506349</v>
      </c>
      <c r="CT49">
        <v>-11.760738931693181</v>
      </c>
      <c r="CU49" s="7">
        <v>-14.145096885910164</v>
      </c>
      <c r="CV49" t="s">
        <v>3147</v>
      </c>
    </row>
    <row r="50" spans="1:100" ht="15.75" thickBot="1" x14ac:dyDescent="0.3">
      <c r="A50" t="s">
        <v>2011</v>
      </c>
      <c r="B50" t="s">
        <v>2982</v>
      </c>
      <c r="C50" t="s">
        <v>3141</v>
      </c>
      <c r="D50" t="s">
        <v>3142</v>
      </c>
      <c r="G50" t="s">
        <v>3147</v>
      </c>
      <c r="H50">
        <v>304.481999999999</v>
      </c>
      <c r="I50">
        <v>1248</v>
      </c>
      <c r="J50">
        <v>15.40100983</v>
      </c>
      <c r="K50" t="s">
        <v>95</v>
      </c>
      <c r="L50">
        <v>3.9806375799999998</v>
      </c>
      <c r="M50">
        <v>13.073474228361652</v>
      </c>
      <c r="N50" t="s">
        <v>95</v>
      </c>
      <c r="O50" t="s">
        <v>2442</v>
      </c>
      <c r="P50" t="s">
        <v>93</v>
      </c>
      <c r="Q50">
        <v>15.040613309999999</v>
      </c>
      <c r="R50" t="s">
        <v>95</v>
      </c>
      <c r="S50">
        <v>0.62128534999999996</v>
      </c>
      <c r="T50">
        <v>2.0404665957265191</v>
      </c>
      <c r="U50" t="s">
        <v>95</v>
      </c>
      <c r="V50">
        <v>19462</v>
      </c>
      <c r="W50" t="s">
        <v>184</v>
      </c>
      <c r="X50">
        <v>298</v>
      </c>
      <c r="Y50" t="s">
        <v>185</v>
      </c>
      <c r="Z50">
        <v>-14.1</v>
      </c>
      <c r="AA50" t="s">
        <v>95</v>
      </c>
      <c r="AB50">
        <v>-46.308156147161561</v>
      </c>
      <c r="AF50" t="s">
        <v>93</v>
      </c>
      <c r="AS50">
        <v>0.25</v>
      </c>
      <c r="AX50">
        <v>0.5</v>
      </c>
      <c r="CC50">
        <v>1</v>
      </c>
      <c r="CD50" t="s">
        <v>95</v>
      </c>
      <c r="CE50" t="s">
        <v>93</v>
      </c>
      <c r="CF50">
        <v>0.25</v>
      </c>
      <c r="CR50">
        <v>13.073474228361652</v>
      </c>
      <c r="CS50">
        <v>2.0404665957265191</v>
      </c>
      <c r="CT50">
        <v>-46.308156147161561</v>
      </c>
      <c r="CU50" s="7">
        <v>-10.398071774357797</v>
      </c>
      <c r="CV50" t="s">
        <v>3147</v>
      </c>
    </row>
    <row r="51" spans="1:100" ht="15.75" thickBot="1" x14ac:dyDescent="0.3">
      <c r="A51" t="s">
        <v>2011</v>
      </c>
      <c r="B51" t="s">
        <v>2503</v>
      </c>
      <c r="C51" t="s">
        <v>3141</v>
      </c>
      <c r="D51" t="s">
        <v>3142</v>
      </c>
      <c r="G51" t="s">
        <v>3147</v>
      </c>
      <c r="H51">
        <v>1103.5225</v>
      </c>
      <c r="I51">
        <v>1018</v>
      </c>
      <c r="J51">
        <v>1.3280468299999999</v>
      </c>
      <c r="K51" t="s">
        <v>95</v>
      </c>
      <c r="L51">
        <v>-4.5495869799999999</v>
      </c>
      <c r="M51">
        <v>-4.1227858788561171</v>
      </c>
      <c r="N51" t="s">
        <v>95</v>
      </c>
      <c r="O51" t="s">
        <v>2504</v>
      </c>
      <c r="P51" t="s">
        <v>93</v>
      </c>
      <c r="Q51">
        <v>1.1908010200000001</v>
      </c>
      <c r="R51" t="s">
        <v>95</v>
      </c>
      <c r="S51">
        <v>-6.1939612500000001</v>
      </c>
      <c r="T51">
        <v>-5.6128998275975341</v>
      </c>
      <c r="U51" t="s">
        <v>95</v>
      </c>
      <c r="V51">
        <v>10803</v>
      </c>
      <c r="W51" t="s">
        <v>2505</v>
      </c>
      <c r="X51">
        <v>295</v>
      </c>
      <c r="Y51" t="s">
        <v>2506</v>
      </c>
      <c r="Z51">
        <v>-5.8</v>
      </c>
      <c r="AA51" t="s">
        <v>95</v>
      </c>
      <c r="AB51">
        <v>-5.2558964588397599</v>
      </c>
      <c r="AC51" t="s">
        <v>93</v>
      </c>
      <c r="AD51">
        <v>0.3</v>
      </c>
      <c r="AE51" t="s">
        <v>95</v>
      </c>
      <c r="AF51" t="s">
        <v>93</v>
      </c>
      <c r="BC51">
        <v>0.83299999999999996</v>
      </c>
      <c r="CF51">
        <v>0.16700000000000001</v>
      </c>
      <c r="CR51">
        <v>-4.1227858788561171</v>
      </c>
      <c r="CS51">
        <v>-5.6128998275975341</v>
      </c>
      <c r="CT51">
        <v>-5.2558964588397599</v>
      </c>
      <c r="CU51" s="7">
        <v>-4.997194055097804</v>
      </c>
      <c r="CV51" t="s">
        <v>3147</v>
      </c>
    </row>
    <row r="52" spans="1:100" ht="15.75" thickBot="1" x14ac:dyDescent="0.3">
      <c r="A52" t="s">
        <v>2011</v>
      </c>
      <c r="B52" t="s">
        <v>2503</v>
      </c>
      <c r="C52" t="s">
        <v>3141</v>
      </c>
      <c r="D52" t="s">
        <v>3142</v>
      </c>
      <c r="G52" t="s">
        <v>3147</v>
      </c>
      <c r="H52">
        <v>1103.5225</v>
      </c>
      <c r="I52">
        <v>1019</v>
      </c>
      <c r="M52">
        <v>0</v>
      </c>
      <c r="O52" t="s">
        <v>93</v>
      </c>
      <c r="P52" t="s">
        <v>93</v>
      </c>
      <c r="T52">
        <v>0</v>
      </c>
      <c r="V52" t="s">
        <v>93</v>
      </c>
      <c r="W52" t="s">
        <v>1096</v>
      </c>
      <c r="X52">
        <v>300</v>
      </c>
      <c r="Y52" t="s">
        <v>179</v>
      </c>
      <c r="Z52">
        <v>-1.3</v>
      </c>
      <c r="AA52" t="s">
        <v>95</v>
      </c>
      <c r="AB52">
        <v>-1.1780457580158084</v>
      </c>
      <c r="AC52" t="s">
        <v>93</v>
      </c>
      <c r="AD52">
        <v>0.4</v>
      </c>
      <c r="AE52" t="s">
        <v>95</v>
      </c>
      <c r="AF52" t="s">
        <v>93</v>
      </c>
      <c r="AH52" t="s">
        <v>93</v>
      </c>
      <c r="AI52" t="s">
        <v>93</v>
      </c>
      <c r="AJ52" t="s">
        <v>93</v>
      </c>
      <c r="AK52" t="s">
        <v>93</v>
      </c>
      <c r="BC52">
        <v>0.89</v>
      </c>
      <c r="CF52">
        <v>0.11</v>
      </c>
      <c r="CR52">
        <v>0</v>
      </c>
      <c r="CS52">
        <v>0</v>
      </c>
      <c r="CT52">
        <v>-1.1780457580158084</v>
      </c>
      <c r="CU52" s="7">
        <v>-1.1780457580158084</v>
      </c>
      <c r="CV52" t="s">
        <v>3147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C79F1-F92B-4E1D-9330-2080C90842EA}">
  <sheetPr codeName="Sheet6"/>
  <dimension ref="A1:CU14"/>
  <sheetViews>
    <sheetView topLeftCell="CQ1" workbookViewId="0">
      <selection activeCell="H1" sqref="H1:H1048576"/>
    </sheetView>
  </sheetViews>
  <sheetFormatPr defaultRowHeight="15" x14ac:dyDescent="0.25"/>
  <cols>
    <col min="7" max="7" width="17.140625" customWidth="1"/>
    <col min="8" max="8" width="15.28515625" customWidth="1"/>
    <col min="13" max="13" width="26.28515625" customWidth="1"/>
    <col min="20" max="20" width="26.28515625" customWidth="1"/>
    <col min="28" max="28" width="27.140625" customWidth="1"/>
    <col min="85" max="85" width="26.140625" customWidth="1"/>
    <col min="96" max="96" width="25.7109375" customWidth="1"/>
    <col min="97" max="97" width="33.28515625" customWidth="1"/>
    <col min="98" max="98" width="31.7109375" customWidth="1"/>
    <col min="99" max="99" width="23.7109375" customWidth="1"/>
    <col min="100" max="100" width="19.28515625" customWidth="1"/>
  </cols>
  <sheetData>
    <row r="1" spans="1:99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3122</v>
      </c>
      <c r="I1" t="s">
        <v>7</v>
      </c>
      <c r="J1" t="s">
        <v>8</v>
      </c>
      <c r="K1" t="s">
        <v>9</v>
      </c>
      <c r="L1" t="s">
        <v>10</v>
      </c>
      <c r="M1" t="s">
        <v>3123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3124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3125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61</v>
      </c>
      <c r="BO1" t="s">
        <v>62</v>
      </c>
      <c r="BP1" t="s">
        <v>63</v>
      </c>
      <c r="BQ1" t="s">
        <v>64</v>
      </c>
      <c r="BR1" t="s">
        <v>65</v>
      </c>
      <c r="BS1" t="s">
        <v>66</v>
      </c>
      <c r="BT1" t="s">
        <v>67</v>
      </c>
      <c r="BU1" t="s">
        <v>68</v>
      </c>
      <c r="BV1" t="s">
        <v>69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3131</v>
      </c>
      <c r="CS1" t="s">
        <v>3132</v>
      </c>
      <c r="CT1" t="s">
        <v>3133</v>
      </c>
      <c r="CU1" t="s">
        <v>3134</v>
      </c>
    </row>
    <row r="2" spans="1:99" ht="15.75" thickBot="1" x14ac:dyDescent="0.3">
      <c r="A2" t="s">
        <v>91</v>
      </c>
      <c r="B2" t="s">
        <v>1963</v>
      </c>
      <c r="C2" t="s">
        <v>1961</v>
      </c>
      <c r="G2" t="s">
        <v>1964</v>
      </c>
      <c r="H2">
        <v>326.95280000000002</v>
      </c>
      <c r="I2">
        <v>760</v>
      </c>
      <c r="M2">
        <f t="shared" ref="M2:M14" si="0">(1000/H2)*L2</f>
        <v>0</v>
      </c>
      <c r="O2" t="s">
        <v>93</v>
      </c>
      <c r="P2" t="s">
        <v>93</v>
      </c>
      <c r="T2">
        <f t="shared" ref="T2:T14" si="1">(1000/H2)*S2</f>
        <v>0</v>
      </c>
      <c r="V2" t="s">
        <v>93</v>
      </c>
      <c r="W2" t="s">
        <v>1965</v>
      </c>
      <c r="X2">
        <v>1596</v>
      </c>
      <c r="Y2" t="s">
        <v>185</v>
      </c>
      <c r="AB2">
        <f t="shared" ref="AB2:AB14" si="2">(1000/H2)*Z2</f>
        <v>0</v>
      </c>
      <c r="AC2" t="s">
        <v>93</v>
      </c>
      <c r="AD2">
        <v>1.5</v>
      </c>
      <c r="AE2" t="s">
        <v>95</v>
      </c>
      <c r="AF2" t="s">
        <v>93</v>
      </c>
      <c r="AH2" t="s">
        <v>93</v>
      </c>
      <c r="AI2" t="s">
        <v>93</v>
      </c>
      <c r="AJ2" t="s">
        <v>93</v>
      </c>
      <c r="AK2" t="s">
        <v>93</v>
      </c>
      <c r="AP2">
        <v>0.2</v>
      </c>
      <c r="AW2">
        <v>0.8</v>
      </c>
      <c r="CG2">
        <v>-29.8</v>
      </c>
      <c r="CH2" t="s">
        <v>95</v>
      </c>
      <c r="CI2" t="s">
        <v>93</v>
      </c>
      <c r="CR2">
        <f t="shared" ref="CR2:CR14" si="3">VALUE(M2)</f>
        <v>0</v>
      </c>
      <c r="CS2">
        <f t="shared" ref="CS2:CS14" si="4">VALUE(T2)</f>
        <v>0</v>
      </c>
      <c r="CT2">
        <f t="shared" ref="CT2:CT14" si="5">VALUE(AB2)</f>
        <v>0</v>
      </c>
      <c r="CU2" s="7" t="e">
        <f t="shared" ref="CU2:CU14" si="6">SUM(CR2:CT2)/(COUNTIF(CR2:CT2,"&lt;&gt;0")-COUNTBLANK(CR2:CT2)-(COUNTA(CR2:CT2)-COUNT(CR2:CT2)))</f>
        <v>#DIV/0!</v>
      </c>
    </row>
    <row r="3" spans="1:99" ht="15.75" thickBot="1" x14ac:dyDescent="0.3">
      <c r="A3" t="s">
        <v>91</v>
      </c>
      <c r="B3" t="s">
        <v>2003</v>
      </c>
      <c r="C3" t="s">
        <v>2000</v>
      </c>
      <c r="G3" t="s">
        <v>631</v>
      </c>
      <c r="H3">
        <v>767.88</v>
      </c>
      <c r="I3">
        <v>782</v>
      </c>
      <c r="M3">
        <f t="shared" si="0"/>
        <v>0</v>
      </c>
      <c r="O3" t="s">
        <v>93</v>
      </c>
      <c r="P3" t="s">
        <v>93</v>
      </c>
      <c r="T3">
        <f t="shared" si="1"/>
        <v>0</v>
      </c>
      <c r="V3" t="s">
        <v>93</v>
      </c>
      <c r="W3" t="s">
        <v>2004</v>
      </c>
      <c r="X3">
        <v>1623</v>
      </c>
      <c r="Y3" t="s">
        <v>633</v>
      </c>
      <c r="AB3">
        <f t="shared" si="2"/>
        <v>0</v>
      </c>
      <c r="AC3" t="s">
        <v>93</v>
      </c>
      <c r="AD3">
        <v>2</v>
      </c>
      <c r="AE3" t="s">
        <v>95</v>
      </c>
      <c r="AF3" t="s">
        <v>93</v>
      </c>
      <c r="AH3" t="s">
        <v>93</v>
      </c>
      <c r="AI3" t="s">
        <v>93</v>
      </c>
      <c r="AJ3" t="s">
        <v>93</v>
      </c>
      <c r="AK3" t="s">
        <v>93</v>
      </c>
      <c r="AQ3">
        <v>0.22</v>
      </c>
      <c r="AS3">
        <v>0.78</v>
      </c>
      <c r="CG3">
        <v>-50.7</v>
      </c>
      <c r="CH3" t="s">
        <v>95</v>
      </c>
      <c r="CI3" t="s">
        <v>93</v>
      </c>
      <c r="CR3">
        <f t="shared" si="3"/>
        <v>0</v>
      </c>
      <c r="CS3">
        <f t="shared" si="4"/>
        <v>0</v>
      </c>
      <c r="CT3">
        <f t="shared" si="5"/>
        <v>0</v>
      </c>
      <c r="CU3" s="7" t="e">
        <f t="shared" si="6"/>
        <v>#DIV/0!</v>
      </c>
    </row>
    <row r="4" spans="1:99" ht="15.75" thickBot="1" x14ac:dyDescent="0.3">
      <c r="A4" t="s">
        <v>91</v>
      </c>
      <c r="B4" t="s">
        <v>2005</v>
      </c>
      <c r="C4" t="s">
        <v>2000</v>
      </c>
      <c r="G4" t="s">
        <v>2006</v>
      </c>
      <c r="H4">
        <v>2252.11</v>
      </c>
      <c r="I4">
        <v>783</v>
      </c>
      <c r="M4">
        <f t="shared" si="0"/>
        <v>0</v>
      </c>
      <c r="O4" t="s">
        <v>93</v>
      </c>
      <c r="P4" t="s">
        <v>93</v>
      </c>
      <c r="T4">
        <f t="shared" si="1"/>
        <v>0</v>
      </c>
      <c r="V4" t="s">
        <v>93</v>
      </c>
      <c r="W4" t="s">
        <v>2007</v>
      </c>
      <c r="X4">
        <v>1473</v>
      </c>
      <c r="Y4" t="s">
        <v>1720</v>
      </c>
      <c r="AB4">
        <f t="shared" si="2"/>
        <v>0</v>
      </c>
      <c r="AC4" t="s">
        <v>93</v>
      </c>
      <c r="AD4">
        <v>2.2000000000000002</v>
      </c>
      <c r="AE4" t="s">
        <v>95</v>
      </c>
      <c r="AF4" t="s">
        <v>93</v>
      </c>
      <c r="AH4" t="s">
        <v>93</v>
      </c>
      <c r="AI4" t="s">
        <v>93</v>
      </c>
      <c r="AJ4" t="s">
        <v>93</v>
      </c>
      <c r="AK4" t="s">
        <v>93</v>
      </c>
      <c r="AQ4">
        <v>0.45</v>
      </c>
      <c r="AS4">
        <v>0.55000000000000004</v>
      </c>
      <c r="CG4">
        <v>-54.5</v>
      </c>
      <c r="CH4" t="s">
        <v>95</v>
      </c>
      <c r="CI4" t="s">
        <v>93</v>
      </c>
      <c r="CR4">
        <f t="shared" si="3"/>
        <v>0</v>
      </c>
      <c r="CS4">
        <f t="shared" si="4"/>
        <v>0</v>
      </c>
      <c r="CT4">
        <f t="shared" si="5"/>
        <v>0</v>
      </c>
      <c r="CU4" s="7" t="e">
        <f t="shared" si="6"/>
        <v>#DIV/0!</v>
      </c>
    </row>
    <row r="5" spans="1:99" ht="15.75" thickBot="1" x14ac:dyDescent="0.3">
      <c r="A5" t="s">
        <v>91</v>
      </c>
      <c r="B5" t="s">
        <v>2026</v>
      </c>
      <c r="C5" t="s">
        <v>2023</v>
      </c>
      <c r="G5" t="s">
        <v>2027</v>
      </c>
      <c r="H5">
        <v>391.29</v>
      </c>
      <c r="I5">
        <v>796</v>
      </c>
      <c r="M5">
        <f t="shared" si="0"/>
        <v>0</v>
      </c>
      <c r="O5" t="s">
        <v>93</v>
      </c>
      <c r="P5" t="s">
        <v>93</v>
      </c>
      <c r="T5">
        <f t="shared" si="1"/>
        <v>0</v>
      </c>
      <c r="V5" t="s">
        <v>93</v>
      </c>
      <c r="W5" t="s">
        <v>97</v>
      </c>
      <c r="X5">
        <v>1700</v>
      </c>
      <c r="Y5" t="s">
        <v>98</v>
      </c>
      <c r="AB5">
        <f t="shared" si="2"/>
        <v>0</v>
      </c>
      <c r="AC5" t="s">
        <v>93</v>
      </c>
      <c r="AD5">
        <v>4.0999999999999996</v>
      </c>
      <c r="AE5" t="s">
        <v>95</v>
      </c>
      <c r="AF5" t="s">
        <v>93</v>
      </c>
      <c r="AH5" t="s">
        <v>93</v>
      </c>
      <c r="AI5" t="s">
        <v>93</v>
      </c>
      <c r="AJ5" t="s">
        <v>93</v>
      </c>
      <c r="AK5" t="s">
        <v>93</v>
      </c>
      <c r="AQ5">
        <v>0.33</v>
      </c>
      <c r="AZ5">
        <v>0.67</v>
      </c>
      <c r="CG5">
        <v>-98.7</v>
      </c>
      <c r="CH5" t="s">
        <v>95</v>
      </c>
      <c r="CI5" t="s">
        <v>93</v>
      </c>
      <c r="CR5">
        <f t="shared" si="3"/>
        <v>0</v>
      </c>
      <c r="CS5">
        <f t="shared" si="4"/>
        <v>0</v>
      </c>
      <c r="CT5">
        <f t="shared" si="5"/>
        <v>0</v>
      </c>
      <c r="CU5" s="7" t="e">
        <f t="shared" si="6"/>
        <v>#DIV/0!</v>
      </c>
    </row>
    <row r="6" spans="1:99" ht="15.75" thickBot="1" x14ac:dyDescent="0.3">
      <c r="A6" t="s">
        <v>91</v>
      </c>
      <c r="B6" t="s">
        <v>2037</v>
      </c>
      <c r="C6" t="s">
        <v>2033</v>
      </c>
      <c r="G6" t="s">
        <v>2038</v>
      </c>
      <c r="H6">
        <v>288.18650000000002</v>
      </c>
      <c r="I6">
        <v>803</v>
      </c>
      <c r="M6">
        <f t="shared" si="0"/>
        <v>0</v>
      </c>
      <c r="O6" t="s">
        <v>93</v>
      </c>
      <c r="P6" t="s">
        <v>93</v>
      </c>
      <c r="T6">
        <f t="shared" si="1"/>
        <v>0</v>
      </c>
      <c r="V6" t="s">
        <v>93</v>
      </c>
      <c r="W6" t="s">
        <v>93</v>
      </c>
      <c r="X6">
        <v>1373</v>
      </c>
      <c r="Y6" t="s">
        <v>93</v>
      </c>
      <c r="AB6">
        <f t="shared" si="2"/>
        <v>0</v>
      </c>
      <c r="AC6" t="s">
        <v>93</v>
      </c>
      <c r="AD6">
        <v>0.9</v>
      </c>
      <c r="AE6" t="s">
        <v>95</v>
      </c>
      <c r="AF6" t="s">
        <v>93</v>
      </c>
      <c r="AH6" t="s">
        <v>93</v>
      </c>
      <c r="AI6" t="s">
        <v>93</v>
      </c>
      <c r="AJ6" t="s">
        <v>93</v>
      </c>
      <c r="AK6" t="s">
        <v>93</v>
      </c>
      <c r="AP6">
        <v>0.5</v>
      </c>
      <c r="BC6">
        <v>0.5</v>
      </c>
      <c r="CG6">
        <v>-59.7</v>
      </c>
      <c r="CH6" t="s">
        <v>95</v>
      </c>
      <c r="CI6" t="s">
        <v>93</v>
      </c>
      <c r="CR6">
        <f t="shared" si="3"/>
        <v>0</v>
      </c>
      <c r="CS6">
        <f t="shared" si="4"/>
        <v>0</v>
      </c>
      <c r="CT6">
        <f t="shared" si="5"/>
        <v>0</v>
      </c>
      <c r="CU6" s="7" t="e">
        <f t="shared" si="6"/>
        <v>#DIV/0!</v>
      </c>
    </row>
    <row r="7" spans="1:99" ht="15.75" thickBot="1" x14ac:dyDescent="0.3">
      <c r="A7" t="s">
        <v>91</v>
      </c>
      <c r="B7" t="s">
        <v>1076</v>
      </c>
      <c r="C7" t="s">
        <v>2074</v>
      </c>
      <c r="G7" t="s">
        <v>2075</v>
      </c>
      <c r="H7">
        <v>398.60714000000002</v>
      </c>
      <c r="I7">
        <v>818</v>
      </c>
      <c r="M7">
        <f t="shared" si="0"/>
        <v>0</v>
      </c>
      <c r="O7" t="s">
        <v>93</v>
      </c>
      <c r="P7" t="s">
        <v>93</v>
      </c>
      <c r="T7">
        <f t="shared" si="1"/>
        <v>0</v>
      </c>
      <c r="V7" t="s">
        <v>93</v>
      </c>
      <c r="W7" t="s">
        <v>391</v>
      </c>
      <c r="X7">
        <v>1699</v>
      </c>
      <c r="Y7" t="s">
        <v>392</v>
      </c>
      <c r="AB7">
        <f t="shared" si="2"/>
        <v>0</v>
      </c>
      <c r="AC7" t="s">
        <v>93</v>
      </c>
      <c r="AD7">
        <v>2.2999999999999998</v>
      </c>
      <c r="AE7" t="s">
        <v>95</v>
      </c>
      <c r="AF7" t="s">
        <v>93</v>
      </c>
      <c r="AH7" t="s">
        <v>93</v>
      </c>
      <c r="AI7" t="s">
        <v>93</v>
      </c>
      <c r="AJ7" t="s">
        <v>93</v>
      </c>
      <c r="AK7" t="s">
        <v>93</v>
      </c>
      <c r="AR7">
        <v>0.2</v>
      </c>
      <c r="AU7">
        <v>0.8</v>
      </c>
      <c r="CG7">
        <v>-19.7</v>
      </c>
      <c r="CH7" t="s">
        <v>95</v>
      </c>
      <c r="CI7" t="s">
        <v>93</v>
      </c>
      <c r="CR7">
        <f t="shared" si="3"/>
        <v>0</v>
      </c>
      <c r="CS7">
        <f t="shared" si="4"/>
        <v>0</v>
      </c>
      <c r="CT7">
        <f t="shared" si="5"/>
        <v>0</v>
      </c>
      <c r="CU7" s="7" t="e">
        <f t="shared" si="6"/>
        <v>#DIV/0!</v>
      </c>
    </row>
    <row r="8" spans="1:99" ht="15.75" thickBot="1" x14ac:dyDescent="0.3">
      <c r="A8" t="s">
        <v>91</v>
      </c>
      <c r="B8" t="s">
        <v>2083</v>
      </c>
      <c r="C8" t="s">
        <v>2079</v>
      </c>
      <c r="G8" t="s">
        <v>2084</v>
      </c>
      <c r="H8">
        <v>12871.86</v>
      </c>
      <c r="I8">
        <v>823</v>
      </c>
      <c r="M8">
        <f t="shared" si="0"/>
        <v>0</v>
      </c>
      <c r="O8" t="s">
        <v>93</v>
      </c>
      <c r="P8" t="s">
        <v>93</v>
      </c>
      <c r="T8">
        <f t="shared" si="1"/>
        <v>0</v>
      </c>
      <c r="V8" t="s">
        <v>93</v>
      </c>
      <c r="W8" t="s">
        <v>2085</v>
      </c>
      <c r="X8">
        <v>1673</v>
      </c>
      <c r="Y8" t="s">
        <v>971</v>
      </c>
      <c r="AB8">
        <f t="shared" si="2"/>
        <v>0</v>
      </c>
      <c r="AC8" t="s">
        <v>93</v>
      </c>
      <c r="AD8">
        <v>0.9</v>
      </c>
      <c r="AE8" t="s">
        <v>95</v>
      </c>
      <c r="AF8" t="s">
        <v>93</v>
      </c>
      <c r="AH8" t="s">
        <v>93</v>
      </c>
      <c r="AI8" t="s">
        <v>93</v>
      </c>
      <c r="AJ8" t="s">
        <v>93</v>
      </c>
      <c r="AK8" t="s">
        <v>93</v>
      </c>
      <c r="AQ8">
        <v>0.77</v>
      </c>
      <c r="BM8">
        <v>0.23</v>
      </c>
      <c r="CG8">
        <v>-21</v>
      </c>
      <c r="CH8" t="s">
        <v>95</v>
      </c>
      <c r="CI8" t="s">
        <v>93</v>
      </c>
      <c r="CR8">
        <f t="shared" si="3"/>
        <v>0</v>
      </c>
      <c r="CS8">
        <f t="shared" si="4"/>
        <v>0</v>
      </c>
      <c r="CT8">
        <f t="shared" si="5"/>
        <v>0</v>
      </c>
      <c r="CU8" s="7" t="e">
        <f t="shared" si="6"/>
        <v>#DIV/0!</v>
      </c>
    </row>
    <row r="9" spans="1:99" ht="15.75" thickBot="1" x14ac:dyDescent="0.3">
      <c r="A9" t="s">
        <v>91</v>
      </c>
      <c r="B9" t="s">
        <v>2086</v>
      </c>
      <c r="C9" t="s">
        <v>2087</v>
      </c>
      <c r="G9" t="s">
        <v>2088</v>
      </c>
      <c r="H9">
        <v>245.25615999999999</v>
      </c>
      <c r="I9">
        <v>824</v>
      </c>
      <c r="M9">
        <f t="shared" si="0"/>
        <v>0</v>
      </c>
      <c r="O9" t="s">
        <v>93</v>
      </c>
      <c r="P9" t="s">
        <v>93</v>
      </c>
      <c r="T9">
        <f t="shared" si="1"/>
        <v>0</v>
      </c>
      <c r="V9" t="s">
        <v>93</v>
      </c>
      <c r="W9" t="s">
        <v>1719</v>
      </c>
      <c r="X9">
        <v>1215</v>
      </c>
      <c r="Y9" t="s">
        <v>1720</v>
      </c>
      <c r="AB9">
        <f t="shared" si="2"/>
        <v>0</v>
      </c>
      <c r="AC9" t="s">
        <v>93</v>
      </c>
      <c r="AD9">
        <v>1.5</v>
      </c>
      <c r="AE9" t="s">
        <v>95</v>
      </c>
      <c r="AF9" t="s">
        <v>93</v>
      </c>
      <c r="AH9" t="s">
        <v>93</v>
      </c>
      <c r="AI9" t="s">
        <v>93</v>
      </c>
      <c r="AJ9" t="s">
        <v>93</v>
      </c>
      <c r="AK9" t="s">
        <v>93</v>
      </c>
      <c r="AR9">
        <v>0.8</v>
      </c>
      <c r="CG9">
        <v>-37.1</v>
      </c>
      <c r="CH9" t="s">
        <v>95</v>
      </c>
      <c r="CI9" t="s">
        <v>93</v>
      </c>
      <c r="CK9">
        <v>0.2</v>
      </c>
      <c r="CR9">
        <f t="shared" si="3"/>
        <v>0</v>
      </c>
      <c r="CS9">
        <f t="shared" si="4"/>
        <v>0</v>
      </c>
      <c r="CT9">
        <f t="shared" si="5"/>
        <v>0</v>
      </c>
      <c r="CU9" s="7" t="e">
        <f t="shared" si="6"/>
        <v>#DIV/0!</v>
      </c>
    </row>
    <row r="10" spans="1:99" ht="15.75" thickBot="1" x14ac:dyDescent="0.3">
      <c r="A10" t="s">
        <v>91</v>
      </c>
      <c r="B10" t="s">
        <v>2101</v>
      </c>
      <c r="C10" t="s">
        <v>2102</v>
      </c>
      <c r="G10" t="s">
        <v>2103</v>
      </c>
      <c r="H10">
        <v>413.48</v>
      </c>
      <c r="I10">
        <v>834</v>
      </c>
      <c r="M10">
        <f t="shared" si="0"/>
        <v>0</v>
      </c>
      <c r="O10" t="s">
        <v>93</v>
      </c>
      <c r="P10" t="s">
        <v>93</v>
      </c>
      <c r="T10">
        <f t="shared" si="1"/>
        <v>0</v>
      </c>
      <c r="V10" t="s">
        <v>93</v>
      </c>
      <c r="W10" t="s">
        <v>172</v>
      </c>
      <c r="X10">
        <v>1389</v>
      </c>
      <c r="Y10" t="s">
        <v>179</v>
      </c>
      <c r="AB10">
        <f t="shared" si="2"/>
        <v>0</v>
      </c>
      <c r="AC10" t="s">
        <v>93</v>
      </c>
      <c r="AD10">
        <v>1.7</v>
      </c>
      <c r="AE10" t="s">
        <v>95</v>
      </c>
      <c r="AF10" t="s">
        <v>93</v>
      </c>
      <c r="AH10" t="s">
        <v>93</v>
      </c>
      <c r="AI10" t="s">
        <v>93</v>
      </c>
      <c r="AJ10" t="s">
        <v>93</v>
      </c>
      <c r="AK10" t="s">
        <v>93</v>
      </c>
      <c r="AS10">
        <v>0.6</v>
      </c>
      <c r="CF10">
        <v>0.4</v>
      </c>
      <c r="CG10">
        <v>-34.299999999999997</v>
      </c>
      <c r="CH10" t="s">
        <v>95</v>
      </c>
      <c r="CI10" t="s">
        <v>93</v>
      </c>
      <c r="CR10">
        <f t="shared" si="3"/>
        <v>0</v>
      </c>
      <c r="CS10">
        <f t="shared" si="4"/>
        <v>0</v>
      </c>
      <c r="CT10">
        <f t="shared" si="5"/>
        <v>0</v>
      </c>
      <c r="CU10" s="7" t="e">
        <f t="shared" si="6"/>
        <v>#DIV/0!</v>
      </c>
    </row>
    <row r="11" spans="1:99" ht="15.75" thickBot="1" x14ac:dyDescent="0.3">
      <c r="A11" t="s">
        <v>91</v>
      </c>
      <c r="B11" t="s">
        <v>2101</v>
      </c>
      <c r="C11" t="s">
        <v>2102</v>
      </c>
      <c r="G11" t="s">
        <v>2103</v>
      </c>
      <c r="H11">
        <v>413.48</v>
      </c>
      <c r="I11">
        <v>837</v>
      </c>
      <c r="M11">
        <f t="shared" si="0"/>
        <v>0</v>
      </c>
      <c r="O11" t="s">
        <v>93</v>
      </c>
      <c r="P11" t="s">
        <v>93</v>
      </c>
      <c r="T11">
        <f t="shared" si="1"/>
        <v>0</v>
      </c>
      <c r="V11" t="s">
        <v>93</v>
      </c>
      <c r="W11" t="s">
        <v>172</v>
      </c>
      <c r="X11">
        <v>1288</v>
      </c>
      <c r="Y11" t="s">
        <v>179</v>
      </c>
      <c r="AB11">
        <f t="shared" si="2"/>
        <v>0</v>
      </c>
      <c r="AC11" t="s">
        <v>93</v>
      </c>
      <c r="AD11">
        <v>1.3</v>
      </c>
      <c r="AE11" t="s">
        <v>95</v>
      </c>
      <c r="AF11" t="s">
        <v>93</v>
      </c>
      <c r="AH11" t="s">
        <v>93</v>
      </c>
      <c r="AI11" t="s">
        <v>93</v>
      </c>
      <c r="AJ11" t="s">
        <v>93</v>
      </c>
      <c r="AK11" t="s">
        <v>93</v>
      </c>
      <c r="AS11">
        <v>0.6</v>
      </c>
      <c r="CF11">
        <v>0.4</v>
      </c>
      <c r="CG11">
        <v>-35</v>
      </c>
      <c r="CH11" t="s">
        <v>95</v>
      </c>
      <c r="CI11" t="s">
        <v>93</v>
      </c>
      <c r="CR11">
        <f t="shared" si="3"/>
        <v>0</v>
      </c>
      <c r="CS11">
        <f t="shared" si="4"/>
        <v>0</v>
      </c>
      <c r="CT11">
        <f t="shared" si="5"/>
        <v>0</v>
      </c>
      <c r="CU11" s="7" t="e">
        <f t="shared" si="6"/>
        <v>#DIV/0!</v>
      </c>
    </row>
    <row r="12" spans="1:99" ht="15.75" thickBot="1" x14ac:dyDescent="0.3">
      <c r="A12" t="s">
        <v>2252</v>
      </c>
      <c r="B12" t="s">
        <v>93</v>
      </c>
      <c r="C12" t="s">
        <v>2543</v>
      </c>
      <c r="G12" t="s">
        <v>2547</v>
      </c>
      <c r="H12">
        <v>133.58153999999999</v>
      </c>
      <c r="I12">
        <v>1039</v>
      </c>
      <c r="M12">
        <f t="shared" si="0"/>
        <v>0</v>
      </c>
      <c r="O12" t="s">
        <v>93</v>
      </c>
      <c r="P12" t="s">
        <v>93</v>
      </c>
      <c r="T12">
        <f t="shared" si="1"/>
        <v>0</v>
      </c>
      <c r="V12" t="s">
        <v>93</v>
      </c>
      <c r="W12" t="s">
        <v>225</v>
      </c>
      <c r="X12">
        <v>1133</v>
      </c>
      <c r="Y12" t="s">
        <v>179</v>
      </c>
      <c r="AB12">
        <f t="shared" si="2"/>
        <v>0</v>
      </c>
      <c r="AC12" t="s">
        <v>93</v>
      </c>
      <c r="AD12">
        <v>2</v>
      </c>
      <c r="AE12" t="s">
        <v>95</v>
      </c>
      <c r="AF12" t="s">
        <v>93</v>
      </c>
      <c r="AH12" t="s">
        <v>93</v>
      </c>
      <c r="AI12" t="s">
        <v>93</v>
      </c>
      <c r="AJ12" t="s">
        <v>93</v>
      </c>
      <c r="AK12" t="s">
        <v>93</v>
      </c>
      <c r="AR12">
        <v>0.33300000000000002</v>
      </c>
      <c r="AS12">
        <v>0.33300000000000002</v>
      </c>
      <c r="BA12">
        <v>0.33300000000000002</v>
      </c>
      <c r="CG12">
        <v>-56.5</v>
      </c>
      <c r="CH12" t="s">
        <v>95</v>
      </c>
      <c r="CI12" t="s">
        <v>93</v>
      </c>
      <c r="CR12">
        <f t="shared" si="3"/>
        <v>0</v>
      </c>
      <c r="CS12">
        <f t="shared" si="4"/>
        <v>0</v>
      </c>
      <c r="CT12">
        <f t="shared" si="5"/>
        <v>0</v>
      </c>
      <c r="CU12" s="7" t="e">
        <f t="shared" si="6"/>
        <v>#DIV/0!</v>
      </c>
    </row>
    <row r="13" spans="1:99" ht="15.75" thickBot="1" x14ac:dyDescent="0.3">
      <c r="A13" t="s">
        <v>91</v>
      </c>
      <c r="B13" t="s">
        <v>3023</v>
      </c>
      <c r="C13" t="s">
        <v>3020</v>
      </c>
      <c r="G13" t="s">
        <v>3024</v>
      </c>
      <c r="H13">
        <v>511.27</v>
      </c>
      <c r="I13">
        <v>1271</v>
      </c>
      <c r="M13">
        <f t="shared" si="0"/>
        <v>0</v>
      </c>
      <c r="O13" t="s">
        <v>93</v>
      </c>
      <c r="P13" t="s">
        <v>93</v>
      </c>
      <c r="T13">
        <f t="shared" si="1"/>
        <v>0</v>
      </c>
      <c r="V13" t="s">
        <v>93</v>
      </c>
      <c r="W13" t="s">
        <v>172</v>
      </c>
      <c r="X13">
        <v>1063</v>
      </c>
      <c r="Y13" t="s">
        <v>179</v>
      </c>
      <c r="AB13">
        <f t="shared" si="2"/>
        <v>0</v>
      </c>
      <c r="AC13" t="s">
        <v>93</v>
      </c>
      <c r="AD13">
        <v>0.5</v>
      </c>
      <c r="AE13" t="s">
        <v>95</v>
      </c>
      <c r="AF13" t="s">
        <v>93</v>
      </c>
      <c r="AH13" t="s">
        <v>93</v>
      </c>
      <c r="AI13" t="s">
        <v>93</v>
      </c>
      <c r="AJ13" t="s">
        <v>93</v>
      </c>
      <c r="AK13" t="s">
        <v>93</v>
      </c>
      <c r="AS13">
        <v>0.625</v>
      </c>
      <c r="CA13">
        <v>0.375</v>
      </c>
      <c r="CG13">
        <v>-37</v>
      </c>
      <c r="CH13" t="s">
        <v>95</v>
      </c>
      <c r="CI13" t="s">
        <v>93</v>
      </c>
      <c r="CR13">
        <f t="shared" si="3"/>
        <v>0</v>
      </c>
      <c r="CS13">
        <f t="shared" si="4"/>
        <v>0</v>
      </c>
      <c r="CT13">
        <f t="shared" si="5"/>
        <v>0</v>
      </c>
      <c r="CU13" s="7" t="e">
        <f t="shared" si="6"/>
        <v>#DIV/0!</v>
      </c>
    </row>
    <row r="14" spans="1:99" ht="15.75" thickBot="1" x14ac:dyDescent="0.3">
      <c r="A14" t="s">
        <v>91</v>
      </c>
      <c r="B14" t="s">
        <v>3025</v>
      </c>
      <c r="C14" t="s">
        <v>3020</v>
      </c>
      <c r="G14" t="s">
        <v>3026</v>
      </c>
      <c r="H14">
        <v>321.27999999999997</v>
      </c>
      <c r="I14">
        <v>1272</v>
      </c>
      <c r="M14">
        <f t="shared" si="0"/>
        <v>0</v>
      </c>
      <c r="O14" t="s">
        <v>93</v>
      </c>
      <c r="P14" t="s">
        <v>93</v>
      </c>
      <c r="T14">
        <f t="shared" si="1"/>
        <v>0</v>
      </c>
      <c r="V14" t="s">
        <v>93</v>
      </c>
      <c r="W14" t="s">
        <v>172</v>
      </c>
      <c r="X14">
        <v>1063</v>
      </c>
      <c r="Y14" t="s">
        <v>179</v>
      </c>
      <c r="AB14">
        <f t="shared" si="2"/>
        <v>0</v>
      </c>
      <c r="AC14" t="s">
        <v>93</v>
      </c>
      <c r="AD14">
        <v>0.5</v>
      </c>
      <c r="AE14" t="s">
        <v>95</v>
      </c>
      <c r="AF14" t="s">
        <v>93</v>
      </c>
      <c r="AH14" t="s">
        <v>93</v>
      </c>
      <c r="AI14" t="s">
        <v>93</v>
      </c>
      <c r="AJ14" t="s">
        <v>93</v>
      </c>
      <c r="AK14" t="s">
        <v>93</v>
      </c>
      <c r="AS14">
        <v>0.6</v>
      </c>
      <c r="CA14">
        <v>0.4</v>
      </c>
      <c r="CG14">
        <v>-34</v>
      </c>
      <c r="CH14" t="s">
        <v>95</v>
      </c>
      <c r="CI14" t="s">
        <v>93</v>
      </c>
      <c r="CR14">
        <f t="shared" si="3"/>
        <v>0</v>
      </c>
      <c r="CS14">
        <f t="shared" si="4"/>
        <v>0</v>
      </c>
      <c r="CT14">
        <f t="shared" si="5"/>
        <v>0</v>
      </c>
      <c r="CU14" s="7" t="e">
        <f t="shared" si="6"/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9242B-140B-4B43-9AAD-8B34F0FAD662}">
  <sheetPr codeName="Sheet3"/>
  <dimension ref="A1:CX141"/>
  <sheetViews>
    <sheetView topLeftCell="G1" zoomScale="115" zoomScaleNormal="115" workbookViewId="0">
      <selection sqref="A1:XFD1"/>
    </sheetView>
  </sheetViews>
  <sheetFormatPr defaultRowHeight="15" x14ac:dyDescent="0.25"/>
  <cols>
    <col min="5" max="5" width="49.5703125" customWidth="1"/>
    <col min="7" max="7" width="48.42578125" customWidth="1"/>
    <col min="8" max="8" width="14.7109375" customWidth="1"/>
    <col min="9" max="9" width="11" customWidth="1"/>
    <col min="10" max="10" width="12.85546875" customWidth="1"/>
    <col min="11" max="11" width="14.42578125" customWidth="1"/>
    <col min="12" max="12" width="11" customWidth="1"/>
    <col min="13" max="13" width="24.5703125" customWidth="1"/>
    <col min="14" max="25" width="48.42578125" customWidth="1"/>
  </cols>
  <sheetData>
    <row r="1" spans="1:101" ht="15.75" thickBot="1" x14ac:dyDescent="0.3">
      <c r="A1" t="s">
        <v>0</v>
      </c>
      <c r="B1" t="s">
        <v>1</v>
      </c>
      <c r="C1" t="s">
        <v>3136</v>
      </c>
      <c r="D1" t="s">
        <v>3137</v>
      </c>
      <c r="E1" t="s">
        <v>4</v>
      </c>
      <c r="F1" t="s">
        <v>5</v>
      </c>
      <c r="G1" t="s">
        <v>6</v>
      </c>
      <c r="H1" t="s">
        <v>3122</v>
      </c>
      <c r="I1" t="s">
        <v>7</v>
      </c>
      <c r="J1" t="s">
        <v>8</v>
      </c>
      <c r="K1" t="s">
        <v>9</v>
      </c>
      <c r="L1" t="s">
        <v>10</v>
      </c>
      <c r="M1" t="s">
        <v>3123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3124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3125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61</v>
      </c>
      <c r="BO1" t="s">
        <v>62</v>
      </c>
      <c r="BP1" t="s">
        <v>63</v>
      </c>
      <c r="BQ1" t="s">
        <v>64</v>
      </c>
      <c r="BR1" t="s">
        <v>65</v>
      </c>
      <c r="BS1" t="s">
        <v>66</v>
      </c>
      <c r="BT1" t="s">
        <v>67</v>
      </c>
      <c r="BU1" t="s">
        <v>68</v>
      </c>
      <c r="BV1" t="s">
        <v>69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3131</v>
      </c>
      <c r="CS1" t="s">
        <v>3132</v>
      </c>
      <c r="CT1" t="s">
        <v>3133</v>
      </c>
      <c r="CU1" t="s">
        <v>3134</v>
      </c>
      <c r="CW1" t="s">
        <v>3135</v>
      </c>
    </row>
    <row r="2" spans="1:101" ht="15.75" thickBot="1" x14ac:dyDescent="0.3">
      <c r="A2" t="s">
        <v>91</v>
      </c>
      <c r="B2" t="s">
        <v>143</v>
      </c>
      <c r="C2" t="s">
        <v>144</v>
      </c>
      <c r="F2" t="s">
        <v>93</v>
      </c>
      <c r="G2" t="s">
        <v>145</v>
      </c>
      <c r="H2" s="7" t="s">
        <v>3046</v>
      </c>
      <c r="I2">
        <v>0.67</v>
      </c>
      <c r="J2" t="s">
        <v>3061</v>
      </c>
      <c r="K2">
        <v>0.17</v>
      </c>
      <c r="L2" t="s">
        <v>3070</v>
      </c>
      <c r="M2">
        <v>0.16</v>
      </c>
      <c r="Z2">
        <v>16</v>
      </c>
      <c r="AE2" t="s">
        <v>93</v>
      </c>
      <c r="AF2" t="s">
        <v>93</v>
      </c>
      <c r="AK2" t="s">
        <v>93</v>
      </c>
      <c r="AL2" t="s">
        <v>146</v>
      </c>
      <c r="AM2">
        <v>298</v>
      </c>
      <c r="AN2" t="s">
        <v>147</v>
      </c>
      <c r="AO2">
        <v>-54</v>
      </c>
      <c r="AP2" t="s">
        <v>95</v>
      </c>
      <c r="AQ2" t="s">
        <v>93</v>
      </c>
      <c r="AR2">
        <v>0.8</v>
      </c>
      <c r="AS2" t="s">
        <v>95</v>
      </c>
      <c r="AT2" t="s">
        <v>93</v>
      </c>
      <c r="AU2">
        <v>0.16</v>
      </c>
      <c r="AV2" t="s">
        <v>93</v>
      </c>
      <c r="AW2" t="s">
        <v>93</v>
      </c>
      <c r="AX2" t="s">
        <v>93</v>
      </c>
      <c r="AY2" t="s">
        <v>93</v>
      </c>
      <c r="BF2">
        <v>0.67</v>
      </c>
      <c r="BG2">
        <v>0.17</v>
      </c>
    </row>
    <row r="3" spans="1:101" ht="15.75" thickBot="1" x14ac:dyDescent="0.3">
      <c r="A3" t="s">
        <v>91</v>
      </c>
      <c r="B3" t="s">
        <v>152</v>
      </c>
      <c r="C3" t="s">
        <v>144</v>
      </c>
      <c r="F3" t="s">
        <v>93</v>
      </c>
      <c r="G3" t="s">
        <v>153</v>
      </c>
      <c r="H3" s="7" t="s">
        <v>3046</v>
      </c>
      <c r="I3">
        <v>0.18</v>
      </c>
      <c r="J3" t="s">
        <v>3061</v>
      </c>
      <c r="K3">
        <v>0.55000000000000004</v>
      </c>
      <c r="L3" t="s">
        <v>3070</v>
      </c>
      <c r="M3">
        <v>0.27</v>
      </c>
      <c r="Z3">
        <v>18</v>
      </c>
      <c r="AE3" t="s">
        <v>93</v>
      </c>
      <c r="AF3" t="s">
        <v>93</v>
      </c>
      <c r="AK3" t="s">
        <v>93</v>
      </c>
      <c r="AL3" t="s">
        <v>154</v>
      </c>
      <c r="AM3">
        <v>298</v>
      </c>
      <c r="AN3" t="s">
        <v>155</v>
      </c>
      <c r="AO3">
        <v>-48.5</v>
      </c>
      <c r="AP3" t="s">
        <v>95</v>
      </c>
      <c r="AQ3" t="s">
        <v>93</v>
      </c>
      <c r="AR3">
        <v>1.5</v>
      </c>
      <c r="AS3" t="s">
        <v>95</v>
      </c>
      <c r="AT3" t="s">
        <v>93</v>
      </c>
      <c r="AU3">
        <v>0.27</v>
      </c>
      <c r="AV3" t="s">
        <v>93</v>
      </c>
      <c r="AW3" t="s">
        <v>93</v>
      </c>
      <c r="AX3" t="s">
        <v>93</v>
      </c>
      <c r="AY3" t="s">
        <v>93</v>
      </c>
      <c r="BF3">
        <v>0.18</v>
      </c>
      <c r="BG3">
        <v>0.55000000000000004</v>
      </c>
    </row>
    <row r="4" spans="1:101" ht="15.75" thickBot="1" x14ac:dyDescent="0.3">
      <c r="A4" t="s">
        <v>91</v>
      </c>
      <c r="B4" t="s">
        <v>156</v>
      </c>
      <c r="C4" t="s">
        <v>144</v>
      </c>
      <c r="F4" t="s">
        <v>93</v>
      </c>
      <c r="G4" t="s">
        <v>157</v>
      </c>
      <c r="H4" s="7" t="s">
        <v>3046</v>
      </c>
      <c r="I4">
        <v>0.8</v>
      </c>
      <c r="J4" t="s">
        <v>3061</v>
      </c>
      <c r="K4">
        <v>0.15</v>
      </c>
      <c r="L4" t="s">
        <v>3070</v>
      </c>
      <c r="M4">
        <v>0.05</v>
      </c>
      <c r="Z4">
        <v>19</v>
      </c>
      <c r="AE4" t="s">
        <v>93</v>
      </c>
      <c r="AF4" t="s">
        <v>93</v>
      </c>
      <c r="AK4" t="s">
        <v>93</v>
      </c>
      <c r="AL4" t="s">
        <v>93</v>
      </c>
      <c r="AM4">
        <v>298</v>
      </c>
      <c r="AN4" t="s">
        <v>147</v>
      </c>
      <c r="AO4">
        <v>-35.700000000000003</v>
      </c>
      <c r="AP4" t="s">
        <v>95</v>
      </c>
      <c r="AQ4" t="s">
        <v>93</v>
      </c>
      <c r="AR4">
        <v>1.4</v>
      </c>
      <c r="AS4" t="s">
        <v>95</v>
      </c>
      <c r="AT4" t="s">
        <v>93</v>
      </c>
      <c r="AU4">
        <v>0.05</v>
      </c>
      <c r="AV4" t="s">
        <v>93</v>
      </c>
      <c r="AW4" t="s">
        <v>93</v>
      </c>
      <c r="AX4" t="s">
        <v>93</v>
      </c>
      <c r="AY4" t="s">
        <v>93</v>
      </c>
      <c r="BF4">
        <v>0.8</v>
      </c>
      <c r="BG4">
        <v>0.15</v>
      </c>
    </row>
    <row r="5" spans="1:101" ht="15.75" thickBot="1" x14ac:dyDescent="0.3">
      <c r="A5" t="s">
        <v>91</v>
      </c>
      <c r="B5" t="s">
        <v>93</v>
      </c>
      <c r="C5" t="s">
        <v>144</v>
      </c>
      <c r="F5" t="s">
        <v>93</v>
      </c>
      <c r="G5" t="s">
        <v>158</v>
      </c>
      <c r="H5" s="7" t="s">
        <v>3046</v>
      </c>
      <c r="I5">
        <v>0.6</v>
      </c>
      <c r="J5" t="s">
        <v>3061</v>
      </c>
      <c r="K5">
        <v>7.0000000000000007E-2</v>
      </c>
      <c r="L5" t="s">
        <v>3070</v>
      </c>
      <c r="M5">
        <v>0.33</v>
      </c>
      <c r="Z5">
        <v>20</v>
      </c>
      <c r="AE5" t="s">
        <v>93</v>
      </c>
      <c r="AF5" t="s">
        <v>93</v>
      </c>
      <c r="AK5" t="s">
        <v>93</v>
      </c>
      <c r="AL5" t="s">
        <v>159</v>
      </c>
      <c r="AM5">
        <v>298</v>
      </c>
      <c r="AN5" t="s">
        <v>160</v>
      </c>
      <c r="AO5">
        <v>-56.7</v>
      </c>
      <c r="AP5" t="s">
        <v>95</v>
      </c>
      <c r="AQ5" t="s">
        <v>93</v>
      </c>
      <c r="AR5">
        <v>1.5</v>
      </c>
      <c r="AS5" t="s">
        <v>95</v>
      </c>
      <c r="AT5" t="s">
        <v>93</v>
      </c>
      <c r="AU5">
        <v>0.33</v>
      </c>
      <c r="AV5" t="s">
        <v>93</v>
      </c>
      <c r="AW5" t="s">
        <v>93</v>
      </c>
      <c r="AX5" t="s">
        <v>93</v>
      </c>
      <c r="AY5" t="s">
        <v>93</v>
      </c>
      <c r="BF5">
        <v>0.6</v>
      </c>
      <c r="BG5">
        <v>7.0000000000000007E-2</v>
      </c>
    </row>
    <row r="6" spans="1:101" ht="15.75" thickBot="1" x14ac:dyDescent="0.3">
      <c r="A6" t="s">
        <v>91</v>
      </c>
      <c r="B6" t="s">
        <v>93</v>
      </c>
      <c r="C6" t="s">
        <v>144</v>
      </c>
      <c r="F6" t="s">
        <v>93</v>
      </c>
      <c r="G6" t="s">
        <v>171</v>
      </c>
      <c r="H6" s="7" t="s">
        <v>3046</v>
      </c>
      <c r="I6">
        <v>0.25</v>
      </c>
      <c r="J6" t="s">
        <v>3061</v>
      </c>
      <c r="K6">
        <v>0.57999999999999996</v>
      </c>
      <c r="L6" t="s">
        <v>3070</v>
      </c>
      <c r="M6">
        <v>0.17</v>
      </c>
      <c r="Z6">
        <v>23</v>
      </c>
      <c r="AE6" t="s">
        <v>93</v>
      </c>
      <c r="AF6" t="s">
        <v>93</v>
      </c>
      <c r="AK6" t="s">
        <v>93</v>
      </c>
      <c r="AL6" t="s">
        <v>172</v>
      </c>
      <c r="AM6">
        <v>298</v>
      </c>
      <c r="AN6" t="s">
        <v>170</v>
      </c>
      <c r="AO6">
        <v>-48.3</v>
      </c>
      <c r="AP6" t="s">
        <v>95</v>
      </c>
      <c r="AQ6" t="s">
        <v>93</v>
      </c>
      <c r="AR6">
        <v>2.5</v>
      </c>
      <c r="AS6" t="s">
        <v>95</v>
      </c>
      <c r="AT6" t="s">
        <v>93</v>
      </c>
      <c r="AU6">
        <v>0.17</v>
      </c>
      <c r="AV6" t="s">
        <v>93</v>
      </c>
      <c r="AW6" t="s">
        <v>93</v>
      </c>
      <c r="AX6" t="s">
        <v>93</v>
      </c>
      <c r="AY6" t="s">
        <v>93</v>
      </c>
      <c r="BF6">
        <v>0.25</v>
      </c>
      <c r="BG6">
        <v>0.57999999999999996</v>
      </c>
    </row>
    <row r="7" spans="1:101" ht="15.75" thickBot="1" x14ac:dyDescent="0.3">
      <c r="A7" t="s">
        <v>91</v>
      </c>
      <c r="B7" t="s">
        <v>173</v>
      </c>
      <c r="C7" t="s">
        <v>144</v>
      </c>
      <c r="F7" t="s">
        <v>93</v>
      </c>
      <c r="G7" t="s">
        <v>174</v>
      </c>
      <c r="H7" s="7" t="s">
        <v>3046</v>
      </c>
      <c r="I7">
        <v>0.15</v>
      </c>
      <c r="J7" t="s">
        <v>3061</v>
      </c>
      <c r="K7">
        <v>0.68</v>
      </c>
      <c r="L7" t="s">
        <v>3070</v>
      </c>
      <c r="M7">
        <v>0.17</v>
      </c>
      <c r="Z7">
        <v>24</v>
      </c>
      <c r="AE7" t="s">
        <v>93</v>
      </c>
      <c r="AF7" t="s">
        <v>93</v>
      </c>
      <c r="AK7" t="s">
        <v>93</v>
      </c>
      <c r="AL7" t="s">
        <v>172</v>
      </c>
      <c r="AM7">
        <v>298</v>
      </c>
      <c r="AN7" t="s">
        <v>170</v>
      </c>
      <c r="AO7">
        <v>-47.3</v>
      </c>
      <c r="AP7" t="s">
        <v>95</v>
      </c>
      <c r="AQ7" t="s">
        <v>93</v>
      </c>
      <c r="AR7">
        <v>1.1000000000000001</v>
      </c>
      <c r="AS7" t="s">
        <v>95</v>
      </c>
      <c r="AT7" t="s">
        <v>93</v>
      </c>
      <c r="AU7">
        <v>0.17</v>
      </c>
      <c r="AV7" t="s">
        <v>93</v>
      </c>
      <c r="AW7" t="s">
        <v>93</v>
      </c>
      <c r="AX7" t="s">
        <v>93</v>
      </c>
      <c r="AY7" t="s">
        <v>93</v>
      </c>
      <c r="BF7">
        <v>0.15</v>
      </c>
      <c r="BG7">
        <v>0.68</v>
      </c>
    </row>
    <row r="8" spans="1:101" ht="15.75" thickBot="1" x14ac:dyDescent="0.3">
      <c r="A8" t="s">
        <v>91</v>
      </c>
      <c r="B8" t="s">
        <v>93</v>
      </c>
      <c r="C8" t="s">
        <v>144</v>
      </c>
      <c r="F8" t="s">
        <v>93</v>
      </c>
      <c r="G8" t="s">
        <v>175</v>
      </c>
      <c r="H8" s="7" t="s">
        <v>3046</v>
      </c>
      <c r="I8">
        <v>0.05</v>
      </c>
      <c r="J8" t="s">
        <v>3061</v>
      </c>
      <c r="K8">
        <v>0.78</v>
      </c>
      <c r="L8" t="s">
        <v>3070</v>
      </c>
      <c r="M8">
        <v>0.17</v>
      </c>
      <c r="Z8">
        <v>25</v>
      </c>
      <c r="AE8" t="s">
        <v>93</v>
      </c>
      <c r="AF8" t="s">
        <v>93</v>
      </c>
      <c r="AK8" t="s">
        <v>93</v>
      </c>
      <c r="AL8" t="s">
        <v>172</v>
      </c>
      <c r="AM8">
        <v>298</v>
      </c>
      <c r="AN8" t="s">
        <v>170</v>
      </c>
      <c r="AO8">
        <v>-36.14</v>
      </c>
      <c r="AP8" t="s">
        <v>95</v>
      </c>
      <c r="AQ8" t="s">
        <v>93</v>
      </c>
      <c r="AR8">
        <v>1.8</v>
      </c>
      <c r="AS8" t="s">
        <v>95</v>
      </c>
      <c r="AT8" t="s">
        <v>93</v>
      </c>
      <c r="AU8">
        <v>0.17</v>
      </c>
      <c r="AV8" t="s">
        <v>93</v>
      </c>
      <c r="AW8" t="s">
        <v>93</v>
      </c>
      <c r="AX8" t="s">
        <v>93</v>
      </c>
      <c r="AY8" t="s">
        <v>93</v>
      </c>
      <c r="BF8">
        <v>0.05</v>
      </c>
      <c r="BG8">
        <v>0.78</v>
      </c>
    </row>
    <row r="9" spans="1:101" ht="15.75" thickBot="1" x14ac:dyDescent="0.3">
      <c r="A9" t="s">
        <v>91</v>
      </c>
      <c r="B9" t="s">
        <v>176</v>
      </c>
      <c r="C9" t="s">
        <v>144</v>
      </c>
      <c r="F9" t="s">
        <v>93</v>
      </c>
      <c r="G9" t="s">
        <v>177</v>
      </c>
      <c r="H9" s="7" t="s">
        <v>3046</v>
      </c>
      <c r="I9">
        <v>0.8</v>
      </c>
      <c r="J9" t="s">
        <v>3061</v>
      </c>
      <c r="K9">
        <v>0.67</v>
      </c>
      <c r="L9" t="s">
        <v>3070</v>
      </c>
      <c r="M9">
        <v>0.25</v>
      </c>
      <c r="Z9">
        <v>26</v>
      </c>
      <c r="AE9" t="s">
        <v>93</v>
      </c>
      <c r="AF9" t="s">
        <v>93</v>
      </c>
      <c r="AK9" t="s">
        <v>93</v>
      </c>
      <c r="AL9" t="s">
        <v>178</v>
      </c>
      <c r="AM9">
        <v>298</v>
      </c>
      <c r="AN9" t="s">
        <v>179</v>
      </c>
      <c r="AO9">
        <v>-37.9</v>
      </c>
      <c r="AP9" t="s">
        <v>95</v>
      </c>
      <c r="AQ9" t="s">
        <v>93</v>
      </c>
      <c r="AR9">
        <v>2.5</v>
      </c>
      <c r="AS9" t="s">
        <v>95</v>
      </c>
      <c r="AT9" t="s">
        <v>93</v>
      </c>
      <c r="AU9">
        <v>0.25</v>
      </c>
      <c r="AV9" t="s">
        <v>93</v>
      </c>
      <c r="AW9" t="s">
        <v>93</v>
      </c>
      <c r="AX9" t="s">
        <v>93</v>
      </c>
      <c r="AY9" t="s">
        <v>93</v>
      </c>
      <c r="BF9">
        <v>0.08</v>
      </c>
      <c r="BG9">
        <v>0.67</v>
      </c>
    </row>
    <row r="10" spans="1:101" ht="15.75" thickBot="1" x14ac:dyDescent="0.3">
      <c r="A10" t="s">
        <v>91</v>
      </c>
      <c r="B10" t="s">
        <v>186</v>
      </c>
      <c r="C10" t="s">
        <v>187</v>
      </c>
      <c r="F10" t="s">
        <v>93</v>
      </c>
      <c r="G10" t="s">
        <v>188</v>
      </c>
      <c r="H10" s="7" t="s">
        <v>3046</v>
      </c>
      <c r="I10">
        <v>0.82</v>
      </c>
      <c r="J10" t="s">
        <v>3059</v>
      </c>
      <c r="K10">
        <v>0.14000000000000001</v>
      </c>
      <c r="L10" t="s">
        <v>3061</v>
      </c>
      <c r="M10">
        <v>0.09</v>
      </c>
      <c r="Z10">
        <v>28</v>
      </c>
      <c r="AE10" t="s">
        <v>93</v>
      </c>
      <c r="AF10" t="s">
        <v>93</v>
      </c>
      <c r="AK10" t="s">
        <v>93</v>
      </c>
      <c r="AL10" t="s">
        <v>189</v>
      </c>
      <c r="AM10">
        <v>298</v>
      </c>
      <c r="AN10" t="s">
        <v>190</v>
      </c>
      <c r="AO10">
        <v>-25.8</v>
      </c>
      <c r="AP10" t="s">
        <v>95</v>
      </c>
      <c r="AQ10" t="s">
        <v>93</v>
      </c>
      <c r="AR10">
        <v>1.4</v>
      </c>
      <c r="AS10" t="s">
        <v>95</v>
      </c>
      <c r="AT10" t="s">
        <v>93</v>
      </c>
      <c r="AV10" t="s">
        <v>93</v>
      </c>
      <c r="AW10" t="s">
        <v>93</v>
      </c>
      <c r="AX10" t="s">
        <v>93</v>
      </c>
      <c r="AY10" t="s">
        <v>93</v>
      </c>
      <c r="BF10">
        <v>0.82</v>
      </c>
      <c r="BG10">
        <v>0.09</v>
      </c>
      <c r="BH10">
        <v>0.09</v>
      </c>
    </row>
    <row r="11" spans="1:101" ht="15.75" thickBot="1" x14ac:dyDescent="0.3">
      <c r="A11" t="s">
        <v>91</v>
      </c>
      <c r="B11" t="s">
        <v>191</v>
      </c>
      <c r="C11" t="s">
        <v>187</v>
      </c>
      <c r="F11" t="s">
        <v>93</v>
      </c>
      <c r="G11" t="s">
        <v>192</v>
      </c>
      <c r="H11" s="7" t="s">
        <v>3046</v>
      </c>
      <c r="I11">
        <v>0.72</v>
      </c>
      <c r="J11" t="s">
        <v>3059</v>
      </c>
      <c r="K11">
        <v>0.14000000000000001</v>
      </c>
      <c r="L11" t="s">
        <v>3061</v>
      </c>
      <c r="M11">
        <v>0.14000000000000001</v>
      </c>
      <c r="Z11">
        <v>29</v>
      </c>
      <c r="AE11" t="s">
        <v>93</v>
      </c>
      <c r="AF11" t="s">
        <v>93</v>
      </c>
      <c r="AK11" t="s">
        <v>93</v>
      </c>
      <c r="AL11" t="s">
        <v>93</v>
      </c>
      <c r="AM11">
        <v>298</v>
      </c>
      <c r="AN11" t="s">
        <v>93</v>
      </c>
      <c r="AO11">
        <v>-36.700000000000003</v>
      </c>
      <c r="AP11" t="s">
        <v>95</v>
      </c>
      <c r="AQ11" t="s">
        <v>93</v>
      </c>
      <c r="AR11">
        <v>1.6</v>
      </c>
      <c r="AS11" t="s">
        <v>95</v>
      </c>
      <c r="AT11" t="s">
        <v>93</v>
      </c>
      <c r="AV11" t="s">
        <v>93</v>
      </c>
      <c r="AW11" t="s">
        <v>93</v>
      </c>
      <c r="AX11" t="s">
        <v>93</v>
      </c>
      <c r="AY11" t="s">
        <v>93</v>
      </c>
      <c r="BF11">
        <v>0.72</v>
      </c>
      <c r="BG11">
        <v>0.14000000000000001</v>
      </c>
      <c r="BH11">
        <v>0.14000000000000001</v>
      </c>
    </row>
    <row r="12" spans="1:101" ht="15.75" thickBot="1" x14ac:dyDescent="0.3">
      <c r="A12" t="s">
        <v>91</v>
      </c>
      <c r="B12" t="s">
        <v>93</v>
      </c>
      <c r="C12" t="s">
        <v>187</v>
      </c>
      <c r="F12" t="s">
        <v>93</v>
      </c>
      <c r="G12" t="s">
        <v>193</v>
      </c>
      <c r="H12" s="7" t="s">
        <v>3046</v>
      </c>
      <c r="I12">
        <v>0.18</v>
      </c>
      <c r="J12" t="s">
        <v>3059</v>
      </c>
      <c r="K12">
        <v>7.0000000000000007E-2</v>
      </c>
      <c r="L12" t="s">
        <v>3061</v>
      </c>
      <c r="M12">
        <v>0.75</v>
      </c>
      <c r="Z12">
        <v>30</v>
      </c>
      <c r="AE12" t="s">
        <v>93</v>
      </c>
      <c r="AF12" t="s">
        <v>93</v>
      </c>
      <c r="AK12" t="s">
        <v>93</v>
      </c>
      <c r="AL12" t="s">
        <v>194</v>
      </c>
      <c r="AM12">
        <v>298</v>
      </c>
      <c r="AN12" t="s">
        <v>103</v>
      </c>
      <c r="AO12">
        <v>-28.3</v>
      </c>
      <c r="AP12" t="s">
        <v>95</v>
      </c>
      <c r="AQ12" t="s">
        <v>93</v>
      </c>
      <c r="AR12">
        <v>1.2</v>
      </c>
      <c r="AS12" t="s">
        <v>95</v>
      </c>
      <c r="AT12" t="s">
        <v>93</v>
      </c>
      <c r="AV12" t="s">
        <v>93</v>
      </c>
      <c r="AW12" t="s">
        <v>93</v>
      </c>
      <c r="AX12" t="s">
        <v>93</v>
      </c>
      <c r="AY12" t="s">
        <v>93</v>
      </c>
      <c r="BF12">
        <v>0.18</v>
      </c>
      <c r="BG12">
        <v>0.75</v>
      </c>
      <c r="BH12">
        <v>7.0000000000000007E-2</v>
      </c>
    </row>
    <row r="13" spans="1:101" ht="15.75" thickBot="1" x14ac:dyDescent="0.3">
      <c r="A13" t="s">
        <v>91</v>
      </c>
      <c r="B13" t="s">
        <v>93</v>
      </c>
      <c r="C13" t="s">
        <v>187</v>
      </c>
      <c r="F13" t="s">
        <v>93</v>
      </c>
      <c r="G13" t="s">
        <v>200</v>
      </c>
      <c r="H13" s="7" t="s">
        <v>3046</v>
      </c>
      <c r="I13">
        <v>0.33</v>
      </c>
      <c r="J13" t="s">
        <v>3059</v>
      </c>
      <c r="K13">
        <v>0.56999999999999995</v>
      </c>
      <c r="L13" t="s">
        <v>3061</v>
      </c>
      <c r="M13">
        <v>0.1</v>
      </c>
      <c r="Z13">
        <v>34</v>
      </c>
      <c r="AE13" t="s">
        <v>93</v>
      </c>
      <c r="AF13" t="s">
        <v>93</v>
      </c>
      <c r="AK13" t="s">
        <v>93</v>
      </c>
      <c r="AL13" t="s">
        <v>102</v>
      </c>
      <c r="AM13">
        <v>298</v>
      </c>
      <c r="AN13" t="s">
        <v>103</v>
      </c>
      <c r="AO13">
        <v>-24.7</v>
      </c>
      <c r="AP13" t="s">
        <v>95</v>
      </c>
      <c r="AQ13" t="s">
        <v>93</v>
      </c>
      <c r="AR13">
        <v>1.1000000000000001</v>
      </c>
      <c r="AS13" t="s">
        <v>95</v>
      </c>
      <c r="AT13" t="s">
        <v>93</v>
      </c>
      <c r="AV13" t="s">
        <v>93</v>
      </c>
      <c r="AW13" t="s">
        <v>93</v>
      </c>
      <c r="AX13" t="s">
        <v>93</v>
      </c>
      <c r="AY13" t="s">
        <v>93</v>
      </c>
      <c r="BF13">
        <v>0.33</v>
      </c>
      <c r="BG13">
        <v>0.1</v>
      </c>
      <c r="BH13">
        <v>0.56999999999999995</v>
      </c>
    </row>
    <row r="14" spans="1:101" ht="15.75" thickBot="1" x14ac:dyDescent="0.3">
      <c r="A14" t="s">
        <v>91</v>
      </c>
      <c r="B14" t="s">
        <v>93</v>
      </c>
      <c r="C14" t="s">
        <v>187</v>
      </c>
      <c r="F14" t="s">
        <v>93</v>
      </c>
      <c r="G14" t="s">
        <v>206</v>
      </c>
      <c r="H14" s="7" t="s">
        <v>3046</v>
      </c>
      <c r="I14">
        <v>0.33</v>
      </c>
      <c r="J14" t="s">
        <v>3059</v>
      </c>
      <c r="K14">
        <v>0.1</v>
      </c>
      <c r="L14" t="s">
        <v>3061</v>
      </c>
      <c r="M14">
        <v>0.56999999999999995</v>
      </c>
      <c r="Z14">
        <v>39</v>
      </c>
      <c r="AE14" t="s">
        <v>93</v>
      </c>
      <c r="AF14" t="s">
        <v>93</v>
      </c>
      <c r="AK14" t="s">
        <v>93</v>
      </c>
      <c r="AL14" t="s">
        <v>102</v>
      </c>
      <c r="AM14">
        <v>298</v>
      </c>
      <c r="AN14" t="s">
        <v>103</v>
      </c>
      <c r="AO14">
        <v>-43.8</v>
      </c>
      <c r="AP14" t="s">
        <v>95</v>
      </c>
      <c r="AQ14" t="s">
        <v>93</v>
      </c>
      <c r="AR14">
        <v>1.3</v>
      </c>
      <c r="AS14" t="s">
        <v>95</v>
      </c>
      <c r="AT14" t="s">
        <v>93</v>
      </c>
      <c r="AV14" t="s">
        <v>93</v>
      </c>
      <c r="AW14" t="s">
        <v>93</v>
      </c>
      <c r="AX14" t="s">
        <v>93</v>
      </c>
      <c r="AY14" t="s">
        <v>93</v>
      </c>
      <c r="BF14">
        <v>0.33</v>
      </c>
      <c r="BG14">
        <v>0.56999999999999995</v>
      </c>
      <c r="BH14">
        <v>0.1</v>
      </c>
    </row>
    <row r="15" spans="1:101" ht="15.75" thickBot="1" x14ac:dyDescent="0.3">
      <c r="A15" t="s">
        <v>91</v>
      </c>
      <c r="B15" t="s">
        <v>93</v>
      </c>
      <c r="C15" t="s">
        <v>181</v>
      </c>
      <c r="F15" t="s">
        <v>93</v>
      </c>
      <c r="G15" t="s">
        <v>229</v>
      </c>
      <c r="H15" s="7" t="s">
        <v>3046</v>
      </c>
      <c r="I15">
        <v>0.27</v>
      </c>
      <c r="J15" t="s">
        <v>3072</v>
      </c>
      <c r="K15">
        <v>0.33</v>
      </c>
      <c r="L15" t="s">
        <v>3061</v>
      </c>
      <c r="M15">
        <v>0.4</v>
      </c>
      <c r="Z15">
        <v>53</v>
      </c>
      <c r="AE15" t="s">
        <v>93</v>
      </c>
      <c r="AF15" t="s">
        <v>93</v>
      </c>
      <c r="AK15" t="s">
        <v>93</v>
      </c>
      <c r="AL15" t="s">
        <v>225</v>
      </c>
      <c r="AM15">
        <v>298</v>
      </c>
      <c r="AN15" t="s">
        <v>179</v>
      </c>
      <c r="AO15">
        <v>-39.1</v>
      </c>
      <c r="AP15" t="s">
        <v>95</v>
      </c>
      <c r="AQ15" t="s">
        <v>93</v>
      </c>
      <c r="AR15">
        <v>1.6</v>
      </c>
      <c r="AS15" t="s">
        <v>95</v>
      </c>
      <c r="AT15" t="s">
        <v>93</v>
      </c>
      <c r="AV15" t="s">
        <v>93</v>
      </c>
      <c r="AW15" t="s">
        <v>93</v>
      </c>
      <c r="AX15" t="s">
        <v>93</v>
      </c>
      <c r="AY15" t="s">
        <v>93</v>
      </c>
      <c r="BF15">
        <v>0.27</v>
      </c>
      <c r="BG15">
        <v>0.4</v>
      </c>
      <c r="BI15">
        <v>0.33</v>
      </c>
    </row>
    <row r="16" spans="1:101" ht="15.75" thickBot="1" x14ac:dyDescent="0.3">
      <c r="A16" t="s">
        <v>91</v>
      </c>
      <c r="B16" t="s">
        <v>93</v>
      </c>
      <c r="C16" t="s">
        <v>181</v>
      </c>
      <c r="F16" t="s">
        <v>93</v>
      </c>
      <c r="G16" t="s">
        <v>230</v>
      </c>
      <c r="H16" s="7" t="s">
        <v>3046</v>
      </c>
      <c r="I16">
        <v>0.4</v>
      </c>
      <c r="J16" t="s">
        <v>3072</v>
      </c>
      <c r="K16">
        <v>0.33</v>
      </c>
      <c r="L16" t="s">
        <v>3061</v>
      </c>
      <c r="M16">
        <v>0.2</v>
      </c>
      <c r="Z16">
        <v>54</v>
      </c>
      <c r="AE16" t="s">
        <v>93</v>
      </c>
      <c r="AF16" t="s">
        <v>93</v>
      </c>
      <c r="AK16" t="s">
        <v>93</v>
      </c>
      <c r="AL16" t="s">
        <v>225</v>
      </c>
      <c r="AM16">
        <v>298</v>
      </c>
      <c r="AN16" t="s">
        <v>179</v>
      </c>
      <c r="AO16">
        <v>-46.2</v>
      </c>
      <c r="AP16" t="s">
        <v>95</v>
      </c>
      <c r="AQ16" t="s">
        <v>93</v>
      </c>
      <c r="AR16">
        <v>1.3</v>
      </c>
      <c r="AS16" t="s">
        <v>95</v>
      </c>
      <c r="AT16" t="s">
        <v>93</v>
      </c>
      <c r="AV16" t="s">
        <v>93</v>
      </c>
      <c r="AW16" t="s">
        <v>93</v>
      </c>
      <c r="AX16" t="s">
        <v>93</v>
      </c>
      <c r="AY16" t="s">
        <v>93</v>
      </c>
      <c r="BF16">
        <v>0.4</v>
      </c>
      <c r="BG16">
        <v>0.2</v>
      </c>
      <c r="BI16">
        <v>0.33</v>
      </c>
    </row>
    <row r="17" spans="1:64" ht="15.75" thickBot="1" x14ac:dyDescent="0.3">
      <c r="A17" t="s">
        <v>91</v>
      </c>
      <c r="B17" t="s">
        <v>93</v>
      </c>
      <c r="C17" t="s">
        <v>181</v>
      </c>
      <c r="F17" t="s">
        <v>93</v>
      </c>
      <c r="G17" t="s">
        <v>231</v>
      </c>
      <c r="H17" s="7" t="s">
        <v>3046</v>
      </c>
      <c r="I17">
        <v>0.2</v>
      </c>
      <c r="J17" t="s">
        <v>3072</v>
      </c>
      <c r="K17">
        <v>0.04</v>
      </c>
      <c r="L17" t="s">
        <v>3061</v>
      </c>
      <c r="M17">
        <v>0.76</v>
      </c>
      <c r="Z17">
        <v>55</v>
      </c>
      <c r="AE17" t="s">
        <v>93</v>
      </c>
      <c r="AF17" t="s">
        <v>93</v>
      </c>
      <c r="AK17" t="s">
        <v>93</v>
      </c>
      <c r="AL17" t="s">
        <v>194</v>
      </c>
      <c r="AM17">
        <v>298</v>
      </c>
      <c r="AN17" t="s">
        <v>103</v>
      </c>
      <c r="AO17">
        <v>-28.4</v>
      </c>
      <c r="AP17" t="s">
        <v>95</v>
      </c>
      <c r="AQ17" t="s">
        <v>93</v>
      </c>
      <c r="AR17">
        <v>0.8</v>
      </c>
      <c r="AS17" t="s">
        <v>95</v>
      </c>
      <c r="AT17" t="s">
        <v>93</v>
      </c>
      <c r="AV17" t="s">
        <v>93</v>
      </c>
      <c r="AW17" t="s">
        <v>93</v>
      </c>
      <c r="AX17" t="s">
        <v>93</v>
      </c>
      <c r="AY17" t="s">
        <v>93</v>
      </c>
      <c r="BF17">
        <v>0.2</v>
      </c>
      <c r="BG17">
        <v>0.76</v>
      </c>
      <c r="BI17">
        <v>0.04</v>
      </c>
    </row>
    <row r="18" spans="1:64" ht="15.75" thickBot="1" x14ac:dyDescent="0.3">
      <c r="A18" t="s">
        <v>91</v>
      </c>
      <c r="B18" t="s">
        <v>93</v>
      </c>
      <c r="C18" t="s">
        <v>232</v>
      </c>
      <c r="F18" t="s">
        <v>93</v>
      </c>
      <c r="G18" t="s">
        <v>233</v>
      </c>
      <c r="H18" s="7" t="s">
        <v>3046</v>
      </c>
      <c r="I18">
        <v>0.45</v>
      </c>
      <c r="J18" t="s">
        <v>3061</v>
      </c>
      <c r="K18">
        <v>0.45</v>
      </c>
      <c r="L18" t="s">
        <v>3073</v>
      </c>
      <c r="M18">
        <v>0.1</v>
      </c>
      <c r="Z18">
        <v>56</v>
      </c>
      <c r="AE18" t="s">
        <v>93</v>
      </c>
      <c r="AF18" t="s">
        <v>93</v>
      </c>
      <c r="AK18" t="s">
        <v>93</v>
      </c>
      <c r="AL18" t="s">
        <v>102</v>
      </c>
      <c r="AM18">
        <v>298</v>
      </c>
      <c r="AN18" t="s">
        <v>103</v>
      </c>
      <c r="AO18">
        <v>-55.5</v>
      </c>
      <c r="AP18" t="s">
        <v>95</v>
      </c>
      <c r="AQ18" t="s">
        <v>93</v>
      </c>
      <c r="AR18">
        <v>1.2</v>
      </c>
      <c r="AS18" t="s">
        <v>95</v>
      </c>
      <c r="AT18" t="s">
        <v>93</v>
      </c>
      <c r="AV18" t="s">
        <v>93</v>
      </c>
      <c r="AW18" t="s">
        <v>93</v>
      </c>
      <c r="AX18" t="s">
        <v>93</v>
      </c>
      <c r="AY18" t="s">
        <v>93</v>
      </c>
      <c r="BF18">
        <v>0.45</v>
      </c>
      <c r="BG18">
        <v>0.45</v>
      </c>
      <c r="BJ18">
        <v>0.1</v>
      </c>
    </row>
    <row r="19" spans="1:64" ht="15.75" thickBot="1" x14ac:dyDescent="0.3">
      <c r="A19" t="s">
        <v>91</v>
      </c>
      <c r="B19" t="s">
        <v>93</v>
      </c>
      <c r="C19" t="s">
        <v>232</v>
      </c>
      <c r="F19" t="s">
        <v>93</v>
      </c>
      <c r="G19" t="s">
        <v>239</v>
      </c>
      <c r="H19" s="7" t="s">
        <v>3046</v>
      </c>
      <c r="I19">
        <v>0.45</v>
      </c>
      <c r="J19" t="s">
        <v>3061</v>
      </c>
      <c r="K19">
        <v>0.1</v>
      </c>
      <c r="L19" t="s">
        <v>3073</v>
      </c>
      <c r="M19">
        <v>0.45</v>
      </c>
      <c r="Z19">
        <v>62</v>
      </c>
      <c r="AE19" t="s">
        <v>93</v>
      </c>
      <c r="AF19" t="s">
        <v>93</v>
      </c>
      <c r="AK19" t="s">
        <v>93</v>
      </c>
      <c r="AL19" t="s">
        <v>102</v>
      </c>
      <c r="AM19">
        <v>298</v>
      </c>
      <c r="AN19" t="s">
        <v>103</v>
      </c>
      <c r="AO19">
        <v>-56.12</v>
      </c>
      <c r="AP19" t="s">
        <v>95</v>
      </c>
      <c r="AQ19" t="s">
        <v>93</v>
      </c>
      <c r="AR19">
        <v>0.8</v>
      </c>
      <c r="AS19" t="s">
        <v>95</v>
      </c>
      <c r="AT19" t="s">
        <v>93</v>
      </c>
      <c r="AV19" t="s">
        <v>93</v>
      </c>
      <c r="AW19" t="s">
        <v>93</v>
      </c>
      <c r="AX19" t="s">
        <v>93</v>
      </c>
      <c r="AY19" t="s">
        <v>93</v>
      </c>
      <c r="BF19">
        <v>0.45</v>
      </c>
      <c r="BG19">
        <v>0.1</v>
      </c>
      <c r="BJ19">
        <v>0.45</v>
      </c>
    </row>
    <row r="20" spans="1:64" ht="15.75" thickBot="1" x14ac:dyDescent="0.3">
      <c r="A20" t="s">
        <v>91</v>
      </c>
      <c r="B20" t="s">
        <v>93</v>
      </c>
      <c r="C20" t="s">
        <v>232</v>
      </c>
      <c r="F20" t="s">
        <v>93</v>
      </c>
      <c r="G20" t="s">
        <v>240</v>
      </c>
      <c r="H20" s="7" t="s">
        <v>3046</v>
      </c>
      <c r="I20">
        <v>0.45</v>
      </c>
      <c r="J20" t="s">
        <v>3061</v>
      </c>
      <c r="K20">
        <v>0.35</v>
      </c>
      <c r="L20" t="s">
        <v>3073</v>
      </c>
      <c r="M20">
        <v>0.2</v>
      </c>
      <c r="Z20">
        <v>63</v>
      </c>
      <c r="AE20" t="s">
        <v>93</v>
      </c>
      <c r="AF20" t="s">
        <v>93</v>
      </c>
      <c r="AK20" t="s">
        <v>93</v>
      </c>
      <c r="AL20" t="s">
        <v>102</v>
      </c>
      <c r="AM20">
        <v>298</v>
      </c>
      <c r="AN20" t="s">
        <v>103</v>
      </c>
      <c r="AO20">
        <v>-57.6</v>
      </c>
      <c r="AP20" t="s">
        <v>95</v>
      </c>
      <c r="AQ20" t="s">
        <v>93</v>
      </c>
      <c r="AR20">
        <v>0.6</v>
      </c>
      <c r="AS20" t="s">
        <v>95</v>
      </c>
      <c r="AT20" t="s">
        <v>93</v>
      </c>
      <c r="AV20" t="s">
        <v>93</v>
      </c>
      <c r="AW20" t="s">
        <v>93</v>
      </c>
      <c r="AX20" t="s">
        <v>93</v>
      </c>
      <c r="AY20" t="s">
        <v>93</v>
      </c>
      <c r="BF20">
        <v>0.45</v>
      </c>
      <c r="BG20">
        <v>0.35</v>
      </c>
      <c r="BJ20">
        <v>0.2</v>
      </c>
    </row>
    <row r="21" spans="1:64" ht="15.75" thickBot="1" x14ac:dyDescent="0.3">
      <c r="A21" t="s">
        <v>91</v>
      </c>
      <c r="B21" t="s">
        <v>93</v>
      </c>
      <c r="C21" t="s">
        <v>232</v>
      </c>
      <c r="F21" t="s">
        <v>93</v>
      </c>
      <c r="G21" t="s">
        <v>241</v>
      </c>
      <c r="H21" s="7" t="s">
        <v>3046</v>
      </c>
      <c r="I21">
        <v>0.45</v>
      </c>
      <c r="J21" t="s">
        <v>3061</v>
      </c>
      <c r="K21">
        <v>0.2</v>
      </c>
      <c r="L21" t="s">
        <v>3073</v>
      </c>
      <c r="M21">
        <v>0.35</v>
      </c>
      <c r="Z21">
        <v>64</v>
      </c>
      <c r="AE21" t="s">
        <v>93</v>
      </c>
      <c r="AF21" t="s">
        <v>93</v>
      </c>
      <c r="AK21" t="s">
        <v>93</v>
      </c>
      <c r="AL21" t="s">
        <v>102</v>
      </c>
      <c r="AM21">
        <v>298</v>
      </c>
      <c r="AN21" t="s">
        <v>103</v>
      </c>
      <c r="AO21">
        <v>-56.89</v>
      </c>
      <c r="AP21" t="s">
        <v>95</v>
      </c>
      <c r="AQ21" t="s">
        <v>93</v>
      </c>
      <c r="AR21">
        <v>1.9</v>
      </c>
      <c r="AS21" t="s">
        <v>95</v>
      </c>
      <c r="AT21" t="s">
        <v>93</v>
      </c>
      <c r="AV21" t="s">
        <v>93</v>
      </c>
      <c r="AW21" t="s">
        <v>93</v>
      </c>
      <c r="AX21" t="s">
        <v>93</v>
      </c>
      <c r="AY21" t="s">
        <v>93</v>
      </c>
      <c r="BF21">
        <v>0.45</v>
      </c>
      <c r="BG21">
        <v>0.2</v>
      </c>
      <c r="BJ21">
        <v>0.35</v>
      </c>
    </row>
    <row r="22" spans="1:64" ht="15.75" thickBot="1" x14ac:dyDescent="0.3">
      <c r="A22" t="s">
        <v>91</v>
      </c>
      <c r="B22" t="s">
        <v>93</v>
      </c>
      <c r="C22" t="s">
        <v>181</v>
      </c>
      <c r="F22" t="s">
        <v>93</v>
      </c>
      <c r="G22" t="s">
        <v>243</v>
      </c>
      <c r="H22" s="7" t="s">
        <v>3046</v>
      </c>
      <c r="I22">
        <v>0.5</v>
      </c>
      <c r="J22" t="s">
        <v>3060</v>
      </c>
      <c r="K22">
        <v>0.2</v>
      </c>
      <c r="L22" t="s">
        <v>3061</v>
      </c>
      <c r="M22">
        <v>0.3</v>
      </c>
      <c r="Z22">
        <v>66</v>
      </c>
      <c r="AE22" t="s">
        <v>93</v>
      </c>
      <c r="AF22" t="s">
        <v>93</v>
      </c>
      <c r="AK22" t="s">
        <v>93</v>
      </c>
      <c r="AL22" t="s">
        <v>102</v>
      </c>
      <c r="AM22">
        <v>298</v>
      </c>
      <c r="AN22" t="s">
        <v>103</v>
      </c>
      <c r="AO22">
        <v>-52.87</v>
      </c>
      <c r="AP22" t="s">
        <v>95</v>
      </c>
      <c r="AQ22" t="s">
        <v>93</v>
      </c>
      <c r="AR22">
        <v>0.96</v>
      </c>
      <c r="AS22" t="s">
        <v>95</v>
      </c>
      <c r="AT22" t="s">
        <v>93</v>
      </c>
      <c r="AV22" t="s">
        <v>93</v>
      </c>
      <c r="AW22" t="s">
        <v>93</v>
      </c>
      <c r="AX22" t="s">
        <v>93</v>
      </c>
      <c r="AY22" t="s">
        <v>93</v>
      </c>
      <c r="BF22">
        <v>0.5</v>
      </c>
      <c r="BG22">
        <v>0.3</v>
      </c>
      <c r="BK22">
        <v>0.2</v>
      </c>
    </row>
    <row r="23" spans="1:64" ht="15.75" thickBot="1" x14ac:dyDescent="0.3">
      <c r="A23" t="s">
        <v>91</v>
      </c>
      <c r="B23" t="s">
        <v>93</v>
      </c>
      <c r="C23" t="s">
        <v>181</v>
      </c>
      <c r="F23" t="s">
        <v>93</v>
      </c>
      <c r="G23" t="s">
        <v>244</v>
      </c>
      <c r="H23" s="7" t="s">
        <v>3046</v>
      </c>
      <c r="I23">
        <v>0.5</v>
      </c>
      <c r="J23" t="s">
        <v>3060</v>
      </c>
      <c r="K23">
        <v>0.3</v>
      </c>
      <c r="L23" t="s">
        <v>3061</v>
      </c>
      <c r="M23">
        <v>0.2</v>
      </c>
      <c r="Z23">
        <v>67</v>
      </c>
      <c r="AE23" t="s">
        <v>93</v>
      </c>
      <c r="AF23" t="s">
        <v>93</v>
      </c>
      <c r="AK23" t="s">
        <v>93</v>
      </c>
      <c r="AL23" t="s">
        <v>102</v>
      </c>
      <c r="AM23">
        <v>298</v>
      </c>
      <c r="AN23" t="s">
        <v>103</v>
      </c>
      <c r="AO23">
        <v>-51.6</v>
      </c>
      <c r="AP23" t="s">
        <v>95</v>
      </c>
      <c r="AQ23" t="s">
        <v>93</v>
      </c>
      <c r="AR23">
        <v>0.82</v>
      </c>
      <c r="AS23" t="s">
        <v>95</v>
      </c>
      <c r="AT23" t="s">
        <v>93</v>
      </c>
      <c r="AV23" t="s">
        <v>93</v>
      </c>
      <c r="AW23" t="s">
        <v>93</v>
      </c>
      <c r="AX23" t="s">
        <v>93</v>
      </c>
      <c r="AY23" t="s">
        <v>93</v>
      </c>
      <c r="BF23">
        <v>0.5</v>
      </c>
      <c r="BG23">
        <v>0.2</v>
      </c>
      <c r="BK23">
        <v>0.3</v>
      </c>
    </row>
    <row r="24" spans="1:64" ht="15.75" thickBot="1" x14ac:dyDescent="0.3">
      <c r="A24" t="s">
        <v>91</v>
      </c>
      <c r="B24" t="s">
        <v>93</v>
      </c>
      <c r="C24" t="s">
        <v>181</v>
      </c>
      <c r="F24" t="s">
        <v>93</v>
      </c>
      <c r="G24" t="s">
        <v>253</v>
      </c>
      <c r="H24" s="7" t="s">
        <v>3046</v>
      </c>
      <c r="I24">
        <v>0.5</v>
      </c>
      <c r="J24" t="s">
        <v>3060</v>
      </c>
      <c r="K24">
        <v>0.05</v>
      </c>
      <c r="L24" t="s">
        <v>3061</v>
      </c>
      <c r="M24">
        <v>0.45</v>
      </c>
      <c r="Z24">
        <v>73</v>
      </c>
      <c r="AE24" t="s">
        <v>93</v>
      </c>
      <c r="AF24" t="s">
        <v>93</v>
      </c>
      <c r="AK24" t="s">
        <v>93</v>
      </c>
      <c r="AL24" t="s">
        <v>102</v>
      </c>
      <c r="AM24">
        <v>298</v>
      </c>
      <c r="AN24" t="s">
        <v>103</v>
      </c>
      <c r="AO24">
        <v>-58.38</v>
      </c>
      <c r="AP24" t="s">
        <v>95</v>
      </c>
      <c r="AQ24" t="s">
        <v>93</v>
      </c>
      <c r="AR24">
        <v>1.1100000000000001</v>
      </c>
      <c r="AS24" t="s">
        <v>95</v>
      </c>
      <c r="AT24" t="s">
        <v>93</v>
      </c>
      <c r="AV24" t="s">
        <v>93</v>
      </c>
      <c r="AW24" t="s">
        <v>93</v>
      </c>
      <c r="AX24" t="s">
        <v>93</v>
      </c>
      <c r="AY24" t="s">
        <v>93</v>
      </c>
      <c r="BF24">
        <v>0.5</v>
      </c>
      <c r="BG24">
        <v>0.45</v>
      </c>
      <c r="BK24">
        <v>0.05</v>
      </c>
    </row>
    <row r="25" spans="1:64" ht="15.75" thickBot="1" x14ac:dyDescent="0.3">
      <c r="A25" t="s">
        <v>91</v>
      </c>
      <c r="B25" t="s">
        <v>93</v>
      </c>
      <c r="C25" t="s">
        <v>181</v>
      </c>
      <c r="F25" t="s">
        <v>93</v>
      </c>
      <c r="G25" t="s">
        <v>258</v>
      </c>
      <c r="H25" s="7" t="s">
        <v>3046</v>
      </c>
      <c r="I25">
        <v>0.55000000000000004</v>
      </c>
      <c r="J25" t="s">
        <v>3060</v>
      </c>
      <c r="K25">
        <v>0.1</v>
      </c>
      <c r="L25" t="s">
        <v>3061</v>
      </c>
      <c r="M25">
        <v>0.35</v>
      </c>
      <c r="Z25">
        <v>77</v>
      </c>
      <c r="AE25" t="s">
        <v>93</v>
      </c>
      <c r="AF25" t="s">
        <v>93</v>
      </c>
      <c r="AK25" t="s">
        <v>93</v>
      </c>
      <c r="AL25" t="s">
        <v>102</v>
      </c>
      <c r="AM25">
        <v>298</v>
      </c>
      <c r="AN25" t="s">
        <v>103</v>
      </c>
      <c r="AO25">
        <v>-58.79</v>
      </c>
      <c r="AP25" t="s">
        <v>95</v>
      </c>
      <c r="AQ25" t="s">
        <v>93</v>
      </c>
      <c r="AR25">
        <v>1</v>
      </c>
      <c r="AS25" t="s">
        <v>95</v>
      </c>
      <c r="AT25" t="s">
        <v>93</v>
      </c>
      <c r="AV25" t="s">
        <v>93</v>
      </c>
      <c r="AW25" t="s">
        <v>93</v>
      </c>
      <c r="AX25" t="s">
        <v>93</v>
      </c>
      <c r="AY25" t="s">
        <v>93</v>
      </c>
      <c r="BF25">
        <v>0.55000000000000004</v>
      </c>
      <c r="BG25">
        <v>0.35</v>
      </c>
      <c r="BK25">
        <v>0.1</v>
      </c>
    </row>
    <row r="26" spans="1:64" ht="15.75" thickBot="1" x14ac:dyDescent="0.3">
      <c r="A26" t="s">
        <v>91</v>
      </c>
      <c r="B26" t="s">
        <v>93</v>
      </c>
      <c r="C26" t="s">
        <v>181</v>
      </c>
      <c r="F26" t="s">
        <v>93</v>
      </c>
      <c r="G26" t="s">
        <v>259</v>
      </c>
      <c r="H26" s="7" t="s">
        <v>3046</v>
      </c>
      <c r="I26">
        <v>0.45</v>
      </c>
      <c r="J26" t="s">
        <v>3060</v>
      </c>
      <c r="K26">
        <v>0.18</v>
      </c>
      <c r="L26" t="s">
        <v>3061</v>
      </c>
      <c r="M26">
        <v>0.3</v>
      </c>
      <c r="Z26">
        <v>78</v>
      </c>
      <c r="AE26" t="s">
        <v>93</v>
      </c>
      <c r="AF26" t="s">
        <v>93</v>
      </c>
      <c r="AK26" t="s">
        <v>93</v>
      </c>
      <c r="AL26" t="s">
        <v>102</v>
      </c>
      <c r="AM26">
        <v>298</v>
      </c>
      <c r="AN26" t="s">
        <v>103</v>
      </c>
      <c r="AO26">
        <v>-53.44</v>
      </c>
      <c r="AP26" t="s">
        <v>95</v>
      </c>
      <c r="AQ26" t="s">
        <v>93</v>
      </c>
      <c r="AR26">
        <v>1.01</v>
      </c>
      <c r="AS26" t="s">
        <v>95</v>
      </c>
      <c r="AT26" t="s">
        <v>93</v>
      </c>
      <c r="AV26" t="s">
        <v>93</v>
      </c>
      <c r="AW26" t="s">
        <v>93</v>
      </c>
      <c r="AX26" t="s">
        <v>93</v>
      </c>
      <c r="AY26" t="s">
        <v>93</v>
      </c>
      <c r="BF26">
        <v>0.52</v>
      </c>
      <c r="BG26">
        <v>0.3</v>
      </c>
      <c r="BK26">
        <v>0.18</v>
      </c>
    </row>
    <row r="27" spans="1:64" ht="15.75" thickBot="1" x14ac:dyDescent="0.3">
      <c r="A27" t="s">
        <v>91</v>
      </c>
      <c r="B27" t="s">
        <v>93</v>
      </c>
      <c r="C27" t="s">
        <v>181</v>
      </c>
      <c r="F27" t="s">
        <v>93</v>
      </c>
      <c r="G27" t="s">
        <v>260</v>
      </c>
      <c r="H27" s="7" t="s">
        <v>3046</v>
      </c>
      <c r="I27">
        <v>0.4</v>
      </c>
      <c r="J27" t="s">
        <v>3127</v>
      </c>
      <c r="K27">
        <v>0.05</v>
      </c>
      <c r="L27" t="s">
        <v>3061</v>
      </c>
      <c r="M27">
        <v>0.55000000000000004</v>
      </c>
      <c r="Z27">
        <v>79</v>
      </c>
      <c r="AE27" t="s">
        <v>93</v>
      </c>
      <c r="AF27" t="s">
        <v>93</v>
      </c>
      <c r="AK27" t="s">
        <v>93</v>
      </c>
      <c r="AL27" t="s">
        <v>102</v>
      </c>
      <c r="AM27">
        <v>298</v>
      </c>
      <c r="AN27" t="s">
        <v>103</v>
      </c>
      <c r="AO27">
        <v>-46.89</v>
      </c>
      <c r="AP27" t="s">
        <v>95</v>
      </c>
      <c r="AQ27" t="s">
        <v>93</v>
      </c>
      <c r="AR27">
        <v>1.03</v>
      </c>
      <c r="AS27" t="s">
        <v>95</v>
      </c>
      <c r="AT27" t="s">
        <v>93</v>
      </c>
      <c r="AV27" t="s">
        <v>93</v>
      </c>
      <c r="AW27" t="s">
        <v>93</v>
      </c>
      <c r="AX27" t="s">
        <v>93</v>
      </c>
      <c r="AY27" t="s">
        <v>93</v>
      </c>
      <c r="BF27">
        <v>0.4</v>
      </c>
      <c r="BG27">
        <v>0.55000000000000004</v>
      </c>
      <c r="BK27">
        <v>0.05</v>
      </c>
    </row>
    <row r="28" spans="1:64" ht="15.75" thickBot="1" x14ac:dyDescent="0.3">
      <c r="A28" t="s">
        <v>91</v>
      </c>
      <c r="B28" t="s">
        <v>93</v>
      </c>
      <c r="C28" t="s">
        <v>181</v>
      </c>
      <c r="F28" t="s">
        <v>93</v>
      </c>
      <c r="G28" t="s">
        <v>261</v>
      </c>
      <c r="H28" s="7" t="s">
        <v>3046</v>
      </c>
      <c r="I28">
        <v>0.33</v>
      </c>
      <c r="J28" t="s">
        <v>3060</v>
      </c>
      <c r="K28">
        <v>0.2</v>
      </c>
      <c r="L28" t="s">
        <v>3061</v>
      </c>
      <c r="M28">
        <v>0.47</v>
      </c>
      <c r="Z28">
        <v>80</v>
      </c>
      <c r="AE28" t="s">
        <v>93</v>
      </c>
      <c r="AF28" t="s">
        <v>93</v>
      </c>
      <c r="AK28" t="s">
        <v>93</v>
      </c>
      <c r="AL28" t="s">
        <v>102</v>
      </c>
      <c r="AM28">
        <v>298</v>
      </c>
      <c r="AN28" t="s">
        <v>103</v>
      </c>
      <c r="AO28">
        <v>-36.26</v>
      </c>
      <c r="AP28" t="s">
        <v>95</v>
      </c>
      <c r="AQ28" t="s">
        <v>93</v>
      </c>
      <c r="AR28">
        <v>0.99</v>
      </c>
      <c r="AS28" t="s">
        <v>95</v>
      </c>
      <c r="AT28" t="s">
        <v>93</v>
      </c>
      <c r="AV28" t="s">
        <v>93</v>
      </c>
      <c r="AW28" t="s">
        <v>93</v>
      </c>
      <c r="AX28" t="s">
        <v>93</v>
      </c>
      <c r="AY28" t="s">
        <v>93</v>
      </c>
      <c r="BF28">
        <v>0.33</v>
      </c>
      <c r="BG28">
        <v>0.47</v>
      </c>
      <c r="BK28">
        <v>0.2</v>
      </c>
    </row>
    <row r="29" spans="1:64" ht="15.75" thickBot="1" x14ac:dyDescent="0.3">
      <c r="A29" t="s">
        <v>91</v>
      </c>
      <c r="B29" t="s">
        <v>93</v>
      </c>
      <c r="C29" t="s">
        <v>181</v>
      </c>
      <c r="F29" t="s">
        <v>93</v>
      </c>
      <c r="G29" t="s">
        <v>262</v>
      </c>
      <c r="H29" s="7" t="s">
        <v>3046</v>
      </c>
      <c r="I29">
        <v>0.25</v>
      </c>
      <c r="J29" t="s">
        <v>3060</v>
      </c>
      <c r="K29">
        <v>0.05</v>
      </c>
      <c r="L29" t="s">
        <v>3061</v>
      </c>
      <c r="M29">
        <v>0.7</v>
      </c>
      <c r="Z29">
        <v>81</v>
      </c>
      <c r="AE29" t="s">
        <v>93</v>
      </c>
      <c r="AF29" t="s">
        <v>93</v>
      </c>
      <c r="AK29" t="s">
        <v>93</v>
      </c>
      <c r="AL29" t="s">
        <v>263</v>
      </c>
      <c r="AM29">
        <v>298</v>
      </c>
      <c r="AN29" t="s">
        <v>103</v>
      </c>
      <c r="AO29">
        <v>-31.24</v>
      </c>
      <c r="AP29" t="s">
        <v>95</v>
      </c>
      <c r="AQ29" t="s">
        <v>93</v>
      </c>
      <c r="AR29">
        <v>1</v>
      </c>
      <c r="AS29" t="s">
        <v>95</v>
      </c>
      <c r="AT29" t="s">
        <v>93</v>
      </c>
      <c r="AV29" t="s">
        <v>93</v>
      </c>
      <c r="AW29" t="s">
        <v>93</v>
      </c>
      <c r="AX29" t="s">
        <v>93</v>
      </c>
      <c r="AY29" t="s">
        <v>93</v>
      </c>
      <c r="BF29">
        <v>0.25</v>
      </c>
      <c r="BG29">
        <v>0.7</v>
      </c>
      <c r="BK29">
        <v>0.05</v>
      </c>
    </row>
    <row r="30" spans="1:64" ht="15.75" thickBot="1" x14ac:dyDescent="0.3">
      <c r="A30" t="s">
        <v>91</v>
      </c>
      <c r="B30" t="s">
        <v>93</v>
      </c>
      <c r="C30" t="s">
        <v>181</v>
      </c>
      <c r="F30" t="s">
        <v>93</v>
      </c>
      <c r="G30" t="s">
        <v>264</v>
      </c>
      <c r="H30" s="7" t="s">
        <v>3046</v>
      </c>
      <c r="I30">
        <v>0.71</v>
      </c>
      <c r="J30" t="s">
        <v>3060</v>
      </c>
      <c r="K30">
        <v>0.25</v>
      </c>
      <c r="L30" t="s">
        <v>3061</v>
      </c>
      <c r="M30">
        <v>0.45</v>
      </c>
      <c r="Z30">
        <v>82</v>
      </c>
      <c r="AE30" t="s">
        <v>93</v>
      </c>
      <c r="AF30" t="s">
        <v>93</v>
      </c>
      <c r="AK30" t="s">
        <v>93</v>
      </c>
      <c r="AL30" t="s">
        <v>265</v>
      </c>
      <c r="AM30">
        <v>298</v>
      </c>
      <c r="AN30" t="s">
        <v>179</v>
      </c>
      <c r="AO30">
        <v>-40.6</v>
      </c>
      <c r="AP30" t="s">
        <v>95</v>
      </c>
      <c r="AQ30" t="s">
        <v>93</v>
      </c>
      <c r="AR30">
        <v>0.95</v>
      </c>
      <c r="AS30" t="s">
        <v>95</v>
      </c>
      <c r="AT30" t="s">
        <v>93</v>
      </c>
      <c r="AV30" t="s">
        <v>93</v>
      </c>
      <c r="AW30" t="s">
        <v>93</v>
      </c>
      <c r="AX30" t="s">
        <v>93</v>
      </c>
      <c r="AY30" t="s">
        <v>93</v>
      </c>
      <c r="BF30">
        <v>0.71</v>
      </c>
      <c r="BG30">
        <v>0.04</v>
      </c>
      <c r="BK30">
        <v>0.25</v>
      </c>
    </row>
    <row r="31" spans="1:64" ht="15.75" thickBot="1" x14ac:dyDescent="0.3">
      <c r="A31" t="s">
        <v>91</v>
      </c>
      <c r="B31" t="s">
        <v>93</v>
      </c>
      <c r="C31" t="s">
        <v>270</v>
      </c>
      <c r="F31" t="s">
        <v>93</v>
      </c>
      <c r="G31" t="s">
        <v>271</v>
      </c>
      <c r="H31" s="7" t="s">
        <v>3046</v>
      </c>
      <c r="I31">
        <v>0.5</v>
      </c>
      <c r="J31" t="s">
        <v>3062</v>
      </c>
      <c r="K31">
        <v>0.05</v>
      </c>
      <c r="L31" t="s">
        <v>3061</v>
      </c>
      <c r="M31">
        <v>0.45</v>
      </c>
      <c r="Z31">
        <v>85</v>
      </c>
      <c r="AE31" t="s">
        <v>93</v>
      </c>
      <c r="AF31" t="s">
        <v>93</v>
      </c>
      <c r="AK31" t="s">
        <v>93</v>
      </c>
      <c r="AL31" t="s">
        <v>102</v>
      </c>
      <c r="AM31">
        <v>298</v>
      </c>
      <c r="AN31" t="s">
        <v>103</v>
      </c>
      <c r="AO31">
        <v>-56.11</v>
      </c>
      <c r="AP31" t="s">
        <v>95</v>
      </c>
      <c r="AQ31" t="s">
        <v>93</v>
      </c>
      <c r="AR31">
        <v>1.38</v>
      </c>
      <c r="AS31" t="s">
        <v>95</v>
      </c>
      <c r="AT31" t="s">
        <v>93</v>
      </c>
      <c r="AV31" t="s">
        <v>93</v>
      </c>
      <c r="AW31" t="s">
        <v>93</v>
      </c>
      <c r="AX31" t="s">
        <v>93</v>
      </c>
      <c r="AY31" t="s">
        <v>93</v>
      </c>
      <c r="BF31">
        <v>0.5</v>
      </c>
      <c r="BG31">
        <v>0.45</v>
      </c>
      <c r="BL31">
        <v>0.05</v>
      </c>
    </row>
    <row r="32" spans="1:64" ht="15.75" thickBot="1" x14ac:dyDescent="0.3">
      <c r="A32" t="s">
        <v>91</v>
      </c>
      <c r="B32" t="s">
        <v>93</v>
      </c>
      <c r="C32" t="s">
        <v>270</v>
      </c>
      <c r="F32" t="s">
        <v>93</v>
      </c>
      <c r="G32" t="s">
        <v>273</v>
      </c>
      <c r="H32" s="7" t="s">
        <v>3046</v>
      </c>
      <c r="I32">
        <v>0.5</v>
      </c>
      <c r="J32" t="s">
        <v>3062</v>
      </c>
      <c r="K32">
        <v>0.15</v>
      </c>
      <c r="L32" t="s">
        <v>3128</v>
      </c>
      <c r="M32">
        <v>0.35</v>
      </c>
      <c r="Z32">
        <v>87</v>
      </c>
      <c r="AE32" t="s">
        <v>93</v>
      </c>
      <c r="AF32" t="s">
        <v>93</v>
      </c>
      <c r="AK32" t="s">
        <v>93</v>
      </c>
      <c r="AL32" t="s">
        <v>102</v>
      </c>
      <c r="AM32">
        <v>298</v>
      </c>
      <c r="AN32" t="s">
        <v>103</v>
      </c>
      <c r="AO32">
        <v>-41.1</v>
      </c>
      <c r="AP32" t="s">
        <v>95</v>
      </c>
      <c r="AQ32" t="s">
        <v>93</v>
      </c>
      <c r="AR32">
        <v>1.24</v>
      </c>
      <c r="AS32" t="s">
        <v>95</v>
      </c>
      <c r="AT32" t="s">
        <v>93</v>
      </c>
      <c r="AV32" t="s">
        <v>93</v>
      </c>
      <c r="AW32" t="s">
        <v>93</v>
      </c>
      <c r="AX32" t="s">
        <v>93</v>
      </c>
      <c r="AY32" t="s">
        <v>93</v>
      </c>
      <c r="BF32">
        <v>0.5</v>
      </c>
      <c r="BG32">
        <v>0.35</v>
      </c>
      <c r="BL32">
        <v>0.15</v>
      </c>
    </row>
    <row r="33" spans="1:67" ht="15.75" thickBot="1" x14ac:dyDescent="0.3">
      <c r="A33" t="s">
        <v>91</v>
      </c>
      <c r="B33" t="s">
        <v>93</v>
      </c>
      <c r="C33" t="s">
        <v>270</v>
      </c>
      <c r="F33" t="s">
        <v>93</v>
      </c>
      <c r="G33" t="s">
        <v>282</v>
      </c>
      <c r="H33" s="7" t="s">
        <v>3046</v>
      </c>
      <c r="I33">
        <v>0.4</v>
      </c>
      <c r="J33" t="s">
        <v>3062</v>
      </c>
      <c r="K33">
        <v>0.25</v>
      </c>
      <c r="L33" t="s">
        <v>3061</v>
      </c>
      <c r="M33">
        <v>0.35</v>
      </c>
      <c r="Z33">
        <v>94</v>
      </c>
      <c r="AE33" t="s">
        <v>93</v>
      </c>
      <c r="AF33" t="s">
        <v>93</v>
      </c>
      <c r="AK33" t="s">
        <v>93</v>
      </c>
      <c r="AL33" t="s">
        <v>102</v>
      </c>
      <c r="AM33">
        <v>298</v>
      </c>
      <c r="AN33" t="s">
        <v>103</v>
      </c>
      <c r="AO33">
        <v>-39.159999999999997</v>
      </c>
      <c r="AP33" t="s">
        <v>95</v>
      </c>
      <c r="AQ33" t="s">
        <v>93</v>
      </c>
      <c r="AR33">
        <v>1.26</v>
      </c>
      <c r="AS33" t="s">
        <v>95</v>
      </c>
      <c r="AT33" t="s">
        <v>93</v>
      </c>
      <c r="AV33" t="s">
        <v>93</v>
      </c>
      <c r="AW33" t="s">
        <v>93</v>
      </c>
      <c r="AX33" t="s">
        <v>93</v>
      </c>
      <c r="AY33" t="s">
        <v>93</v>
      </c>
      <c r="BF33">
        <v>0.4</v>
      </c>
      <c r="BG33">
        <v>0.35</v>
      </c>
      <c r="BL33">
        <v>0.25</v>
      </c>
    </row>
    <row r="34" spans="1:67" ht="15.75" thickBot="1" x14ac:dyDescent="0.3">
      <c r="A34" t="s">
        <v>91</v>
      </c>
      <c r="B34" t="s">
        <v>93</v>
      </c>
      <c r="C34" t="s">
        <v>270</v>
      </c>
      <c r="F34" t="s">
        <v>93</v>
      </c>
      <c r="G34" t="s">
        <v>285</v>
      </c>
      <c r="H34" s="7" t="s">
        <v>3046</v>
      </c>
      <c r="I34">
        <v>0.4</v>
      </c>
      <c r="J34" t="s">
        <v>3062</v>
      </c>
      <c r="K34">
        <v>0.45</v>
      </c>
      <c r="L34" t="s">
        <v>3061</v>
      </c>
      <c r="M34">
        <v>0.15</v>
      </c>
      <c r="Z34">
        <v>97</v>
      </c>
      <c r="AE34" t="s">
        <v>93</v>
      </c>
      <c r="AF34" t="s">
        <v>121</v>
      </c>
      <c r="AK34" t="s">
        <v>93</v>
      </c>
      <c r="AL34" t="s">
        <v>102</v>
      </c>
      <c r="AM34">
        <v>298</v>
      </c>
      <c r="AN34" t="s">
        <v>103</v>
      </c>
      <c r="AO34">
        <v>-31.78</v>
      </c>
      <c r="AP34" t="s">
        <v>95</v>
      </c>
      <c r="AQ34" t="s">
        <v>93</v>
      </c>
      <c r="AR34">
        <v>2.12</v>
      </c>
      <c r="AS34" t="s">
        <v>95</v>
      </c>
      <c r="AT34" t="s">
        <v>93</v>
      </c>
      <c r="AV34" t="s">
        <v>93</v>
      </c>
      <c r="AW34" t="s">
        <v>93</v>
      </c>
      <c r="AX34" t="s">
        <v>93</v>
      </c>
      <c r="AY34" t="s">
        <v>93</v>
      </c>
      <c r="BF34">
        <v>0.4</v>
      </c>
      <c r="BG34">
        <v>0.15</v>
      </c>
      <c r="BL34">
        <v>0.45</v>
      </c>
    </row>
    <row r="35" spans="1:67" ht="15.75" thickBot="1" x14ac:dyDescent="0.3">
      <c r="A35" t="s">
        <v>91</v>
      </c>
      <c r="B35" t="s">
        <v>93</v>
      </c>
      <c r="C35" t="s">
        <v>270</v>
      </c>
      <c r="F35" t="s">
        <v>93</v>
      </c>
      <c r="G35" t="s">
        <v>286</v>
      </c>
      <c r="H35" s="7" t="s">
        <v>3046</v>
      </c>
      <c r="I35">
        <v>0.55000000000000004</v>
      </c>
      <c r="J35" t="s">
        <v>3062</v>
      </c>
      <c r="K35">
        <v>0.15</v>
      </c>
      <c r="L35" t="s">
        <v>3061</v>
      </c>
      <c r="M35">
        <v>0.3</v>
      </c>
      <c r="Z35">
        <v>98</v>
      </c>
      <c r="AE35" t="s">
        <v>93</v>
      </c>
      <c r="AF35" t="s">
        <v>93</v>
      </c>
      <c r="AK35" t="s">
        <v>93</v>
      </c>
      <c r="AL35" t="s">
        <v>102</v>
      </c>
      <c r="AM35">
        <v>298</v>
      </c>
      <c r="AN35" t="s">
        <v>103</v>
      </c>
      <c r="AO35">
        <v>-41.43</v>
      </c>
      <c r="AP35" t="s">
        <v>95</v>
      </c>
      <c r="AQ35" t="s">
        <v>93</v>
      </c>
      <c r="AR35">
        <v>1.56</v>
      </c>
      <c r="AS35" t="s">
        <v>95</v>
      </c>
      <c r="AT35" t="s">
        <v>93</v>
      </c>
      <c r="AV35" t="s">
        <v>93</v>
      </c>
      <c r="AW35" t="s">
        <v>93</v>
      </c>
      <c r="AX35" t="s">
        <v>93</v>
      </c>
      <c r="AY35" t="s">
        <v>93</v>
      </c>
      <c r="BF35">
        <v>0.55000000000000004</v>
      </c>
      <c r="BG35">
        <v>0.3</v>
      </c>
      <c r="BL35">
        <v>0.15</v>
      </c>
    </row>
    <row r="36" spans="1:67" ht="15.75" thickBot="1" x14ac:dyDescent="0.3">
      <c r="A36" t="s">
        <v>91</v>
      </c>
      <c r="B36" t="s">
        <v>93</v>
      </c>
      <c r="C36" t="s">
        <v>270</v>
      </c>
      <c r="F36" t="s">
        <v>93</v>
      </c>
      <c r="G36" t="s">
        <v>292</v>
      </c>
      <c r="H36" s="7" t="s">
        <v>3046</v>
      </c>
      <c r="I36">
        <v>0.45</v>
      </c>
      <c r="J36" t="s">
        <v>3061</v>
      </c>
      <c r="K36">
        <v>0.45</v>
      </c>
      <c r="L36" t="s">
        <v>3082</v>
      </c>
      <c r="M36">
        <v>0.1</v>
      </c>
      <c r="Z36">
        <v>103</v>
      </c>
      <c r="AE36" t="s">
        <v>93</v>
      </c>
      <c r="AF36" t="s">
        <v>93</v>
      </c>
      <c r="AK36" t="s">
        <v>93</v>
      </c>
      <c r="AL36" t="s">
        <v>102</v>
      </c>
      <c r="AM36">
        <v>298</v>
      </c>
      <c r="AN36" t="s">
        <v>103</v>
      </c>
      <c r="AO36">
        <v>-60.27</v>
      </c>
      <c r="AP36" t="s">
        <v>95</v>
      </c>
      <c r="AQ36" t="s">
        <v>93</v>
      </c>
      <c r="AR36">
        <v>2.38</v>
      </c>
      <c r="AS36" t="s">
        <v>95</v>
      </c>
      <c r="AT36" t="s">
        <v>93</v>
      </c>
      <c r="AV36" t="s">
        <v>93</v>
      </c>
      <c r="AW36" t="s">
        <v>93</v>
      </c>
      <c r="AX36" t="s">
        <v>93</v>
      </c>
      <c r="AY36" t="s">
        <v>93</v>
      </c>
      <c r="BF36">
        <v>0.45</v>
      </c>
      <c r="BG36">
        <v>0.45</v>
      </c>
      <c r="BM36">
        <v>0.1</v>
      </c>
    </row>
    <row r="37" spans="1:67" ht="15.75" thickBot="1" x14ac:dyDescent="0.3">
      <c r="A37" t="s">
        <v>91</v>
      </c>
      <c r="B37" t="s">
        <v>93</v>
      </c>
      <c r="C37" t="s">
        <v>270</v>
      </c>
      <c r="F37" t="s">
        <v>93</v>
      </c>
      <c r="G37" t="s">
        <v>293</v>
      </c>
      <c r="H37" s="7" t="s">
        <v>3046</v>
      </c>
      <c r="I37">
        <v>0.45</v>
      </c>
      <c r="J37" t="s">
        <v>3061</v>
      </c>
      <c r="K37">
        <v>0.4</v>
      </c>
      <c r="L37" t="s">
        <v>3082</v>
      </c>
      <c r="M37">
        <v>0.15</v>
      </c>
      <c r="Z37">
        <v>104</v>
      </c>
      <c r="AE37" t="s">
        <v>93</v>
      </c>
      <c r="AF37" t="s">
        <v>93</v>
      </c>
      <c r="AK37" t="s">
        <v>93</v>
      </c>
      <c r="AL37" t="s">
        <v>102</v>
      </c>
      <c r="AM37">
        <v>298</v>
      </c>
      <c r="AN37" t="s">
        <v>103</v>
      </c>
      <c r="AO37">
        <v>-61.64</v>
      </c>
      <c r="AP37" t="s">
        <v>95</v>
      </c>
      <c r="AQ37" t="s">
        <v>93</v>
      </c>
      <c r="AR37">
        <v>1.79</v>
      </c>
      <c r="AS37" t="s">
        <v>95</v>
      </c>
      <c r="AT37" t="s">
        <v>93</v>
      </c>
      <c r="AV37" t="s">
        <v>93</v>
      </c>
      <c r="AW37" t="s">
        <v>93</v>
      </c>
      <c r="AX37" t="s">
        <v>93</v>
      </c>
      <c r="AY37" t="s">
        <v>93</v>
      </c>
      <c r="BF37">
        <v>0.45</v>
      </c>
      <c r="BG37">
        <v>0.4</v>
      </c>
      <c r="BM37">
        <v>0.15</v>
      </c>
    </row>
    <row r="38" spans="1:67" ht="15.75" thickBot="1" x14ac:dyDescent="0.3">
      <c r="A38" t="s">
        <v>91</v>
      </c>
      <c r="B38" t="s">
        <v>93</v>
      </c>
      <c r="C38" t="s">
        <v>270</v>
      </c>
      <c r="F38" t="s">
        <v>93</v>
      </c>
      <c r="G38" t="s">
        <v>294</v>
      </c>
      <c r="H38" s="7" t="s">
        <v>3046</v>
      </c>
      <c r="I38">
        <v>0.5</v>
      </c>
      <c r="J38" t="s">
        <v>3061</v>
      </c>
      <c r="K38">
        <v>0.45</v>
      </c>
      <c r="L38" t="s">
        <v>3082</v>
      </c>
      <c r="M38">
        <v>0.05</v>
      </c>
      <c r="Z38">
        <v>105</v>
      </c>
      <c r="AE38" t="s">
        <v>93</v>
      </c>
      <c r="AF38" t="s">
        <v>93</v>
      </c>
      <c r="AK38" t="s">
        <v>93</v>
      </c>
      <c r="AL38" t="s">
        <v>102</v>
      </c>
      <c r="AM38">
        <v>298</v>
      </c>
      <c r="AN38" t="s">
        <v>103</v>
      </c>
      <c r="AO38">
        <v>-60.75</v>
      </c>
      <c r="AP38" t="s">
        <v>95</v>
      </c>
      <c r="AQ38" t="s">
        <v>93</v>
      </c>
      <c r="AR38">
        <v>2.59</v>
      </c>
      <c r="AS38" t="s">
        <v>95</v>
      </c>
      <c r="AT38" t="s">
        <v>93</v>
      </c>
      <c r="AV38" t="s">
        <v>93</v>
      </c>
      <c r="AW38" t="s">
        <v>93</v>
      </c>
      <c r="AX38" t="s">
        <v>93</v>
      </c>
      <c r="AY38" t="s">
        <v>93</v>
      </c>
      <c r="BF38">
        <v>0.5</v>
      </c>
      <c r="BG38">
        <v>0.45</v>
      </c>
      <c r="BM38">
        <v>0.05</v>
      </c>
    </row>
    <row r="39" spans="1:67" ht="15.75" thickBot="1" x14ac:dyDescent="0.3">
      <c r="A39" t="s">
        <v>91</v>
      </c>
      <c r="B39" t="s">
        <v>93</v>
      </c>
      <c r="C39" t="s">
        <v>270</v>
      </c>
      <c r="F39" t="s">
        <v>93</v>
      </c>
      <c r="G39" t="s">
        <v>295</v>
      </c>
      <c r="H39" s="7" t="s">
        <v>3046</v>
      </c>
      <c r="I39">
        <v>0.55000000000000004</v>
      </c>
      <c r="J39" t="s">
        <v>3061</v>
      </c>
      <c r="K39">
        <v>0.4</v>
      </c>
      <c r="L39" t="s">
        <v>3082</v>
      </c>
      <c r="M39">
        <v>0.05</v>
      </c>
      <c r="Z39">
        <v>106</v>
      </c>
      <c r="AE39" t="s">
        <v>93</v>
      </c>
      <c r="AF39" t="s">
        <v>93</v>
      </c>
      <c r="AK39" t="s">
        <v>93</v>
      </c>
      <c r="AL39" t="s">
        <v>102</v>
      </c>
      <c r="AM39">
        <v>298</v>
      </c>
      <c r="AN39" t="s">
        <v>103</v>
      </c>
      <c r="AO39">
        <v>-60.99</v>
      </c>
      <c r="AP39" t="s">
        <v>95</v>
      </c>
      <c r="AQ39" t="s">
        <v>93</v>
      </c>
      <c r="AR39">
        <v>1.33</v>
      </c>
      <c r="AS39" t="s">
        <v>95</v>
      </c>
      <c r="AT39" t="s">
        <v>93</v>
      </c>
      <c r="AV39" t="s">
        <v>93</v>
      </c>
      <c r="AW39" t="s">
        <v>93</v>
      </c>
      <c r="AX39" t="s">
        <v>93</v>
      </c>
      <c r="AY39" t="s">
        <v>93</v>
      </c>
      <c r="BF39">
        <v>0.55000000000000004</v>
      </c>
      <c r="BG39">
        <v>0.4</v>
      </c>
      <c r="BM39">
        <v>0.05</v>
      </c>
    </row>
    <row r="40" spans="1:67" ht="15.75" thickBot="1" x14ac:dyDescent="0.3">
      <c r="A40" t="s">
        <v>91</v>
      </c>
      <c r="B40" t="s">
        <v>93</v>
      </c>
      <c r="C40" t="s">
        <v>270</v>
      </c>
      <c r="F40" t="s">
        <v>93</v>
      </c>
      <c r="G40" t="s">
        <v>301</v>
      </c>
      <c r="H40" s="7" t="s">
        <v>3046</v>
      </c>
      <c r="I40">
        <v>0.27</v>
      </c>
      <c r="J40" t="s">
        <v>3061</v>
      </c>
      <c r="K40">
        <v>0.63</v>
      </c>
      <c r="L40" t="s">
        <v>3082</v>
      </c>
      <c r="M40">
        <v>0.1</v>
      </c>
      <c r="Z40">
        <v>110</v>
      </c>
      <c r="AE40" t="s">
        <v>93</v>
      </c>
      <c r="AF40" t="s">
        <v>93</v>
      </c>
      <c r="AK40" t="s">
        <v>93</v>
      </c>
      <c r="AL40" t="s">
        <v>102</v>
      </c>
      <c r="AM40">
        <v>298</v>
      </c>
      <c r="AN40" t="s">
        <v>103</v>
      </c>
      <c r="AO40">
        <v>-49.84</v>
      </c>
      <c r="AP40" t="s">
        <v>95</v>
      </c>
      <c r="AQ40" t="s">
        <v>93</v>
      </c>
      <c r="AR40">
        <v>1.79</v>
      </c>
      <c r="AS40" t="s">
        <v>95</v>
      </c>
      <c r="AT40" t="s">
        <v>93</v>
      </c>
      <c r="AV40" t="s">
        <v>93</v>
      </c>
      <c r="AW40" t="s">
        <v>93</v>
      </c>
      <c r="AX40" t="s">
        <v>93</v>
      </c>
      <c r="AY40" t="s">
        <v>93</v>
      </c>
      <c r="BF40">
        <v>0.27</v>
      </c>
      <c r="BG40">
        <v>0.63</v>
      </c>
      <c r="BM40">
        <v>0.1</v>
      </c>
    </row>
    <row r="41" spans="1:67" ht="15.75" thickBot="1" x14ac:dyDescent="0.3">
      <c r="A41" t="s">
        <v>91</v>
      </c>
      <c r="B41" t="s">
        <v>93</v>
      </c>
      <c r="C41" t="s">
        <v>270</v>
      </c>
      <c r="F41" t="s">
        <v>93</v>
      </c>
      <c r="G41" t="s">
        <v>302</v>
      </c>
      <c r="H41" s="7" t="s">
        <v>3046</v>
      </c>
      <c r="I41">
        <v>0.27</v>
      </c>
      <c r="J41" t="s">
        <v>3061</v>
      </c>
      <c r="K41">
        <v>0.68</v>
      </c>
      <c r="L41" t="s">
        <v>3082</v>
      </c>
      <c r="M41">
        <v>0.05</v>
      </c>
      <c r="Z41">
        <v>111</v>
      </c>
      <c r="AE41" t="s">
        <v>93</v>
      </c>
      <c r="AF41" t="s">
        <v>93</v>
      </c>
      <c r="AK41" t="s">
        <v>93</v>
      </c>
      <c r="AL41" t="s">
        <v>102</v>
      </c>
      <c r="AM41">
        <v>298</v>
      </c>
      <c r="AN41" t="s">
        <v>103</v>
      </c>
      <c r="AO41">
        <v>-41.85</v>
      </c>
      <c r="AP41" t="s">
        <v>95</v>
      </c>
      <c r="AQ41" t="s">
        <v>93</v>
      </c>
      <c r="AR41">
        <v>1.7</v>
      </c>
      <c r="AS41" t="s">
        <v>95</v>
      </c>
      <c r="AT41" t="s">
        <v>93</v>
      </c>
      <c r="AV41" t="s">
        <v>93</v>
      </c>
      <c r="AW41" t="s">
        <v>93</v>
      </c>
      <c r="AX41" t="s">
        <v>93</v>
      </c>
      <c r="AY41" t="s">
        <v>93</v>
      </c>
      <c r="BF41">
        <v>0.27</v>
      </c>
      <c r="BG41">
        <v>0.68</v>
      </c>
      <c r="BM41">
        <v>0.05</v>
      </c>
    </row>
    <row r="42" spans="1:67" ht="15.75" thickBot="1" x14ac:dyDescent="0.3">
      <c r="A42" t="s">
        <v>91</v>
      </c>
      <c r="B42" t="s">
        <v>93</v>
      </c>
      <c r="C42" t="s">
        <v>270</v>
      </c>
      <c r="F42" t="s">
        <v>93</v>
      </c>
      <c r="G42" t="s">
        <v>303</v>
      </c>
      <c r="H42" s="7" t="s">
        <v>3046</v>
      </c>
      <c r="I42">
        <v>0.5</v>
      </c>
      <c r="J42" t="s">
        <v>3061</v>
      </c>
      <c r="K42">
        <v>0.9</v>
      </c>
      <c r="L42" t="s">
        <v>3082</v>
      </c>
      <c r="M42">
        <v>0.05</v>
      </c>
      <c r="Z42">
        <v>112</v>
      </c>
      <c r="AE42" t="s">
        <v>93</v>
      </c>
      <c r="AF42" t="s">
        <v>93</v>
      </c>
      <c r="AK42" t="s">
        <v>93</v>
      </c>
      <c r="AL42" t="s">
        <v>288</v>
      </c>
      <c r="AM42">
        <v>298</v>
      </c>
      <c r="AN42" t="s">
        <v>185</v>
      </c>
      <c r="AO42">
        <v>-14.84</v>
      </c>
      <c r="AP42" t="s">
        <v>95</v>
      </c>
      <c r="AQ42" t="s">
        <v>93</v>
      </c>
      <c r="AR42">
        <v>1.75</v>
      </c>
      <c r="AS42" t="s">
        <v>95</v>
      </c>
      <c r="AT42" t="s">
        <v>93</v>
      </c>
      <c r="AV42" t="s">
        <v>93</v>
      </c>
      <c r="AW42" t="s">
        <v>93</v>
      </c>
      <c r="AX42" t="s">
        <v>93</v>
      </c>
      <c r="AY42" t="s">
        <v>93</v>
      </c>
      <c r="BF42">
        <v>0.05</v>
      </c>
      <c r="BG42">
        <v>0.9</v>
      </c>
      <c r="BM42">
        <v>0.05</v>
      </c>
    </row>
    <row r="43" spans="1:67" ht="15.75" thickBot="1" x14ac:dyDescent="0.3">
      <c r="A43" t="s">
        <v>91</v>
      </c>
      <c r="B43" t="s">
        <v>93</v>
      </c>
      <c r="C43" t="s">
        <v>270</v>
      </c>
      <c r="F43" t="s">
        <v>93</v>
      </c>
      <c r="G43" t="s">
        <v>304</v>
      </c>
      <c r="H43" s="7" t="s">
        <v>3046</v>
      </c>
      <c r="I43">
        <v>0.9</v>
      </c>
      <c r="J43" t="s">
        <v>3061</v>
      </c>
      <c r="K43">
        <v>0.5</v>
      </c>
      <c r="L43" t="s">
        <v>3082</v>
      </c>
      <c r="M43">
        <v>0.05</v>
      </c>
      <c r="Z43">
        <v>113</v>
      </c>
      <c r="AE43" t="s">
        <v>93</v>
      </c>
      <c r="AF43" t="s">
        <v>93</v>
      </c>
      <c r="AK43" t="s">
        <v>93</v>
      </c>
      <c r="AL43" t="s">
        <v>288</v>
      </c>
      <c r="AM43">
        <v>298</v>
      </c>
      <c r="AN43" t="s">
        <v>185</v>
      </c>
      <c r="AO43">
        <v>-18.52</v>
      </c>
      <c r="AP43" t="s">
        <v>95</v>
      </c>
      <c r="AQ43" t="s">
        <v>93</v>
      </c>
      <c r="AR43">
        <v>1.77</v>
      </c>
      <c r="AS43" t="s">
        <v>95</v>
      </c>
      <c r="AT43" t="s">
        <v>93</v>
      </c>
      <c r="AV43" t="s">
        <v>93</v>
      </c>
      <c r="AW43" t="s">
        <v>93</v>
      </c>
      <c r="AX43" t="s">
        <v>93</v>
      </c>
      <c r="AY43" t="s">
        <v>93</v>
      </c>
      <c r="BF43">
        <v>0.9</v>
      </c>
      <c r="BG43">
        <v>0.05</v>
      </c>
      <c r="BM43">
        <v>0.05</v>
      </c>
    </row>
    <row r="44" spans="1:67" ht="15.75" thickBot="1" x14ac:dyDescent="0.3">
      <c r="A44" t="s">
        <v>91</v>
      </c>
      <c r="B44" t="s">
        <v>93</v>
      </c>
      <c r="C44" t="s">
        <v>317</v>
      </c>
      <c r="F44" t="s">
        <v>93</v>
      </c>
      <c r="G44" t="s">
        <v>318</v>
      </c>
      <c r="H44" s="7" t="s">
        <v>3046</v>
      </c>
      <c r="I44">
        <v>0.54</v>
      </c>
      <c r="J44" t="s">
        <v>3061</v>
      </c>
      <c r="K44">
        <v>0.46</v>
      </c>
      <c r="Z44">
        <v>123</v>
      </c>
      <c r="AE44" t="s">
        <v>93</v>
      </c>
      <c r="AF44" t="s">
        <v>93</v>
      </c>
      <c r="AK44" t="s">
        <v>93</v>
      </c>
      <c r="AL44" t="s">
        <v>102</v>
      </c>
      <c r="AM44">
        <v>298</v>
      </c>
      <c r="AN44" t="s">
        <v>103</v>
      </c>
      <c r="AO44">
        <v>-59.6</v>
      </c>
      <c r="AP44" t="s">
        <v>95</v>
      </c>
      <c r="AQ44" t="s">
        <v>93</v>
      </c>
      <c r="AR44">
        <v>1.3</v>
      </c>
      <c r="AS44" t="s">
        <v>95</v>
      </c>
      <c r="AT44" t="s">
        <v>93</v>
      </c>
      <c r="AV44" t="s">
        <v>93</v>
      </c>
      <c r="AW44" t="s">
        <v>93</v>
      </c>
      <c r="AX44" t="s">
        <v>93</v>
      </c>
      <c r="AY44" t="s">
        <v>93</v>
      </c>
      <c r="BF44">
        <v>0.54</v>
      </c>
      <c r="BG44">
        <v>0.46</v>
      </c>
    </row>
    <row r="45" spans="1:67" ht="15.75" thickBot="1" x14ac:dyDescent="0.3">
      <c r="A45" t="s">
        <v>91</v>
      </c>
      <c r="B45" t="s">
        <v>93</v>
      </c>
      <c r="C45" t="s">
        <v>317</v>
      </c>
      <c r="F45" t="s">
        <v>93</v>
      </c>
      <c r="G45" t="s">
        <v>319</v>
      </c>
      <c r="H45" s="7" t="s">
        <v>3046</v>
      </c>
      <c r="I45">
        <v>0.45</v>
      </c>
      <c r="J45" t="s">
        <v>3061</v>
      </c>
      <c r="K45">
        <v>0.5</v>
      </c>
      <c r="L45" t="s">
        <v>3055</v>
      </c>
      <c r="M45">
        <v>0.05</v>
      </c>
      <c r="Z45">
        <v>124</v>
      </c>
      <c r="AE45" t="s">
        <v>93</v>
      </c>
      <c r="AF45" t="s">
        <v>93</v>
      </c>
      <c r="AK45" t="s">
        <v>93</v>
      </c>
      <c r="AL45" t="s">
        <v>102</v>
      </c>
      <c r="AM45">
        <v>298</v>
      </c>
      <c r="AN45" t="s">
        <v>103</v>
      </c>
      <c r="AO45">
        <v>-59.4</v>
      </c>
      <c r="AP45" t="s">
        <v>95</v>
      </c>
      <c r="AQ45" t="s">
        <v>93</v>
      </c>
      <c r="AR45">
        <v>2.7</v>
      </c>
      <c r="AS45" t="s">
        <v>95</v>
      </c>
      <c r="AT45" t="s">
        <v>93</v>
      </c>
      <c r="AV45" t="s">
        <v>93</v>
      </c>
      <c r="AW45" t="s">
        <v>93</v>
      </c>
      <c r="AX45" t="s">
        <v>93</v>
      </c>
      <c r="AY45" t="s">
        <v>93</v>
      </c>
      <c r="BF45">
        <v>0.45</v>
      </c>
      <c r="BG45">
        <v>0.5</v>
      </c>
      <c r="BO45">
        <v>0.05</v>
      </c>
    </row>
    <row r="46" spans="1:67" ht="15.75" thickBot="1" x14ac:dyDescent="0.3">
      <c r="A46" t="s">
        <v>91</v>
      </c>
      <c r="B46" t="s">
        <v>93</v>
      </c>
      <c r="C46" t="s">
        <v>267</v>
      </c>
      <c r="F46" t="s">
        <v>93</v>
      </c>
      <c r="G46" t="s">
        <v>321</v>
      </c>
      <c r="H46" s="7" t="s">
        <v>3046</v>
      </c>
      <c r="I46">
        <v>0.45</v>
      </c>
      <c r="J46" t="s">
        <v>3061</v>
      </c>
      <c r="K46">
        <v>0.55000000000000004</v>
      </c>
      <c r="Z46">
        <v>126</v>
      </c>
      <c r="AE46" t="s">
        <v>93</v>
      </c>
      <c r="AF46" t="s">
        <v>93</v>
      </c>
      <c r="AK46" t="s">
        <v>93</v>
      </c>
      <c r="AL46" t="s">
        <v>102</v>
      </c>
      <c r="AM46">
        <v>298</v>
      </c>
      <c r="AN46" t="s">
        <v>103</v>
      </c>
      <c r="AO46">
        <v>-58.4</v>
      </c>
      <c r="AP46" t="s">
        <v>95</v>
      </c>
      <c r="AQ46" t="s">
        <v>93</v>
      </c>
      <c r="AR46">
        <v>0.7</v>
      </c>
      <c r="AS46" t="s">
        <v>95</v>
      </c>
      <c r="AT46" t="s">
        <v>93</v>
      </c>
      <c r="AV46" t="s">
        <v>93</v>
      </c>
      <c r="AW46" t="s">
        <v>93</v>
      </c>
      <c r="AX46" t="s">
        <v>93</v>
      </c>
      <c r="AY46" t="s">
        <v>93</v>
      </c>
      <c r="BF46">
        <v>0.45</v>
      </c>
      <c r="BG46">
        <v>0.55000000000000004</v>
      </c>
    </row>
    <row r="47" spans="1:67" ht="15.75" thickBot="1" x14ac:dyDescent="0.3">
      <c r="A47" t="s">
        <v>91</v>
      </c>
      <c r="B47" t="s">
        <v>93</v>
      </c>
      <c r="C47" t="s">
        <v>317</v>
      </c>
      <c r="F47" t="s">
        <v>93</v>
      </c>
      <c r="G47" t="s">
        <v>322</v>
      </c>
      <c r="H47" s="7" t="s">
        <v>3046</v>
      </c>
      <c r="I47">
        <v>0.4</v>
      </c>
      <c r="J47" t="s">
        <v>3061</v>
      </c>
      <c r="K47">
        <v>0.55000000000000004</v>
      </c>
      <c r="L47" t="s">
        <v>3055</v>
      </c>
      <c r="M47">
        <v>0.05</v>
      </c>
      <c r="Z47">
        <v>127</v>
      </c>
      <c r="AE47" t="s">
        <v>93</v>
      </c>
      <c r="AF47" t="s">
        <v>93</v>
      </c>
      <c r="AK47" t="s">
        <v>93</v>
      </c>
      <c r="AL47" t="s">
        <v>102</v>
      </c>
      <c r="AM47">
        <v>298</v>
      </c>
      <c r="AN47" t="s">
        <v>103</v>
      </c>
      <c r="AO47">
        <v>-56.75</v>
      </c>
      <c r="AP47" t="s">
        <v>95</v>
      </c>
      <c r="AQ47" t="s">
        <v>93</v>
      </c>
      <c r="AR47">
        <v>2.34</v>
      </c>
      <c r="AS47" t="s">
        <v>95</v>
      </c>
      <c r="AT47" t="s">
        <v>93</v>
      </c>
      <c r="AV47" t="s">
        <v>93</v>
      </c>
      <c r="AW47" t="s">
        <v>93</v>
      </c>
      <c r="AX47" t="s">
        <v>93</v>
      </c>
      <c r="AY47" t="s">
        <v>93</v>
      </c>
      <c r="BF47">
        <v>0.4</v>
      </c>
      <c r="BG47">
        <v>0.55000000000000004</v>
      </c>
      <c r="BO47">
        <v>0.05</v>
      </c>
    </row>
    <row r="48" spans="1:67" ht="15.75" thickBot="1" x14ac:dyDescent="0.3">
      <c r="A48" t="s">
        <v>91</v>
      </c>
      <c r="B48" t="s">
        <v>93</v>
      </c>
      <c r="C48" t="s">
        <v>323</v>
      </c>
      <c r="F48" t="s">
        <v>93</v>
      </c>
      <c r="G48" t="s">
        <v>324</v>
      </c>
      <c r="H48" s="7" t="s">
        <v>3046</v>
      </c>
      <c r="I48">
        <v>0.5</v>
      </c>
      <c r="J48" t="s">
        <v>3061</v>
      </c>
      <c r="K48">
        <v>0.43</v>
      </c>
      <c r="L48" t="s">
        <v>3055</v>
      </c>
      <c r="M48">
        <v>0.08</v>
      </c>
      <c r="Z48">
        <v>128</v>
      </c>
      <c r="AE48" t="s">
        <v>93</v>
      </c>
      <c r="AF48" t="s">
        <v>93</v>
      </c>
      <c r="AK48" t="s">
        <v>93</v>
      </c>
      <c r="AL48" t="s">
        <v>102</v>
      </c>
      <c r="AM48">
        <v>298</v>
      </c>
      <c r="AN48" t="s">
        <v>103</v>
      </c>
      <c r="AO48">
        <v>-55.2</v>
      </c>
      <c r="AP48" t="s">
        <v>95</v>
      </c>
      <c r="AQ48" t="s">
        <v>93</v>
      </c>
      <c r="AR48">
        <v>2.4700000000000002</v>
      </c>
      <c r="AS48" t="s">
        <v>95</v>
      </c>
      <c r="AT48" t="s">
        <v>93</v>
      </c>
      <c r="AV48" t="s">
        <v>93</v>
      </c>
      <c r="AW48" t="s">
        <v>93</v>
      </c>
      <c r="AX48" t="s">
        <v>93</v>
      </c>
      <c r="AY48" t="s">
        <v>93</v>
      </c>
      <c r="BF48">
        <v>0.5</v>
      </c>
      <c r="BG48">
        <v>0.42</v>
      </c>
      <c r="BO48">
        <v>0.08</v>
      </c>
    </row>
    <row r="49" spans="1:102" ht="15.75" thickBot="1" x14ac:dyDescent="0.3">
      <c r="A49" t="s">
        <v>91</v>
      </c>
      <c r="B49" t="s">
        <v>93</v>
      </c>
      <c r="C49" t="s">
        <v>317</v>
      </c>
      <c r="F49" t="s">
        <v>93</v>
      </c>
      <c r="G49" t="s">
        <v>330</v>
      </c>
      <c r="H49" s="7" t="s">
        <v>3046</v>
      </c>
      <c r="I49">
        <v>0.05</v>
      </c>
      <c r="J49" t="s">
        <v>3061</v>
      </c>
      <c r="K49">
        <v>0.5</v>
      </c>
      <c r="L49" t="s">
        <v>3055</v>
      </c>
      <c r="M49">
        <v>0.45</v>
      </c>
      <c r="Z49">
        <v>132</v>
      </c>
      <c r="AE49" t="s">
        <v>93</v>
      </c>
      <c r="AF49" t="s">
        <v>93</v>
      </c>
      <c r="AK49" t="s">
        <v>93</v>
      </c>
      <c r="AL49" t="s">
        <v>102</v>
      </c>
      <c r="AM49">
        <v>298</v>
      </c>
      <c r="AN49" t="s">
        <v>103</v>
      </c>
      <c r="AO49">
        <v>-40.700000000000003</v>
      </c>
      <c r="AP49" t="s">
        <v>95</v>
      </c>
      <c r="AQ49" t="s">
        <v>93</v>
      </c>
      <c r="AR49">
        <v>2.1</v>
      </c>
      <c r="AS49" t="s">
        <v>95</v>
      </c>
      <c r="AT49" t="s">
        <v>93</v>
      </c>
      <c r="AV49" t="s">
        <v>93</v>
      </c>
      <c r="AW49" t="s">
        <v>93</v>
      </c>
      <c r="AX49" t="s">
        <v>93</v>
      </c>
      <c r="AY49" t="s">
        <v>93</v>
      </c>
      <c r="BF49">
        <v>0.05</v>
      </c>
      <c r="BG49">
        <v>0.5</v>
      </c>
      <c r="BO49">
        <v>0.45</v>
      </c>
    </row>
    <row r="50" spans="1:102" ht="15.75" thickBot="1" x14ac:dyDescent="0.3">
      <c r="A50" t="s">
        <v>91</v>
      </c>
      <c r="B50" t="s">
        <v>93</v>
      </c>
      <c r="C50" t="s">
        <v>317</v>
      </c>
      <c r="F50" t="s">
        <v>93</v>
      </c>
      <c r="G50" t="s">
        <v>333</v>
      </c>
      <c r="H50" s="7" t="s">
        <v>3046</v>
      </c>
      <c r="I50">
        <v>0.21</v>
      </c>
      <c r="J50" t="s">
        <v>3061</v>
      </c>
      <c r="K50">
        <v>0.74</v>
      </c>
      <c r="L50" t="s">
        <v>3055</v>
      </c>
      <c r="M50">
        <v>0.05</v>
      </c>
      <c r="Z50">
        <v>134</v>
      </c>
      <c r="AE50" t="s">
        <v>93</v>
      </c>
      <c r="AF50" t="s">
        <v>93</v>
      </c>
      <c r="AK50" t="s">
        <v>93</v>
      </c>
      <c r="AL50" t="s">
        <v>194</v>
      </c>
      <c r="AM50">
        <v>298</v>
      </c>
      <c r="AN50" t="s">
        <v>103</v>
      </c>
      <c r="AO50">
        <v>-24.56</v>
      </c>
      <c r="AP50" t="s">
        <v>95</v>
      </c>
      <c r="AQ50" t="s">
        <v>93</v>
      </c>
      <c r="AR50">
        <v>3</v>
      </c>
      <c r="AS50" t="s">
        <v>95</v>
      </c>
      <c r="AT50" t="s">
        <v>93</v>
      </c>
      <c r="AV50" t="s">
        <v>93</v>
      </c>
      <c r="AW50" t="s">
        <v>93</v>
      </c>
      <c r="AX50" t="s">
        <v>93</v>
      </c>
      <c r="AY50" t="s">
        <v>93</v>
      </c>
      <c r="BF50">
        <v>0.21</v>
      </c>
      <c r="BG50">
        <v>0.74</v>
      </c>
      <c r="BO50">
        <v>0.05</v>
      </c>
    </row>
    <row r="51" spans="1:102" ht="15.75" thickBot="1" x14ac:dyDescent="0.3">
      <c r="A51" t="s">
        <v>91</v>
      </c>
      <c r="B51" t="s">
        <v>93</v>
      </c>
      <c r="C51" t="s">
        <v>317</v>
      </c>
      <c r="F51" t="s">
        <v>93</v>
      </c>
      <c r="G51" t="s">
        <v>334</v>
      </c>
      <c r="H51" s="7" t="s">
        <v>3046</v>
      </c>
      <c r="I51">
        <v>0.16</v>
      </c>
      <c r="J51" t="s">
        <v>3061</v>
      </c>
      <c r="K51">
        <v>0.74</v>
      </c>
      <c r="L51" t="s">
        <v>3055</v>
      </c>
      <c r="M51">
        <v>0.1</v>
      </c>
      <c r="Z51">
        <v>135</v>
      </c>
      <c r="AE51" t="s">
        <v>93</v>
      </c>
      <c r="AF51" t="s">
        <v>93</v>
      </c>
      <c r="AK51" t="s">
        <v>93</v>
      </c>
      <c r="AL51" t="s">
        <v>194</v>
      </c>
      <c r="AM51">
        <v>298</v>
      </c>
      <c r="AN51" t="s">
        <v>103</v>
      </c>
      <c r="AO51">
        <v>-32.24</v>
      </c>
      <c r="AP51" t="s">
        <v>95</v>
      </c>
      <c r="AQ51" t="s">
        <v>93</v>
      </c>
      <c r="AR51">
        <v>1.74</v>
      </c>
      <c r="AS51" t="s">
        <v>95</v>
      </c>
      <c r="AT51" t="s">
        <v>93</v>
      </c>
      <c r="AV51" t="s">
        <v>93</v>
      </c>
      <c r="AW51" t="s">
        <v>93</v>
      </c>
      <c r="AX51" t="s">
        <v>93</v>
      </c>
      <c r="AY51" t="s">
        <v>93</v>
      </c>
      <c r="BF51">
        <v>0.16</v>
      </c>
      <c r="BG51">
        <v>0.74</v>
      </c>
      <c r="BO51">
        <v>0.1</v>
      </c>
    </row>
    <row r="52" spans="1:102" ht="15.75" thickBot="1" x14ac:dyDescent="0.3">
      <c r="A52" t="s">
        <v>91</v>
      </c>
      <c r="B52" t="s">
        <v>93</v>
      </c>
      <c r="C52" t="s">
        <v>317</v>
      </c>
      <c r="F52" t="s">
        <v>93</v>
      </c>
      <c r="G52" t="s">
        <v>335</v>
      </c>
      <c r="H52" s="7" t="s">
        <v>3046</v>
      </c>
      <c r="I52">
        <v>0.11</v>
      </c>
      <c r="J52" t="s">
        <v>3061</v>
      </c>
      <c r="K52">
        <v>0.74</v>
      </c>
      <c r="L52" t="s">
        <v>3055</v>
      </c>
      <c r="M52">
        <v>0.15</v>
      </c>
      <c r="Z52">
        <v>136</v>
      </c>
      <c r="AE52" t="s">
        <v>93</v>
      </c>
      <c r="AF52" t="s">
        <v>93</v>
      </c>
      <c r="AK52" t="s">
        <v>93</v>
      </c>
      <c r="AL52" t="s">
        <v>194</v>
      </c>
      <c r="AM52">
        <v>298</v>
      </c>
      <c r="AN52" t="s">
        <v>103</v>
      </c>
      <c r="AO52">
        <v>-39.58</v>
      </c>
      <c r="AP52" t="s">
        <v>95</v>
      </c>
      <c r="AQ52" t="s">
        <v>93</v>
      </c>
      <c r="AR52">
        <v>2.93</v>
      </c>
      <c r="AS52" t="s">
        <v>95</v>
      </c>
      <c r="AT52" t="s">
        <v>93</v>
      </c>
      <c r="AV52" t="s">
        <v>93</v>
      </c>
      <c r="AW52" t="s">
        <v>93</v>
      </c>
      <c r="AX52" t="s">
        <v>93</v>
      </c>
      <c r="AY52" t="s">
        <v>93</v>
      </c>
      <c r="BF52">
        <v>0.11</v>
      </c>
      <c r="BG52">
        <v>0.74</v>
      </c>
      <c r="BO52">
        <v>0.15</v>
      </c>
    </row>
    <row r="53" spans="1:102" ht="15.75" thickBot="1" x14ac:dyDescent="0.3">
      <c r="A53" t="s">
        <v>91</v>
      </c>
      <c r="B53" t="s">
        <v>93</v>
      </c>
      <c r="C53" t="s">
        <v>317</v>
      </c>
      <c r="F53" t="s">
        <v>93</v>
      </c>
      <c r="G53" t="s">
        <v>338</v>
      </c>
      <c r="H53" s="7" t="s">
        <v>3046</v>
      </c>
      <c r="I53">
        <v>0.05</v>
      </c>
      <c r="J53" t="s">
        <v>3061</v>
      </c>
      <c r="K53">
        <v>0.75</v>
      </c>
      <c r="L53" t="s">
        <v>3055</v>
      </c>
      <c r="M53">
        <v>0.2</v>
      </c>
      <c r="Z53">
        <v>138</v>
      </c>
      <c r="AE53" t="s">
        <v>93</v>
      </c>
      <c r="AF53" t="s">
        <v>93</v>
      </c>
      <c r="AK53" t="s">
        <v>93</v>
      </c>
      <c r="AL53" t="s">
        <v>339</v>
      </c>
      <c r="AM53">
        <v>298</v>
      </c>
      <c r="AN53" t="s">
        <v>179</v>
      </c>
      <c r="AO53">
        <v>-34.89</v>
      </c>
      <c r="AP53" t="s">
        <v>95</v>
      </c>
      <c r="AQ53" t="s">
        <v>93</v>
      </c>
      <c r="AR53">
        <v>5.36</v>
      </c>
      <c r="AS53" t="s">
        <v>95</v>
      </c>
      <c r="AT53" t="s">
        <v>93</v>
      </c>
      <c r="AV53" t="s">
        <v>93</v>
      </c>
      <c r="AW53" t="s">
        <v>93</v>
      </c>
      <c r="AX53" t="s">
        <v>93</v>
      </c>
      <c r="AY53" t="s">
        <v>93</v>
      </c>
      <c r="BF53">
        <v>0.05</v>
      </c>
      <c r="BG53">
        <v>0.75</v>
      </c>
      <c r="BO53">
        <v>0.2</v>
      </c>
    </row>
    <row r="54" spans="1:102" ht="15.75" thickBot="1" x14ac:dyDescent="0.3">
      <c r="A54" t="s">
        <v>91</v>
      </c>
      <c r="B54" t="s">
        <v>93</v>
      </c>
      <c r="C54" t="s">
        <v>714</v>
      </c>
      <c r="F54" t="s">
        <v>93</v>
      </c>
      <c r="G54" t="s">
        <v>1014</v>
      </c>
      <c r="H54" s="7" t="s">
        <v>3073</v>
      </c>
      <c r="I54">
        <v>2</v>
      </c>
      <c r="J54" t="s">
        <v>3070</v>
      </c>
      <c r="K54">
        <v>5</v>
      </c>
      <c r="Z54">
        <v>406</v>
      </c>
      <c r="AE54" t="s">
        <v>93</v>
      </c>
      <c r="AF54" t="s">
        <v>93</v>
      </c>
      <c r="AK54" t="s">
        <v>93</v>
      </c>
      <c r="AL54" t="s">
        <v>793</v>
      </c>
      <c r="AM54">
        <v>298</v>
      </c>
      <c r="AN54" t="s">
        <v>794</v>
      </c>
      <c r="AO54">
        <v>-27.3</v>
      </c>
      <c r="AP54" t="s">
        <v>95</v>
      </c>
      <c r="AQ54" t="s">
        <v>93</v>
      </c>
      <c r="AR54">
        <v>3.1</v>
      </c>
      <c r="AS54" t="s">
        <v>95</v>
      </c>
      <c r="AT54" t="s">
        <v>93</v>
      </c>
      <c r="AU54">
        <v>0.71</v>
      </c>
      <c r="AV54" t="s">
        <v>93</v>
      </c>
      <c r="AW54" t="s">
        <v>93</v>
      </c>
      <c r="AX54" t="s">
        <v>93</v>
      </c>
      <c r="AY54" t="s">
        <v>93</v>
      </c>
      <c r="BJ54">
        <v>0.28999999999999998</v>
      </c>
    </row>
    <row r="55" spans="1:102" ht="15.75" thickBot="1" x14ac:dyDescent="0.3">
      <c r="A55" t="s">
        <v>91</v>
      </c>
      <c r="B55" t="s">
        <v>1131</v>
      </c>
      <c r="C55" t="s">
        <v>310</v>
      </c>
      <c r="E55">
        <v>0.36</v>
      </c>
      <c r="F55" t="s">
        <v>93</v>
      </c>
      <c r="G55" t="s">
        <v>1132</v>
      </c>
      <c r="H55" s="7" t="s">
        <v>3054</v>
      </c>
      <c r="I55" t="s">
        <v>3046</v>
      </c>
      <c r="J55">
        <v>1.78</v>
      </c>
      <c r="Z55">
        <v>447</v>
      </c>
      <c r="AE55" t="s">
        <v>93</v>
      </c>
      <c r="AF55" t="s">
        <v>93</v>
      </c>
      <c r="AK55" t="s">
        <v>93</v>
      </c>
      <c r="AL55" t="s">
        <v>159</v>
      </c>
      <c r="AM55">
        <v>298</v>
      </c>
      <c r="AN55" t="s">
        <v>160</v>
      </c>
      <c r="AO55">
        <v>-47.7</v>
      </c>
      <c r="AP55" t="s">
        <v>95</v>
      </c>
      <c r="AQ55" t="s">
        <v>93</v>
      </c>
      <c r="AR55">
        <v>0.9</v>
      </c>
      <c r="AS55" t="s">
        <v>95</v>
      </c>
      <c r="AT55" t="s">
        <v>93</v>
      </c>
      <c r="AV55" t="s">
        <v>93</v>
      </c>
      <c r="AW55" t="s">
        <v>93</v>
      </c>
      <c r="AX55" t="s">
        <v>93</v>
      </c>
      <c r="AY55" t="s">
        <v>93</v>
      </c>
      <c r="BF55">
        <v>0.64</v>
      </c>
    </row>
    <row r="56" spans="1:102" ht="15.75" thickBot="1" x14ac:dyDescent="0.3">
      <c r="A56" t="s">
        <v>91</v>
      </c>
      <c r="B56" t="s">
        <v>1208</v>
      </c>
      <c r="C56" t="s">
        <v>1209</v>
      </c>
      <c r="F56" t="s">
        <v>93</v>
      </c>
      <c r="G56" t="s">
        <v>1210</v>
      </c>
      <c r="H56" s="7" t="s">
        <v>3074</v>
      </c>
      <c r="I56" t="s">
        <v>3038</v>
      </c>
      <c r="J56">
        <v>1.1000000000000001</v>
      </c>
      <c r="Z56">
        <v>475</v>
      </c>
      <c r="AA56">
        <v>0</v>
      </c>
      <c r="AB56" t="s">
        <v>95</v>
      </c>
      <c r="AC56">
        <v>-36.916985310000001</v>
      </c>
      <c r="AD56" t="s">
        <v>95</v>
      </c>
      <c r="AE56" t="s">
        <v>1211</v>
      </c>
      <c r="AF56" t="s">
        <v>93</v>
      </c>
      <c r="AK56" t="s">
        <v>93</v>
      </c>
      <c r="AL56" t="s">
        <v>1212</v>
      </c>
      <c r="AM56">
        <v>298</v>
      </c>
      <c r="AN56" t="s">
        <v>179</v>
      </c>
      <c r="AO56">
        <v>-35.5</v>
      </c>
      <c r="AP56" t="s">
        <v>95</v>
      </c>
      <c r="AQ56" t="s">
        <v>93</v>
      </c>
      <c r="AR56">
        <v>1</v>
      </c>
      <c r="AS56" t="s">
        <v>95</v>
      </c>
      <c r="AT56" t="s">
        <v>93</v>
      </c>
      <c r="AX56" t="s">
        <v>93</v>
      </c>
      <c r="AY56" t="s">
        <v>93</v>
      </c>
      <c r="BT56">
        <v>0.48</v>
      </c>
      <c r="CE56">
        <v>0.52</v>
      </c>
    </row>
    <row r="57" spans="1:102" ht="15.75" thickBot="1" x14ac:dyDescent="0.3">
      <c r="A57" t="s">
        <v>91</v>
      </c>
      <c r="B57" t="s">
        <v>1213</v>
      </c>
      <c r="C57" t="s">
        <v>1209</v>
      </c>
      <c r="F57" t="s">
        <v>93</v>
      </c>
      <c r="G57" t="s">
        <v>1214</v>
      </c>
      <c r="H57" s="7" t="str" cm="1">
        <f t="array" aca="1" ref="H57" ca="1">LEFT(G57,SMALL(FIND(CHAR(ROW(INDIRECT("65:90"))),G57&amp;"ABCDEFGHIJKLMNOPQRSTUVWXYZ"),2)-1)</f>
        <v>Ru</v>
      </c>
      <c r="I57" t="s">
        <v>3038</v>
      </c>
      <c r="J57">
        <v>1.1000000000000001</v>
      </c>
      <c r="Z57">
        <v>476</v>
      </c>
      <c r="AE57" t="s">
        <v>93</v>
      </c>
      <c r="AF57" t="s">
        <v>93</v>
      </c>
      <c r="AK57" t="s">
        <v>93</v>
      </c>
      <c r="AL57" t="s">
        <v>1212</v>
      </c>
      <c r="AM57">
        <v>298</v>
      </c>
      <c r="AN57" t="s">
        <v>179</v>
      </c>
      <c r="AO57">
        <v>-22.2</v>
      </c>
      <c r="AP57" t="s">
        <v>95</v>
      </c>
      <c r="AQ57" t="s">
        <v>93</v>
      </c>
      <c r="AR57">
        <v>1</v>
      </c>
      <c r="AS57" t="s">
        <v>95</v>
      </c>
      <c r="AT57" t="s">
        <v>93</v>
      </c>
      <c r="AV57" t="s">
        <v>93</v>
      </c>
      <c r="AW57" t="s">
        <v>93</v>
      </c>
      <c r="AX57" t="s">
        <v>93</v>
      </c>
      <c r="AY57" t="s">
        <v>93</v>
      </c>
      <c r="BJ57">
        <v>0.48</v>
      </c>
      <c r="CE57">
        <v>0.52</v>
      </c>
    </row>
    <row r="58" spans="1:102" ht="15.75" thickBot="1" x14ac:dyDescent="0.3">
      <c r="A58" t="s">
        <v>91</v>
      </c>
      <c r="B58" t="s">
        <v>93</v>
      </c>
      <c r="C58" t="s">
        <v>1944</v>
      </c>
      <c r="F58" t="s">
        <v>93</v>
      </c>
      <c r="G58" t="s">
        <v>1945</v>
      </c>
      <c r="H58" s="7" t="s">
        <v>3046</v>
      </c>
      <c r="I58">
        <v>0.1</v>
      </c>
      <c r="J58" t="s">
        <v>3055</v>
      </c>
      <c r="K58">
        <v>0.25</v>
      </c>
      <c r="L58" t="s">
        <v>3063</v>
      </c>
      <c r="M58">
        <v>0.65</v>
      </c>
      <c r="Z58">
        <v>748</v>
      </c>
      <c r="AE58" t="s">
        <v>93</v>
      </c>
      <c r="AF58" t="s">
        <v>93</v>
      </c>
      <c r="AK58" t="s">
        <v>93</v>
      </c>
      <c r="AL58" t="s">
        <v>194</v>
      </c>
      <c r="AM58">
        <v>300</v>
      </c>
      <c r="AN58" t="s">
        <v>103</v>
      </c>
      <c r="AO58">
        <v>-27</v>
      </c>
      <c r="AP58" t="s">
        <v>95</v>
      </c>
      <c r="AT58" t="s">
        <v>93</v>
      </c>
      <c r="AV58" t="s">
        <v>93</v>
      </c>
      <c r="AW58" t="s">
        <v>93</v>
      </c>
      <c r="AX58" t="s">
        <v>93</v>
      </c>
      <c r="AY58" t="s">
        <v>93</v>
      </c>
      <c r="BF58">
        <v>0.1</v>
      </c>
      <c r="BO58">
        <v>0.25</v>
      </c>
      <c r="CP58">
        <v>0.65</v>
      </c>
      <c r="CQ58">
        <v>1</v>
      </c>
      <c r="CR58" t="s">
        <v>95</v>
      </c>
      <c r="CS58" t="s">
        <v>93</v>
      </c>
    </row>
    <row r="59" spans="1:102" ht="15.75" thickBot="1" x14ac:dyDescent="0.3">
      <c r="A59" t="s">
        <v>91</v>
      </c>
      <c r="B59" t="s">
        <v>93</v>
      </c>
      <c r="C59" t="s">
        <v>1944</v>
      </c>
      <c r="F59" t="s">
        <v>93</v>
      </c>
      <c r="G59" t="s">
        <v>1946</v>
      </c>
      <c r="H59" s="7" t="s">
        <v>3046</v>
      </c>
      <c r="I59">
        <v>0.2</v>
      </c>
      <c r="J59" t="s">
        <v>3055</v>
      </c>
      <c r="K59">
        <v>0.25</v>
      </c>
      <c r="L59" t="s">
        <v>3063</v>
      </c>
      <c r="M59">
        <v>0.55000000000000004</v>
      </c>
      <c r="Z59">
        <v>749</v>
      </c>
      <c r="AE59" t="s">
        <v>93</v>
      </c>
      <c r="AF59" t="s">
        <v>93</v>
      </c>
      <c r="AK59" t="s">
        <v>93</v>
      </c>
      <c r="AL59" t="s">
        <v>194</v>
      </c>
      <c r="AM59">
        <v>300</v>
      </c>
      <c r="AN59" t="s">
        <v>103</v>
      </c>
      <c r="AO59">
        <v>-30</v>
      </c>
      <c r="AP59" t="s">
        <v>95</v>
      </c>
      <c r="AT59" t="s">
        <v>93</v>
      </c>
      <c r="AV59" t="s">
        <v>93</v>
      </c>
      <c r="AW59" t="s">
        <v>93</v>
      </c>
      <c r="AX59" t="s">
        <v>93</v>
      </c>
      <c r="AY59" t="s">
        <v>93</v>
      </c>
      <c r="BF59">
        <v>0.2</v>
      </c>
      <c r="BO59">
        <v>0.25</v>
      </c>
      <c r="CP59">
        <v>0.55000000000000004</v>
      </c>
      <c r="CQ59">
        <v>1</v>
      </c>
      <c r="CR59" t="s">
        <v>95</v>
      </c>
      <c r="CS59" t="s">
        <v>93</v>
      </c>
    </row>
    <row r="60" spans="1:102" ht="15.75" thickBot="1" x14ac:dyDescent="0.3">
      <c r="A60" t="s">
        <v>91</v>
      </c>
      <c r="B60" t="s">
        <v>93</v>
      </c>
      <c r="C60" t="s">
        <v>1944</v>
      </c>
      <c r="F60" t="s">
        <v>93</v>
      </c>
      <c r="G60" t="s">
        <v>1947</v>
      </c>
      <c r="H60" s="7" t="s">
        <v>3046</v>
      </c>
      <c r="I60">
        <v>0.3</v>
      </c>
      <c r="J60" t="s">
        <v>3055</v>
      </c>
      <c r="K60">
        <v>0.25</v>
      </c>
      <c r="L60" t="s">
        <v>3063</v>
      </c>
      <c r="M60">
        <v>0.45</v>
      </c>
      <c r="Z60">
        <v>750</v>
      </c>
      <c r="AE60" t="s">
        <v>93</v>
      </c>
      <c r="AF60" t="s">
        <v>93</v>
      </c>
      <c r="AK60" t="s">
        <v>93</v>
      </c>
      <c r="AL60" t="s">
        <v>194</v>
      </c>
      <c r="AM60">
        <v>300</v>
      </c>
      <c r="AN60" t="s">
        <v>103</v>
      </c>
      <c r="AO60">
        <v>-32</v>
      </c>
      <c r="AP60" t="s">
        <v>95</v>
      </c>
      <c r="AT60" t="s">
        <v>93</v>
      </c>
      <c r="AV60" t="s">
        <v>93</v>
      </c>
      <c r="AW60" t="s">
        <v>93</v>
      </c>
      <c r="AX60" t="s">
        <v>93</v>
      </c>
      <c r="AY60" t="s">
        <v>93</v>
      </c>
      <c r="BF60">
        <v>0.3</v>
      </c>
      <c r="BO60">
        <v>0.25</v>
      </c>
      <c r="CP60">
        <v>0.45</v>
      </c>
      <c r="CQ60">
        <v>1</v>
      </c>
      <c r="CR60" t="s">
        <v>95</v>
      </c>
      <c r="CS60" t="s">
        <v>93</v>
      </c>
    </row>
    <row r="61" spans="1:102" ht="15.75" thickBot="1" x14ac:dyDescent="0.3">
      <c r="A61" t="s">
        <v>91</v>
      </c>
      <c r="B61" t="s">
        <v>93</v>
      </c>
      <c r="C61" t="s">
        <v>1944</v>
      </c>
      <c r="F61" t="s">
        <v>93</v>
      </c>
      <c r="G61" t="s">
        <v>1948</v>
      </c>
      <c r="H61" s="7" t="s">
        <v>3046</v>
      </c>
      <c r="I61">
        <v>0.4</v>
      </c>
      <c r="J61" t="s">
        <v>3055</v>
      </c>
      <c r="K61">
        <v>0.25</v>
      </c>
      <c r="L61" t="s">
        <v>3063</v>
      </c>
      <c r="M61">
        <v>0.35</v>
      </c>
      <c r="Z61">
        <v>751</v>
      </c>
      <c r="AE61" t="s">
        <v>93</v>
      </c>
      <c r="AF61" t="s">
        <v>93</v>
      </c>
      <c r="AK61" t="s">
        <v>93</v>
      </c>
      <c r="AL61" t="s">
        <v>194</v>
      </c>
      <c r="AM61">
        <v>300</v>
      </c>
      <c r="AN61" t="s">
        <v>103</v>
      </c>
      <c r="AO61">
        <v>-34</v>
      </c>
      <c r="AP61" t="s">
        <v>95</v>
      </c>
      <c r="AT61" t="s">
        <v>93</v>
      </c>
      <c r="AV61" t="s">
        <v>93</v>
      </c>
      <c r="AW61" t="s">
        <v>93</v>
      </c>
      <c r="AX61" t="s">
        <v>93</v>
      </c>
      <c r="AY61" t="s">
        <v>93</v>
      </c>
      <c r="BF61">
        <v>0.4</v>
      </c>
      <c r="BO61">
        <v>0.25</v>
      </c>
      <c r="CP61">
        <v>0.35</v>
      </c>
      <c r="CQ61">
        <v>1</v>
      </c>
      <c r="CR61" t="s">
        <v>95</v>
      </c>
      <c r="CS61" t="s">
        <v>93</v>
      </c>
    </row>
    <row r="62" spans="1:102" ht="15.75" thickBot="1" x14ac:dyDescent="0.3">
      <c r="A62" t="s">
        <v>91</v>
      </c>
      <c r="B62" t="s">
        <v>93</v>
      </c>
      <c r="C62" t="s">
        <v>1944</v>
      </c>
      <c r="F62" t="s">
        <v>93</v>
      </c>
      <c r="G62" t="s">
        <v>1950</v>
      </c>
      <c r="H62" s="7" t="s">
        <v>3046</v>
      </c>
      <c r="I62">
        <v>0.6</v>
      </c>
      <c r="J62" t="s">
        <v>3055</v>
      </c>
      <c r="K62">
        <v>0.25</v>
      </c>
      <c r="L62" t="s">
        <v>3063</v>
      </c>
      <c r="M62">
        <v>0.15</v>
      </c>
      <c r="Z62">
        <v>753</v>
      </c>
      <c r="AE62" t="s">
        <v>93</v>
      </c>
      <c r="AF62" t="s">
        <v>93</v>
      </c>
      <c r="AK62" t="s">
        <v>93</v>
      </c>
      <c r="AL62" t="s">
        <v>194</v>
      </c>
      <c r="AM62">
        <v>300</v>
      </c>
      <c r="AN62" t="s">
        <v>103</v>
      </c>
      <c r="AO62">
        <v>-36</v>
      </c>
      <c r="AP62" t="s">
        <v>95</v>
      </c>
      <c r="AT62" t="s">
        <v>93</v>
      </c>
      <c r="AV62" t="s">
        <v>93</v>
      </c>
      <c r="AW62" t="s">
        <v>93</v>
      </c>
      <c r="AX62" t="s">
        <v>93</v>
      </c>
      <c r="AY62" t="s">
        <v>93</v>
      </c>
      <c r="BF62">
        <v>0.6</v>
      </c>
      <c r="BO62">
        <v>0.25</v>
      </c>
      <c r="CP62">
        <v>0.15</v>
      </c>
      <c r="CQ62">
        <v>1</v>
      </c>
      <c r="CR62" t="s">
        <v>95</v>
      </c>
      <c r="CS62" t="s">
        <v>93</v>
      </c>
    </row>
    <row r="63" spans="1:102" ht="15.75" thickBot="1" x14ac:dyDescent="0.3">
      <c r="A63" t="s">
        <v>2011</v>
      </c>
      <c r="B63" t="s">
        <v>93</v>
      </c>
      <c r="C63" t="s">
        <v>2012</v>
      </c>
      <c r="D63">
        <v>0.61</v>
      </c>
      <c r="F63" t="s">
        <v>93</v>
      </c>
      <c r="G63" t="s">
        <v>2013</v>
      </c>
      <c r="H63" s="7" t="s">
        <v>3076</v>
      </c>
      <c r="I63">
        <v>0.61</v>
      </c>
      <c r="J63" t="s">
        <v>3045</v>
      </c>
      <c r="K63">
        <v>0.39</v>
      </c>
      <c r="Z63">
        <v>786</v>
      </c>
      <c r="AE63" t="s">
        <v>93</v>
      </c>
      <c r="AF63" t="s">
        <v>93</v>
      </c>
      <c r="AK63" t="s">
        <v>93</v>
      </c>
      <c r="AL63" t="s">
        <v>102</v>
      </c>
      <c r="AM63">
        <v>273</v>
      </c>
      <c r="AN63" t="s">
        <v>103</v>
      </c>
      <c r="AO63">
        <v>-3.96</v>
      </c>
      <c r="AP63" t="s">
        <v>95</v>
      </c>
      <c r="AQ63" t="s">
        <v>93</v>
      </c>
      <c r="AR63">
        <v>0.09</v>
      </c>
      <c r="AS63" t="s">
        <v>95</v>
      </c>
      <c r="AT63" t="s">
        <v>93</v>
      </c>
      <c r="AV63" t="s">
        <v>93</v>
      </c>
      <c r="AW63" t="s">
        <v>93</v>
      </c>
      <c r="AX63" t="s">
        <v>93</v>
      </c>
      <c r="AY63" t="s">
        <v>93</v>
      </c>
      <c r="CX63">
        <v>0.39</v>
      </c>
    </row>
    <row r="64" spans="1:102" ht="15.75" thickBot="1" x14ac:dyDescent="0.3">
      <c r="A64" t="s">
        <v>2011</v>
      </c>
      <c r="B64" t="s">
        <v>93</v>
      </c>
      <c r="C64" t="s">
        <v>2012</v>
      </c>
      <c r="D64">
        <v>0.56100000000000005</v>
      </c>
      <c r="F64" t="s">
        <v>93</v>
      </c>
      <c r="G64" t="s">
        <v>2014</v>
      </c>
      <c r="H64" s="7" t="s">
        <v>3076</v>
      </c>
      <c r="I64">
        <v>0.56100000000000005</v>
      </c>
      <c r="J64" t="s">
        <v>3045</v>
      </c>
      <c r="K64">
        <v>0.439</v>
      </c>
      <c r="Z64">
        <v>787</v>
      </c>
      <c r="AE64" t="s">
        <v>93</v>
      </c>
      <c r="AF64" t="s">
        <v>93</v>
      </c>
      <c r="AK64" t="s">
        <v>93</v>
      </c>
      <c r="AL64" t="s">
        <v>102</v>
      </c>
      <c r="AM64">
        <v>273</v>
      </c>
      <c r="AN64" t="s">
        <v>103</v>
      </c>
      <c r="AO64">
        <v>-4.2300000000000004</v>
      </c>
      <c r="AP64" t="s">
        <v>95</v>
      </c>
      <c r="AQ64" t="s">
        <v>93</v>
      </c>
      <c r="AR64">
        <v>0.02</v>
      </c>
      <c r="AS64" t="s">
        <v>95</v>
      </c>
      <c r="AT64" t="s">
        <v>93</v>
      </c>
      <c r="AV64" t="s">
        <v>93</v>
      </c>
      <c r="AW64" t="s">
        <v>93</v>
      </c>
      <c r="AX64" t="s">
        <v>93</v>
      </c>
      <c r="AY64" t="s">
        <v>93</v>
      </c>
      <c r="CX64">
        <v>0.439</v>
      </c>
    </row>
    <row r="65" spans="1:102" ht="15.75" thickBot="1" x14ac:dyDescent="0.3">
      <c r="A65" t="s">
        <v>2011</v>
      </c>
      <c r="B65" t="s">
        <v>93</v>
      </c>
      <c r="C65" t="s">
        <v>2012</v>
      </c>
      <c r="D65">
        <v>0.54200000000000004</v>
      </c>
      <c r="F65" t="s">
        <v>93</v>
      </c>
      <c r="G65" t="s">
        <v>2015</v>
      </c>
      <c r="H65" s="7" t="s">
        <v>3076</v>
      </c>
      <c r="I65">
        <v>0.54200000000000004</v>
      </c>
      <c r="J65" t="s">
        <v>3045</v>
      </c>
      <c r="K65">
        <v>0.45800000000000002</v>
      </c>
      <c r="Z65">
        <v>788</v>
      </c>
      <c r="AE65" t="s">
        <v>93</v>
      </c>
      <c r="AF65" t="s">
        <v>93</v>
      </c>
      <c r="AK65" t="s">
        <v>93</v>
      </c>
      <c r="AL65" t="s">
        <v>102</v>
      </c>
      <c r="AM65">
        <v>273</v>
      </c>
      <c r="AN65" t="s">
        <v>103</v>
      </c>
      <c r="AO65">
        <v>-4.33</v>
      </c>
      <c r="AP65" t="s">
        <v>95</v>
      </c>
      <c r="AQ65" t="s">
        <v>93</v>
      </c>
      <c r="AR65">
        <v>0.02</v>
      </c>
      <c r="AS65" t="s">
        <v>95</v>
      </c>
      <c r="AT65" t="s">
        <v>93</v>
      </c>
      <c r="AV65" t="s">
        <v>93</v>
      </c>
      <c r="AW65" t="s">
        <v>93</v>
      </c>
      <c r="AX65" t="s">
        <v>93</v>
      </c>
      <c r="AY65" t="s">
        <v>93</v>
      </c>
      <c r="CX65">
        <v>0.45800000000000002</v>
      </c>
    </row>
    <row r="66" spans="1:102" ht="15.75" thickBot="1" x14ac:dyDescent="0.3">
      <c r="A66" t="s">
        <v>2011</v>
      </c>
      <c r="B66" t="s">
        <v>93</v>
      </c>
      <c r="C66" t="s">
        <v>2012</v>
      </c>
      <c r="D66">
        <v>0.51</v>
      </c>
      <c r="F66" t="s">
        <v>93</v>
      </c>
      <c r="G66" t="s">
        <v>2016</v>
      </c>
      <c r="H66" s="7" t="s">
        <v>3076</v>
      </c>
      <c r="I66">
        <v>0.51</v>
      </c>
      <c r="J66" t="s">
        <v>3045</v>
      </c>
      <c r="K66">
        <v>0.49</v>
      </c>
      <c r="Z66">
        <v>789</v>
      </c>
      <c r="AA66">
        <v>0</v>
      </c>
      <c r="AB66" t="s">
        <v>95</v>
      </c>
      <c r="AC66">
        <v>-24.288016670000001</v>
      </c>
      <c r="AD66" t="s">
        <v>95</v>
      </c>
      <c r="AE66" t="s">
        <v>2017</v>
      </c>
      <c r="AF66" t="s">
        <v>93</v>
      </c>
      <c r="AG66">
        <v>3.7571380000000001E-2</v>
      </c>
      <c r="AH66" t="s">
        <v>95</v>
      </c>
      <c r="AI66">
        <v>-24.848040990000001</v>
      </c>
      <c r="AJ66" t="s">
        <v>95</v>
      </c>
      <c r="AK66">
        <v>94482</v>
      </c>
      <c r="AL66" t="s">
        <v>102</v>
      </c>
      <c r="AM66">
        <v>273</v>
      </c>
      <c r="AN66" t="s">
        <v>103</v>
      </c>
      <c r="AO66">
        <v>-4.3899999999999997</v>
      </c>
      <c r="AP66" t="s">
        <v>95</v>
      </c>
      <c r="AQ66" t="s">
        <v>93</v>
      </c>
      <c r="AR66">
        <v>0.02</v>
      </c>
      <c r="AS66" t="s">
        <v>95</v>
      </c>
      <c r="AT66" t="s">
        <v>93</v>
      </c>
      <c r="CX66">
        <v>0.49</v>
      </c>
    </row>
    <row r="67" spans="1:102" ht="15.75" thickBot="1" x14ac:dyDescent="0.3">
      <c r="A67" t="s">
        <v>2011</v>
      </c>
      <c r="B67" t="s">
        <v>93</v>
      </c>
      <c r="C67" t="s">
        <v>2012</v>
      </c>
      <c r="D67">
        <v>0.497</v>
      </c>
      <c r="F67" t="s">
        <v>93</v>
      </c>
      <c r="G67" t="s">
        <v>2018</v>
      </c>
      <c r="H67" s="7" t="s">
        <v>3076</v>
      </c>
      <c r="I67">
        <v>0.497</v>
      </c>
      <c r="J67" t="s">
        <v>3045</v>
      </c>
      <c r="K67">
        <v>0.503</v>
      </c>
      <c r="Z67">
        <v>790</v>
      </c>
      <c r="AA67">
        <v>0</v>
      </c>
      <c r="AB67" t="s">
        <v>95</v>
      </c>
      <c r="AC67">
        <v>-24.288016670000001</v>
      </c>
      <c r="AD67" t="s">
        <v>95</v>
      </c>
      <c r="AE67" t="s">
        <v>2017</v>
      </c>
      <c r="AF67" t="s">
        <v>93</v>
      </c>
      <c r="AG67">
        <v>3.7571380000000001E-2</v>
      </c>
      <c r="AH67" t="s">
        <v>95</v>
      </c>
      <c r="AI67">
        <v>-24.848040990000001</v>
      </c>
      <c r="AJ67" t="s">
        <v>95</v>
      </c>
      <c r="AK67">
        <v>94482</v>
      </c>
      <c r="AL67" t="s">
        <v>102</v>
      </c>
      <c r="AM67">
        <v>273</v>
      </c>
      <c r="AN67" t="s">
        <v>103</v>
      </c>
      <c r="AO67">
        <v>-4.37</v>
      </c>
      <c r="AP67" t="s">
        <v>95</v>
      </c>
      <c r="AQ67" t="s">
        <v>93</v>
      </c>
      <c r="AR67">
        <v>0.03</v>
      </c>
      <c r="AS67" t="s">
        <v>95</v>
      </c>
      <c r="AT67" t="s">
        <v>93</v>
      </c>
      <c r="CX67">
        <v>0.503</v>
      </c>
    </row>
    <row r="68" spans="1:102" ht="15.75" thickBot="1" x14ac:dyDescent="0.3">
      <c r="A68" t="s">
        <v>2011</v>
      </c>
      <c r="B68" t="s">
        <v>93</v>
      </c>
      <c r="C68" t="s">
        <v>2012</v>
      </c>
      <c r="D68">
        <v>0.48499999999999999</v>
      </c>
      <c r="F68" t="s">
        <v>93</v>
      </c>
      <c r="G68" t="s">
        <v>2019</v>
      </c>
      <c r="H68" s="7" t="s">
        <v>3076</v>
      </c>
      <c r="I68">
        <v>0.48499999999999999</v>
      </c>
      <c r="J68" t="s">
        <v>3045</v>
      </c>
      <c r="K68">
        <v>0.51500000000000001</v>
      </c>
      <c r="Z68">
        <v>791</v>
      </c>
      <c r="AA68">
        <v>0</v>
      </c>
      <c r="AB68" t="s">
        <v>95</v>
      </c>
      <c r="AC68">
        <v>-24.288016670000001</v>
      </c>
      <c r="AD68" t="s">
        <v>95</v>
      </c>
      <c r="AE68" t="s">
        <v>2017</v>
      </c>
      <c r="AF68" t="s">
        <v>93</v>
      </c>
      <c r="AG68">
        <v>3.7571380000000001E-2</v>
      </c>
      <c r="AH68" t="s">
        <v>95</v>
      </c>
      <c r="AI68">
        <v>-24.848040990000001</v>
      </c>
      <c r="AJ68" t="s">
        <v>95</v>
      </c>
      <c r="AK68">
        <v>94482</v>
      </c>
      <c r="AL68" t="s">
        <v>102</v>
      </c>
      <c r="AM68">
        <v>273</v>
      </c>
      <c r="AN68" t="s">
        <v>103</v>
      </c>
      <c r="AO68">
        <v>-4.3899999999999997</v>
      </c>
      <c r="AP68" t="s">
        <v>95</v>
      </c>
      <c r="AQ68" t="s">
        <v>93</v>
      </c>
      <c r="AR68">
        <v>0.03</v>
      </c>
      <c r="AS68" t="s">
        <v>95</v>
      </c>
      <c r="AT68" t="s">
        <v>93</v>
      </c>
      <c r="CX68">
        <v>0.51500000000000001</v>
      </c>
    </row>
    <row r="69" spans="1:102" ht="15.75" thickBot="1" x14ac:dyDescent="0.3">
      <c r="A69" t="s">
        <v>2011</v>
      </c>
      <c r="B69" t="s">
        <v>93</v>
      </c>
      <c r="C69" t="s">
        <v>2012</v>
      </c>
      <c r="D69">
        <v>0.48</v>
      </c>
      <c r="F69" t="s">
        <v>93</v>
      </c>
      <c r="G69" t="s">
        <v>2020</v>
      </c>
      <c r="H69" s="7" t="s">
        <v>3076</v>
      </c>
      <c r="I69">
        <v>0.48</v>
      </c>
      <c r="J69" t="s">
        <v>3045</v>
      </c>
      <c r="K69">
        <v>0.54800000000000004</v>
      </c>
      <c r="Z69">
        <v>792</v>
      </c>
      <c r="AA69">
        <v>0</v>
      </c>
      <c r="AB69" t="s">
        <v>95</v>
      </c>
      <c r="AC69">
        <v>-24.288016670000001</v>
      </c>
      <c r="AD69" t="s">
        <v>95</v>
      </c>
      <c r="AE69" t="s">
        <v>2017</v>
      </c>
      <c r="AF69" t="s">
        <v>93</v>
      </c>
      <c r="AG69">
        <v>3.7571380000000001E-2</v>
      </c>
      <c r="AH69" t="s">
        <v>95</v>
      </c>
      <c r="AI69">
        <v>-24.848040990000001</v>
      </c>
      <c r="AJ69" t="s">
        <v>95</v>
      </c>
      <c r="AK69">
        <v>94482</v>
      </c>
      <c r="AL69" t="s">
        <v>102</v>
      </c>
      <c r="AM69">
        <v>273</v>
      </c>
      <c r="AN69" t="s">
        <v>103</v>
      </c>
      <c r="AO69">
        <v>-4.3600000000000003</v>
      </c>
      <c r="AP69" t="s">
        <v>95</v>
      </c>
      <c r="AQ69" t="s">
        <v>93</v>
      </c>
      <c r="AR69">
        <v>0.01</v>
      </c>
      <c r="AS69" t="s">
        <v>95</v>
      </c>
      <c r="AT69" t="s">
        <v>93</v>
      </c>
      <c r="CX69">
        <v>0.52</v>
      </c>
    </row>
    <row r="70" spans="1:102" ht="15.75" thickBot="1" x14ac:dyDescent="0.3">
      <c r="A70" t="s">
        <v>2011</v>
      </c>
      <c r="B70" t="s">
        <v>93</v>
      </c>
      <c r="C70" t="s">
        <v>2012</v>
      </c>
      <c r="D70">
        <v>0.45200000000000001</v>
      </c>
      <c r="F70" t="s">
        <v>93</v>
      </c>
      <c r="G70" t="s">
        <v>2021</v>
      </c>
      <c r="H70" s="7" t="s">
        <v>3076</v>
      </c>
      <c r="I70">
        <v>0.45200000000000001</v>
      </c>
      <c r="J70" t="s">
        <v>3045</v>
      </c>
      <c r="K70">
        <v>0.54800000000000004</v>
      </c>
      <c r="Z70">
        <v>793</v>
      </c>
      <c r="AE70" t="s">
        <v>93</v>
      </c>
      <c r="AF70" t="s">
        <v>93</v>
      </c>
      <c r="AK70" t="s">
        <v>93</v>
      </c>
      <c r="AL70" t="s">
        <v>102</v>
      </c>
      <c r="AM70">
        <v>273</v>
      </c>
      <c r="AN70" t="s">
        <v>103</v>
      </c>
      <c r="AO70">
        <v>-4.28</v>
      </c>
      <c r="AP70" t="s">
        <v>95</v>
      </c>
      <c r="AQ70" t="s">
        <v>93</v>
      </c>
      <c r="AR70">
        <v>0.02</v>
      </c>
      <c r="AS70" t="s">
        <v>95</v>
      </c>
      <c r="AT70" t="s">
        <v>93</v>
      </c>
      <c r="AV70" t="s">
        <v>93</v>
      </c>
      <c r="AW70" t="s">
        <v>93</v>
      </c>
      <c r="AX70" t="s">
        <v>93</v>
      </c>
      <c r="AY70" t="s">
        <v>93</v>
      </c>
      <c r="CX70">
        <v>0.54800000000000004</v>
      </c>
    </row>
    <row r="71" spans="1:102" ht="15.75" thickBot="1" x14ac:dyDescent="0.3">
      <c r="A71" t="s">
        <v>91</v>
      </c>
      <c r="B71" t="s">
        <v>2039</v>
      </c>
      <c r="C71" t="s">
        <v>2033</v>
      </c>
      <c r="G71" t="s">
        <v>2040</v>
      </c>
      <c r="H71" s="7" t="s">
        <v>3083</v>
      </c>
      <c r="I71">
        <v>0.58799999999999997</v>
      </c>
      <c r="J71" t="s">
        <v>3071</v>
      </c>
      <c r="K71">
        <v>0.41199999999999998</v>
      </c>
      <c r="Z71">
        <v>804</v>
      </c>
      <c r="AE71" t="s">
        <v>93</v>
      </c>
      <c r="AF71" t="s">
        <v>93</v>
      </c>
      <c r="AK71" t="s">
        <v>93</v>
      </c>
      <c r="AL71" t="s">
        <v>93</v>
      </c>
      <c r="AM71">
        <v>1273</v>
      </c>
      <c r="AN71" t="s">
        <v>93</v>
      </c>
      <c r="AQ71" t="s">
        <v>93</v>
      </c>
      <c r="AR71">
        <v>2.4</v>
      </c>
      <c r="AS71" t="s">
        <v>95</v>
      </c>
      <c r="AT71" t="s">
        <v>93</v>
      </c>
      <c r="AV71" t="s">
        <v>93</v>
      </c>
      <c r="AW71" t="s">
        <v>93</v>
      </c>
      <c r="AX71" t="s">
        <v>93</v>
      </c>
      <c r="AY71" t="s">
        <v>93</v>
      </c>
      <c r="BD71">
        <v>0.41199999999999998</v>
      </c>
      <c r="BQ71">
        <v>0.58799999999999997</v>
      </c>
      <c r="CU71">
        <v>-60.6</v>
      </c>
      <c r="CV71" t="s">
        <v>95</v>
      </c>
      <c r="CW71" t="s">
        <v>93</v>
      </c>
    </row>
    <row r="72" spans="1:102" ht="15.75" thickBot="1" x14ac:dyDescent="0.3">
      <c r="A72" t="s">
        <v>91</v>
      </c>
      <c r="B72" t="s">
        <v>2053</v>
      </c>
      <c r="C72" t="s">
        <v>2046</v>
      </c>
      <c r="F72" t="s">
        <v>93</v>
      </c>
      <c r="G72" t="s">
        <v>2054</v>
      </c>
      <c r="H72" s="7" t="s">
        <v>3046</v>
      </c>
      <c r="I72">
        <v>0.71</v>
      </c>
      <c r="J72" t="s">
        <v>3059</v>
      </c>
      <c r="K72">
        <v>0.19</v>
      </c>
      <c r="L72" t="s">
        <v>3047</v>
      </c>
      <c r="M72">
        <v>0.1</v>
      </c>
      <c r="Z72">
        <v>810</v>
      </c>
      <c r="AE72" t="s">
        <v>93</v>
      </c>
      <c r="AF72" t="s">
        <v>93</v>
      </c>
      <c r="AK72" t="s">
        <v>93</v>
      </c>
      <c r="AL72" t="s">
        <v>2055</v>
      </c>
      <c r="AM72">
        <v>298</v>
      </c>
      <c r="AN72" t="s">
        <v>179</v>
      </c>
      <c r="AO72">
        <v>-24.6</v>
      </c>
      <c r="AP72" t="s">
        <v>95</v>
      </c>
      <c r="AQ72" t="s">
        <v>93</v>
      </c>
      <c r="AR72">
        <v>1.32</v>
      </c>
      <c r="AS72" t="s">
        <v>95</v>
      </c>
      <c r="AT72" t="s">
        <v>93</v>
      </c>
      <c r="AV72" t="s">
        <v>93</v>
      </c>
      <c r="AW72" t="s">
        <v>93</v>
      </c>
      <c r="AX72" t="s">
        <v>93</v>
      </c>
      <c r="AY72" t="s">
        <v>93</v>
      </c>
      <c r="BF72">
        <v>0.71</v>
      </c>
      <c r="BH72">
        <v>0.19</v>
      </c>
      <c r="CL72">
        <v>0.1</v>
      </c>
    </row>
    <row r="73" spans="1:102" ht="15.75" thickBot="1" x14ac:dyDescent="0.3">
      <c r="A73" t="s">
        <v>91</v>
      </c>
      <c r="B73" t="s">
        <v>2056</v>
      </c>
      <c r="C73" t="s">
        <v>2046</v>
      </c>
      <c r="F73" t="s">
        <v>93</v>
      </c>
      <c r="G73" t="s">
        <v>2057</v>
      </c>
      <c r="H73" s="7" t="s">
        <v>3046</v>
      </c>
      <c r="I73">
        <v>0.31</v>
      </c>
      <c r="J73" t="s">
        <v>3058</v>
      </c>
      <c r="K73">
        <v>0.5</v>
      </c>
      <c r="L73" t="s">
        <v>3061</v>
      </c>
      <c r="M73">
        <v>0.2</v>
      </c>
      <c r="Z73">
        <v>811</v>
      </c>
      <c r="AA73">
        <v>2.9017011300000002</v>
      </c>
      <c r="AB73" t="s">
        <v>95</v>
      </c>
      <c r="AC73">
        <v>-21.46779776</v>
      </c>
      <c r="AD73" t="s">
        <v>95</v>
      </c>
      <c r="AE73" t="s">
        <v>2058</v>
      </c>
      <c r="AF73" t="s">
        <v>93</v>
      </c>
      <c r="AK73" t="s">
        <v>93</v>
      </c>
      <c r="AL73" t="s">
        <v>2059</v>
      </c>
      <c r="AM73">
        <v>298</v>
      </c>
      <c r="AN73" t="s">
        <v>147</v>
      </c>
      <c r="AO73">
        <v>-23.14</v>
      </c>
      <c r="AP73" t="s">
        <v>95</v>
      </c>
      <c r="AQ73" t="s">
        <v>93</v>
      </c>
      <c r="AR73">
        <v>1.34</v>
      </c>
      <c r="AS73" t="s">
        <v>95</v>
      </c>
      <c r="AT73" t="s">
        <v>93</v>
      </c>
      <c r="AX73" t="s">
        <v>93</v>
      </c>
      <c r="AY73" t="s">
        <v>93</v>
      </c>
      <c r="BF73">
        <v>0.79490000000000005</v>
      </c>
      <c r="BG73">
        <v>5.1299999999999998E-2</v>
      </c>
      <c r="CF73">
        <v>0.15379999999999999</v>
      </c>
    </row>
    <row r="74" spans="1:102" ht="15.75" thickBot="1" x14ac:dyDescent="0.3">
      <c r="A74" t="s">
        <v>91</v>
      </c>
      <c r="B74" t="s">
        <v>93</v>
      </c>
      <c r="C74" t="s">
        <v>2089</v>
      </c>
      <c r="G74" t="s">
        <v>2098</v>
      </c>
      <c r="H74" s="7" t="s">
        <v>3046</v>
      </c>
      <c r="I74">
        <v>0.23</v>
      </c>
      <c r="J74" t="s">
        <v>3061</v>
      </c>
      <c r="K74">
        <v>0.02</v>
      </c>
      <c r="L74" t="s">
        <v>3055</v>
      </c>
      <c r="M74">
        <v>0.75</v>
      </c>
      <c r="Z74">
        <v>831</v>
      </c>
      <c r="AE74" t="s">
        <v>93</v>
      </c>
      <c r="AF74" t="s">
        <v>93</v>
      </c>
      <c r="AK74" t="s">
        <v>93</v>
      </c>
      <c r="AL74" t="s">
        <v>1313</v>
      </c>
      <c r="AM74">
        <v>1081</v>
      </c>
      <c r="AN74" t="s">
        <v>179</v>
      </c>
      <c r="AQ74" t="s">
        <v>93</v>
      </c>
      <c r="AR74">
        <v>0.5</v>
      </c>
      <c r="AS74" t="s">
        <v>95</v>
      </c>
      <c r="AT74" t="s">
        <v>93</v>
      </c>
      <c r="AV74" t="s">
        <v>93</v>
      </c>
      <c r="AW74" t="s">
        <v>93</v>
      </c>
      <c r="AX74" t="s">
        <v>93</v>
      </c>
      <c r="AY74" t="s">
        <v>93</v>
      </c>
      <c r="BF74">
        <v>0.23</v>
      </c>
      <c r="BG74">
        <v>0.02</v>
      </c>
      <c r="BO74">
        <v>0.75</v>
      </c>
      <c r="CU74">
        <v>-20.3</v>
      </c>
      <c r="CV74" t="s">
        <v>95</v>
      </c>
      <c r="CW74" t="s">
        <v>93</v>
      </c>
    </row>
    <row r="75" spans="1:102" ht="15.75" thickBot="1" x14ac:dyDescent="0.3">
      <c r="A75" t="s">
        <v>91</v>
      </c>
      <c r="B75" t="s">
        <v>93</v>
      </c>
      <c r="C75" t="s">
        <v>2089</v>
      </c>
      <c r="G75" t="s">
        <v>2099</v>
      </c>
      <c r="H75" s="7" t="s">
        <v>3046</v>
      </c>
      <c r="I75">
        <v>0.27</v>
      </c>
      <c r="J75" t="s">
        <v>3061</v>
      </c>
      <c r="K75">
        <v>0.02</v>
      </c>
      <c r="L75" t="s">
        <v>3055</v>
      </c>
      <c r="M75">
        <v>0.71</v>
      </c>
      <c r="Z75">
        <v>832</v>
      </c>
      <c r="AE75" t="s">
        <v>93</v>
      </c>
      <c r="AF75" t="s">
        <v>93</v>
      </c>
      <c r="AK75" t="s">
        <v>93</v>
      </c>
      <c r="AL75" t="s">
        <v>1313</v>
      </c>
      <c r="AM75">
        <v>1081</v>
      </c>
      <c r="AN75" t="s">
        <v>179</v>
      </c>
      <c r="AQ75" t="s">
        <v>93</v>
      </c>
      <c r="AR75">
        <v>0.4</v>
      </c>
      <c r="AS75" t="s">
        <v>95</v>
      </c>
      <c r="AT75" t="s">
        <v>93</v>
      </c>
      <c r="AV75" t="s">
        <v>93</v>
      </c>
      <c r="AW75" t="s">
        <v>93</v>
      </c>
      <c r="AX75" t="s">
        <v>93</v>
      </c>
      <c r="AY75" t="s">
        <v>93</v>
      </c>
      <c r="BF75">
        <v>0.27</v>
      </c>
      <c r="BG75">
        <v>0.02</v>
      </c>
      <c r="BO75">
        <v>0.71</v>
      </c>
      <c r="CU75">
        <v>-26.4</v>
      </c>
      <c r="CV75" t="s">
        <v>95</v>
      </c>
      <c r="CW75" t="s">
        <v>93</v>
      </c>
    </row>
    <row r="76" spans="1:102" ht="15.75" thickBot="1" x14ac:dyDescent="0.3">
      <c r="A76" t="s">
        <v>91</v>
      </c>
      <c r="B76" t="s">
        <v>93</v>
      </c>
      <c r="C76" t="s">
        <v>2089</v>
      </c>
      <c r="G76" t="s">
        <v>2100</v>
      </c>
      <c r="H76" s="7" t="s">
        <v>3046</v>
      </c>
      <c r="I76">
        <v>0.37</v>
      </c>
      <c r="J76" t="s">
        <v>3061</v>
      </c>
      <c r="K76">
        <v>0.02</v>
      </c>
      <c r="L76" t="s">
        <v>3055</v>
      </c>
      <c r="M76">
        <v>0.61</v>
      </c>
      <c r="Z76">
        <v>833</v>
      </c>
      <c r="AE76" t="s">
        <v>93</v>
      </c>
      <c r="AF76" t="s">
        <v>93</v>
      </c>
      <c r="AK76" t="s">
        <v>93</v>
      </c>
      <c r="AL76" t="s">
        <v>1313</v>
      </c>
      <c r="AM76">
        <v>1081</v>
      </c>
      <c r="AN76" t="s">
        <v>179</v>
      </c>
      <c r="AQ76" t="s">
        <v>93</v>
      </c>
      <c r="AR76">
        <v>1.3</v>
      </c>
      <c r="AS76" t="s">
        <v>95</v>
      </c>
      <c r="AT76" t="s">
        <v>93</v>
      </c>
      <c r="AV76" t="s">
        <v>93</v>
      </c>
      <c r="AW76" t="s">
        <v>93</v>
      </c>
      <c r="AX76" t="s">
        <v>93</v>
      </c>
      <c r="AY76" t="s">
        <v>93</v>
      </c>
      <c r="BF76">
        <v>0.37</v>
      </c>
      <c r="BG76">
        <v>0.02</v>
      </c>
      <c r="BO76">
        <v>0.61</v>
      </c>
      <c r="CU76">
        <v>-33.1</v>
      </c>
      <c r="CV76" t="s">
        <v>95</v>
      </c>
      <c r="CW76" t="s">
        <v>93</v>
      </c>
    </row>
    <row r="77" spans="1:102" ht="15.75" thickBot="1" x14ac:dyDescent="0.3">
      <c r="A77" t="s">
        <v>91</v>
      </c>
      <c r="B77" t="s">
        <v>93</v>
      </c>
      <c r="C77" t="s">
        <v>1319</v>
      </c>
      <c r="F77" t="s">
        <v>93</v>
      </c>
      <c r="G77" t="s">
        <v>2224</v>
      </c>
      <c r="H77" s="7" t="s">
        <v>3080</v>
      </c>
      <c r="I77" t="s">
        <v>3065</v>
      </c>
      <c r="J77">
        <v>1.6</v>
      </c>
      <c r="Z77">
        <v>885</v>
      </c>
      <c r="AE77" t="s">
        <v>93</v>
      </c>
      <c r="AF77" t="s">
        <v>93</v>
      </c>
      <c r="AK77" t="s">
        <v>93</v>
      </c>
      <c r="AL77" t="s">
        <v>479</v>
      </c>
      <c r="AM77">
        <v>298</v>
      </c>
      <c r="AN77" t="s">
        <v>2093</v>
      </c>
      <c r="AO77">
        <v>-76.599999999999994</v>
      </c>
      <c r="AP77" t="s">
        <v>95</v>
      </c>
      <c r="AQ77" t="s">
        <v>93</v>
      </c>
      <c r="AR77">
        <v>1.9</v>
      </c>
      <c r="AS77" t="s">
        <v>95</v>
      </c>
      <c r="AT77" t="s">
        <v>93</v>
      </c>
      <c r="AV77" t="s">
        <v>93</v>
      </c>
      <c r="AW77" t="s">
        <v>93</v>
      </c>
      <c r="AX77" t="s">
        <v>93</v>
      </c>
      <c r="AY77" t="s">
        <v>93</v>
      </c>
      <c r="BA77">
        <v>0.38</v>
      </c>
      <c r="CO77">
        <v>0.62</v>
      </c>
    </row>
    <row r="78" spans="1:102" ht="15.75" thickBot="1" x14ac:dyDescent="0.3">
      <c r="A78" t="s">
        <v>91</v>
      </c>
      <c r="B78" t="s">
        <v>93</v>
      </c>
      <c r="C78" t="s">
        <v>1319</v>
      </c>
      <c r="F78" t="s">
        <v>93</v>
      </c>
      <c r="G78" t="s">
        <v>2228</v>
      </c>
      <c r="H78" s="7" t="s">
        <v>3065</v>
      </c>
      <c r="I78">
        <v>1.6</v>
      </c>
      <c r="J78" t="s">
        <v>3081</v>
      </c>
      <c r="Z78">
        <v>887</v>
      </c>
      <c r="AE78" t="s">
        <v>93</v>
      </c>
      <c r="AF78" t="s">
        <v>93</v>
      </c>
      <c r="AK78" t="s">
        <v>93</v>
      </c>
      <c r="AL78" t="s">
        <v>479</v>
      </c>
      <c r="AM78">
        <v>298</v>
      </c>
      <c r="AN78" t="s">
        <v>2093</v>
      </c>
      <c r="AO78">
        <v>-81.7</v>
      </c>
      <c r="AP78" t="s">
        <v>95</v>
      </c>
      <c r="AQ78" t="s">
        <v>93</v>
      </c>
      <c r="AR78">
        <v>1.7</v>
      </c>
      <c r="AS78" t="s">
        <v>95</v>
      </c>
      <c r="AT78" t="s">
        <v>93</v>
      </c>
      <c r="AV78" t="s">
        <v>93</v>
      </c>
      <c r="AW78" t="s">
        <v>93</v>
      </c>
      <c r="AX78" t="s">
        <v>93</v>
      </c>
      <c r="AY78" t="s">
        <v>93</v>
      </c>
      <c r="BB78">
        <v>0.38</v>
      </c>
      <c r="CO78">
        <v>0.62</v>
      </c>
    </row>
    <row r="79" spans="1:102" ht="15.75" thickBot="1" x14ac:dyDescent="0.3">
      <c r="A79" t="s">
        <v>484</v>
      </c>
      <c r="B79" t="s">
        <v>93</v>
      </c>
      <c r="C79" t="s">
        <v>2308</v>
      </c>
      <c r="F79" t="s">
        <v>93</v>
      </c>
      <c r="G79" t="s">
        <v>2311</v>
      </c>
      <c r="H79" s="7" t="s">
        <v>3060</v>
      </c>
      <c r="I79">
        <v>0.42</v>
      </c>
      <c r="J79" t="s">
        <v>3079</v>
      </c>
      <c r="K79">
        <v>0.16</v>
      </c>
      <c r="L79" t="s">
        <v>3126</v>
      </c>
      <c r="M79">
        <v>0.42</v>
      </c>
      <c r="Z79">
        <v>926</v>
      </c>
      <c r="AE79" t="s">
        <v>93</v>
      </c>
      <c r="AF79" t="s">
        <v>93</v>
      </c>
      <c r="AK79" t="s">
        <v>93</v>
      </c>
      <c r="AL79" t="s">
        <v>93</v>
      </c>
      <c r="AM79">
        <v>298</v>
      </c>
      <c r="AN79" t="s">
        <v>170</v>
      </c>
      <c r="AO79">
        <v>-12</v>
      </c>
      <c r="AP79" t="s">
        <v>95</v>
      </c>
      <c r="AQ79" t="s">
        <v>93</v>
      </c>
      <c r="AR79">
        <v>1</v>
      </c>
      <c r="AS79" t="s">
        <v>95</v>
      </c>
      <c r="AT79" t="s">
        <v>93</v>
      </c>
      <c r="AV79" t="s">
        <v>93</v>
      </c>
      <c r="AW79" t="s">
        <v>93</v>
      </c>
      <c r="AX79" t="s">
        <v>93</v>
      </c>
      <c r="AY79" t="s">
        <v>93</v>
      </c>
      <c r="AZ79">
        <v>0.16</v>
      </c>
      <c r="BG79">
        <v>0.42</v>
      </c>
      <c r="BK79">
        <v>0.42</v>
      </c>
    </row>
    <row r="80" spans="1:102" ht="15.75" thickBot="1" x14ac:dyDescent="0.3">
      <c r="A80" t="s">
        <v>484</v>
      </c>
      <c r="B80" t="s">
        <v>93</v>
      </c>
      <c r="C80" t="s">
        <v>2308</v>
      </c>
      <c r="F80" t="s">
        <v>93</v>
      </c>
      <c r="G80" t="s">
        <v>2314</v>
      </c>
      <c r="H80" s="7" t="s">
        <v>3060</v>
      </c>
      <c r="I80">
        <v>0.57999999999999996</v>
      </c>
      <c r="J80" t="s">
        <v>3079</v>
      </c>
      <c r="K80">
        <v>0.17</v>
      </c>
      <c r="L80" t="s">
        <v>3061</v>
      </c>
      <c r="M80">
        <v>0.25</v>
      </c>
      <c r="Z80">
        <v>928</v>
      </c>
      <c r="AE80" t="s">
        <v>93</v>
      </c>
      <c r="AF80" t="s">
        <v>93</v>
      </c>
      <c r="AK80" t="s">
        <v>93</v>
      </c>
      <c r="AL80" t="s">
        <v>93</v>
      </c>
      <c r="AM80">
        <v>298</v>
      </c>
      <c r="AN80" t="s">
        <v>170</v>
      </c>
      <c r="AO80">
        <v>-8.5</v>
      </c>
      <c r="AP80" t="s">
        <v>95</v>
      </c>
      <c r="AQ80" t="s">
        <v>93</v>
      </c>
      <c r="AR80">
        <v>1.6</v>
      </c>
      <c r="AS80" t="s">
        <v>95</v>
      </c>
      <c r="AT80" t="s">
        <v>93</v>
      </c>
      <c r="AV80" t="s">
        <v>93</v>
      </c>
      <c r="AW80" t="s">
        <v>93</v>
      </c>
      <c r="AX80" t="s">
        <v>93</v>
      </c>
      <c r="AY80" t="s">
        <v>93</v>
      </c>
      <c r="AZ80">
        <v>0.17</v>
      </c>
      <c r="BG80">
        <v>0.25</v>
      </c>
      <c r="BK80">
        <v>0.57999999999999996</v>
      </c>
    </row>
    <row r="81" spans="1:98" ht="15.75" thickBot="1" x14ac:dyDescent="0.3">
      <c r="A81" t="s">
        <v>91</v>
      </c>
      <c r="B81" t="s">
        <v>93</v>
      </c>
      <c r="C81" t="s">
        <v>93</v>
      </c>
      <c r="F81" t="s">
        <v>93</v>
      </c>
      <c r="G81" t="s">
        <v>2471</v>
      </c>
      <c r="H81" s="7" t="s">
        <v>3062</v>
      </c>
      <c r="I81">
        <v>0.55000000000000004</v>
      </c>
      <c r="J81" t="s">
        <v>3061</v>
      </c>
      <c r="K81">
        <v>0.2</v>
      </c>
      <c r="L81" t="s">
        <v>3078</v>
      </c>
      <c r="M81">
        <v>0.25</v>
      </c>
      <c r="Z81">
        <v>1003</v>
      </c>
      <c r="AE81" t="s">
        <v>93</v>
      </c>
      <c r="AF81" t="s">
        <v>93</v>
      </c>
      <c r="AK81" t="s">
        <v>93</v>
      </c>
      <c r="AL81" t="s">
        <v>184</v>
      </c>
      <c r="AM81">
        <v>298</v>
      </c>
      <c r="AN81" t="s">
        <v>185</v>
      </c>
      <c r="AO81">
        <v>-17</v>
      </c>
      <c r="AP81" t="s">
        <v>95</v>
      </c>
      <c r="AQ81" t="s">
        <v>93</v>
      </c>
      <c r="AR81">
        <v>2.8</v>
      </c>
      <c r="AS81" t="s">
        <v>95</v>
      </c>
      <c r="AT81" t="s">
        <v>93</v>
      </c>
      <c r="AV81" t="s">
        <v>93</v>
      </c>
      <c r="AW81" t="s">
        <v>93</v>
      </c>
      <c r="AX81" t="s">
        <v>93</v>
      </c>
      <c r="AY81" t="s">
        <v>93</v>
      </c>
      <c r="BG81">
        <v>0.2</v>
      </c>
      <c r="BL81">
        <v>0.55000000000000004</v>
      </c>
      <c r="CT81">
        <v>0.25</v>
      </c>
    </row>
    <row r="82" spans="1:98" ht="15.75" thickBot="1" x14ac:dyDescent="0.3">
      <c r="A82" t="s">
        <v>91</v>
      </c>
      <c r="B82" t="s">
        <v>93</v>
      </c>
      <c r="C82" t="s">
        <v>93</v>
      </c>
      <c r="F82" t="s">
        <v>93</v>
      </c>
      <c r="G82" t="s">
        <v>2472</v>
      </c>
      <c r="H82" s="7" t="s">
        <v>3062</v>
      </c>
      <c r="I82">
        <v>0.6</v>
      </c>
      <c r="J82" t="s">
        <v>3061</v>
      </c>
      <c r="K82">
        <v>0.15</v>
      </c>
      <c r="L82" t="s">
        <v>3078</v>
      </c>
      <c r="M82">
        <v>0.25</v>
      </c>
      <c r="Z82">
        <v>1004</v>
      </c>
      <c r="AE82" t="s">
        <v>93</v>
      </c>
      <c r="AF82" t="s">
        <v>93</v>
      </c>
      <c r="AK82" t="s">
        <v>93</v>
      </c>
      <c r="AL82" t="s">
        <v>184</v>
      </c>
      <c r="AM82">
        <v>298</v>
      </c>
      <c r="AN82" t="s">
        <v>185</v>
      </c>
      <c r="AO82">
        <v>-12.9</v>
      </c>
      <c r="AP82" t="s">
        <v>95</v>
      </c>
      <c r="AQ82" t="s">
        <v>93</v>
      </c>
      <c r="AR82">
        <v>2.9</v>
      </c>
      <c r="AS82" t="s">
        <v>95</v>
      </c>
      <c r="AT82" t="s">
        <v>93</v>
      </c>
      <c r="AV82" t="s">
        <v>93</v>
      </c>
      <c r="AW82" t="s">
        <v>93</v>
      </c>
      <c r="AX82" t="s">
        <v>93</v>
      </c>
      <c r="AY82" t="s">
        <v>93</v>
      </c>
      <c r="BG82">
        <v>0.15</v>
      </c>
      <c r="BL82">
        <v>0.6</v>
      </c>
      <c r="CT82">
        <v>0.25</v>
      </c>
    </row>
    <row r="83" spans="1:98" ht="15.75" thickBot="1" x14ac:dyDescent="0.3">
      <c r="A83" t="s">
        <v>91</v>
      </c>
      <c r="B83" t="s">
        <v>93</v>
      </c>
      <c r="C83" t="s">
        <v>93</v>
      </c>
      <c r="F83" t="s">
        <v>93</v>
      </c>
      <c r="G83" t="s">
        <v>2834</v>
      </c>
      <c r="H83" s="7" t="s">
        <v>3058</v>
      </c>
      <c r="I83">
        <v>0.2</v>
      </c>
      <c r="J83" t="s">
        <v>3061</v>
      </c>
      <c r="K83">
        <v>0.55000000000000004</v>
      </c>
      <c r="L83" t="s">
        <v>3078</v>
      </c>
      <c r="M83">
        <v>0.25</v>
      </c>
      <c r="Z83">
        <v>1159</v>
      </c>
      <c r="AE83" t="s">
        <v>93</v>
      </c>
      <c r="AF83" t="s">
        <v>93</v>
      </c>
      <c r="AK83" t="s">
        <v>93</v>
      </c>
      <c r="AL83" t="s">
        <v>184</v>
      </c>
      <c r="AM83">
        <v>298</v>
      </c>
      <c r="AN83" t="s">
        <v>185</v>
      </c>
      <c r="AO83">
        <v>-26.6</v>
      </c>
      <c r="AP83" t="s">
        <v>95</v>
      </c>
      <c r="AQ83" t="s">
        <v>93</v>
      </c>
      <c r="AR83">
        <v>1</v>
      </c>
      <c r="AS83" t="s">
        <v>95</v>
      </c>
      <c r="AT83" t="s">
        <v>93</v>
      </c>
      <c r="AV83" t="s">
        <v>93</v>
      </c>
      <c r="AW83" t="s">
        <v>93</v>
      </c>
      <c r="AX83" t="s">
        <v>93</v>
      </c>
      <c r="AY83" t="s">
        <v>93</v>
      </c>
      <c r="BG83">
        <v>0.55000000000000004</v>
      </c>
      <c r="CF83">
        <v>0.2</v>
      </c>
      <c r="CT83">
        <v>0.25</v>
      </c>
    </row>
    <row r="84" spans="1:98" ht="15.75" thickBot="1" x14ac:dyDescent="0.3">
      <c r="A84" t="s">
        <v>91</v>
      </c>
      <c r="B84" t="s">
        <v>93</v>
      </c>
      <c r="C84" t="s">
        <v>93</v>
      </c>
      <c r="F84" t="s">
        <v>93</v>
      </c>
      <c r="G84" t="s">
        <v>2835</v>
      </c>
      <c r="H84" s="7" t="s">
        <v>3058</v>
      </c>
      <c r="I84">
        <v>0.3</v>
      </c>
      <c r="J84" t="s">
        <v>3061</v>
      </c>
      <c r="K84">
        <v>0.45</v>
      </c>
      <c r="L84" t="s">
        <v>3078</v>
      </c>
      <c r="M84">
        <v>0.25</v>
      </c>
      <c r="Z84">
        <v>1160</v>
      </c>
      <c r="AE84" t="s">
        <v>93</v>
      </c>
      <c r="AF84" t="s">
        <v>93</v>
      </c>
      <c r="AK84" t="s">
        <v>93</v>
      </c>
      <c r="AL84" t="s">
        <v>184</v>
      </c>
      <c r="AM84">
        <v>298</v>
      </c>
      <c r="AN84" t="s">
        <v>185</v>
      </c>
      <c r="AO84">
        <v>-27.5</v>
      </c>
      <c r="AP84" t="s">
        <v>95</v>
      </c>
      <c r="AQ84" t="s">
        <v>93</v>
      </c>
      <c r="AR84">
        <v>2.6</v>
      </c>
      <c r="AS84" t="s">
        <v>95</v>
      </c>
      <c r="AT84" t="s">
        <v>93</v>
      </c>
      <c r="AV84" t="s">
        <v>93</v>
      </c>
      <c r="AW84" t="s">
        <v>93</v>
      </c>
      <c r="AX84" t="s">
        <v>93</v>
      </c>
      <c r="AY84" t="s">
        <v>93</v>
      </c>
      <c r="BG84">
        <v>0.45</v>
      </c>
      <c r="CF84">
        <v>0.3</v>
      </c>
      <c r="CT84">
        <v>0.25</v>
      </c>
    </row>
    <row r="85" spans="1:98" ht="15.75" thickBot="1" x14ac:dyDescent="0.3">
      <c r="A85" t="s">
        <v>91</v>
      </c>
      <c r="B85" t="s">
        <v>93</v>
      </c>
      <c r="C85" t="s">
        <v>93</v>
      </c>
      <c r="F85" t="s">
        <v>93</v>
      </c>
      <c r="G85" t="s">
        <v>2836</v>
      </c>
      <c r="H85" s="7" t="s">
        <v>3058</v>
      </c>
      <c r="I85">
        <v>0.35</v>
      </c>
      <c r="J85" t="s">
        <v>3061</v>
      </c>
      <c r="K85">
        <v>0.4</v>
      </c>
      <c r="L85" t="s">
        <v>3078</v>
      </c>
      <c r="M85">
        <v>0.25</v>
      </c>
      <c r="Z85">
        <v>1161</v>
      </c>
      <c r="AE85" t="s">
        <v>93</v>
      </c>
      <c r="AF85" t="s">
        <v>93</v>
      </c>
      <c r="AK85" t="s">
        <v>93</v>
      </c>
      <c r="AL85" t="s">
        <v>184</v>
      </c>
      <c r="AM85">
        <v>298</v>
      </c>
      <c r="AN85" t="s">
        <v>185</v>
      </c>
      <c r="AO85">
        <v>-26.6</v>
      </c>
      <c r="AP85" t="s">
        <v>95</v>
      </c>
      <c r="AQ85" t="s">
        <v>93</v>
      </c>
      <c r="AR85">
        <v>2.6</v>
      </c>
      <c r="AS85" t="s">
        <v>95</v>
      </c>
      <c r="AT85" t="s">
        <v>93</v>
      </c>
      <c r="AV85" t="s">
        <v>93</v>
      </c>
      <c r="AW85" t="s">
        <v>93</v>
      </c>
      <c r="AX85" t="s">
        <v>93</v>
      </c>
      <c r="AY85" t="s">
        <v>93</v>
      </c>
      <c r="BG85">
        <v>0.4</v>
      </c>
      <c r="CF85">
        <v>0.35</v>
      </c>
      <c r="CT85">
        <v>0.25</v>
      </c>
    </row>
    <row r="86" spans="1:98" ht="15.75" thickBot="1" x14ac:dyDescent="0.3">
      <c r="A86" t="s">
        <v>91</v>
      </c>
      <c r="B86" t="s">
        <v>2838</v>
      </c>
      <c r="C86" t="s">
        <v>93</v>
      </c>
      <c r="F86" t="s">
        <v>93</v>
      </c>
      <c r="G86" t="s">
        <v>2839</v>
      </c>
      <c r="H86" s="7" t="s">
        <v>3058</v>
      </c>
      <c r="I86">
        <v>0.35</v>
      </c>
      <c r="J86" t="s">
        <v>3061</v>
      </c>
      <c r="K86">
        <v>0.5</v>
      </c>
      <c r="L86" t="s">
        <v>3078</v>
      </c>
      <c r="M86">
        <v>0.15</v>
      </c>
      <c r="Z86">
        <v>1163</v>
      </c>
      <c r="AE86" t="s">
        <v>93</v>
      </c>
      <c r="AF86" t="s">
        <v>93</v>
      </c>
      <c r="AK86" t="s">
        <v>93</v>
      </c>
      <c r="AL86" t="s">
        <v>184</v>
      </c>
      <c r="AM86">
        <v>298</v>
      </c>
      <c r="AN86" t="s">
        <v>185</v>
      </c>
      <c r="AO86">
        <v>-20.100000000000001</v>
      </c>
      <c r="AP86" t="s">
        <v>95</v>
      </c>
      <c r="AQ86" t="s">
        <v>93</v>
      </c>
      <c r="AR86">
        <v>1.7</v>
      </c>
      <c r="AS86" t="s">
        <v>95</v>
      </c>
      <c r="AT86" t="s">
        <v>93</v>
      </c>
      <c r="AV86" t="s">
        <v>93</v>
      </c>
      <c r="AW86" t="s">
        <v>93</v>
      </c>
      <c r="AX86" t="s">
        <v>93</v>
      </c>
      <c r="AY86" t="s">
        <v>93</v>
      </c>
      <c r="BG86">
        <v>0.5</v>
      </c>
      <c r="CF86">
        <v>0.35</v>
      </c>
      <c r="CT86">
        <v>0.15</v>
      </c>
    </row>
    <row r="87" spans="1:98" ht="15.75" thickBot="1" x14ac:dyDescent="0.3">
      <c r="A87" t="s">
        <v>91</v>
      </c>
      <c r="B87" t="s">
        <v>93</v>
      </c>
      <c r="C87" t="s">
        <v>2901</v>
      </c>
      <c r="F87" t="s">
        <v>93</v>
      </c>
      <c r="G87" t="s">
        <v>2902</v>
      </c>
      <c r="H87" s="7" t="s">
        <v>3060</v>
      </c>
      <c r="I87">
        <v>0.25</v>
      </c>
      <c r="J87" t="s">
        <v>3061</v>
      </c>
      <c r="K87">
        <v>1.75</v>
      </c>
      <c r="L87" t="s">
        <v>3058</v>
      </c>
      <c r="M87" t="s">
        <v>3078</v>
      </c>
      <c r="Z87">
        <v>1186</v>
      </c>
      <c r="AE87" t="s">
        <v>93</v>
      </c>
      <c r="AF87" t="s">
        <v>93</v>
      </c>
      <c r="AK87" t="s">
        <v>93</v>
      </c>
      <c r="AL87" t="s">
        <v>184</v>
      </c>
      <c r="AM87">
        <v>298</v>
      </c>
      <c r="AN87" t="s">
        <v>185</v>
      </c>
      <c r="AO87">
        <v>-19</v>
      </c>
      <c r="AP87" t="s">
        <v>95</v>
      </c>
      <c r="AQ87" t="s">
        <v>93</v>
      </c>
      <c r="AR87">
        <v>1.7</v>
      </c>
      <c r="AS87" t="s">
        <v>95</v>
      </c>
      <c r="AT87" t="s">
        <v>93</v>
      </c>
      <c r="AV87" t="s">
        <v>93</v>
      </c>
      <c r="AW87" t="s">
        <v>93</v>
      </c>
      <c r="AX87" t="s">
        <v>93</v>
      </c>
      <c r="AY87" t="s">
        <v>93</v>
      </c>
      <c r="BG87">
        <v>0.4375</v>
      </c>
      <c r="BK87">
        <v>6.25E-2</v>
      </c>
      <c r="CF87">
        <v>0.25</v>
      </c>
      <c r="CT87">
        <v>0.25</v>
      </c>
    </row>
    <row r="88" spans="1:98" ht="15.75" thickBot="1" x14ac:dyDescent="0.3">
      <c r="A88" t="s">
        <v>91</v>
      </c>
      <c r="B88" t="s">
        <v>93</v>
      </c>
      <c r="C88" t="s">
        <v>2901</v>
      </c>
      <c r="F88" t="s">
        <v>93</v>
      </c>
      <c r="G88" t="s">
        <v>2903</v>
      </c>
      <c r="H88" s="7" t="s">
        <v>3060</v>
      </c>
      <c r="I88">
        <v>0.125</v>
      </c>
      <c r="J88" t="s">
        <v>3058</v>
      </c>
      <c r="K88">
        <v>0.25</v>
      </c>
      <c r="L88" t="s">
        <v>3061</v>
      </c>
      <c r="M88">
        <v>0.375</v>
      </c>
      <c r="N88" t="s">
        <v>3078</v>
      </c>
      <c r="O88">
        <v>0.25</v>
      </c>
      <c r="Z88">
        <v>1187</v>
      </c>
      <c r="AE88" t="s">
        <v>93</v>
      </c>
      <c r="AF88" t="s">
        <v>93</v>
      </c>
      <c r="AK88" t="s">
        <v>93</v>
      </c>
      <c r="AL88" t="s">
        <v>184</v>
      </c>
      <c r="AM88">
        <v>298</v>
      </c>
      <c r="AN88" t="s">
        <v>185</v>
      </c>
      <c r="AO88">
        <v>-17.899999999999999</v>
      </c>
      <c r="AP88" t="s">
        <v>95</v>
      </c>
      <c r="AQ88" t="s">
        <v>93</v>
      </c>
      <c r="AR88">
        <v>1.2</v>
      </c>
      <c r="AS88" t="s">
        <v>95</v>
      </c>
      <c r="AT88" t="s">
        <v>93</v>
      </c>
      <c r="AV88" t="s">
        <v>93</v>
      </c>
      <c r="AW88" t="s">
        <v>93</v>
      </c>
      <c r="AX88" t="s">
        <v>93</v>
      </c>
      <c r="AY88" t="s">
        <v>93</v>
      </c>
      <c r="BG88">
        <v>0.375</v>
      </c>
      <c r="BK88">
        <v>0.125</v>
      </c>
      <c r="CF88">
        <v>0.25</v>
      </c>
      <c r="CT88">
        <v>0.25</v>
      </c>
    </row>
    <row r="89" spans="1:98" ht="15.75" thickBot="1" x14ac:dyDescent="0.3">
      <c r="A89" t="s">
        <v>91</v>
      </c>
      <c r="B89" t="s">
        <v>93</v>
      </c>
      <c r="C89" t="s">
        <v>2901</v>
      </c>
      <c r="F89" t="s">
        <v>93</v>
      </c>
      <c r="G89" t="s">
        <v>2904</v>
      </c>
      <c r="H89" s="7" t="s">
        <v>3060</v>
      </c>
      <c r="I89">
        <v>0.75</v>
      </c>
      <c r="J89" t="s">
        <v>3061</v>
      </c>
      <c r="K89">
        <v>1.25</v>
      </c>
      <c r="L89" t="s">
        <v>3058</v>
      </c>
      <c r="M89" t="s">
        <v>3078</v>
      </c>
      <c r="Z89">
        <v>1188</v>
      </c>
      <c r="AE89" t="s">
        <v>93</v>
      </c>
      <c r="AF89" t="s">
        <v>93</v>
      </c>
      <c r="AK89" t="s">
        <v>93</v>
      </c>
      <c r="AL89" t="s">
        <v>184</v>
      </c>
      <c r="AM89">
        <v>298</v>
      </c>
      <c r="AN89" t="s">
        <v>185</v>
      </c>
      <c r="AO89">
        <v>-21.8</v>
      </c>
      <c r="AP89" t="s">
        <v>95</v>
      </c>
      <c r="AQ89" t="s">
        <v>93</v>
      </c>
      <c r="AR89">
        <v>4</v>
      </c>
      <c r="AS89" t="s">
        <v>95</v>
      </c>
      <c r="AT89" t="s">
        <v>93</v>
      </c>
      <c r="AV89" t="s">
        <v>93</v>
      </c>
      <c r="AW89" t="s">
        <v>93</v>
      </c>
      <c r="AX89" t="s">
        <v>93</v>
      </c>
      <c r="AY89" t="s">
        <v>93</v>
      </c>
      <c r="BG89">
        <v>0.3125</v>
      </c>
      <c r="BK89">
        <v>0.1875</v>
      </c>
      <c r="CF89">
        <v>0.25</v>
      </c>
      <c r="CT89">
        <v>0.25</v>
      </c>
    </row>
    <row r="90" spans="1:98" ht="15.75" thickBot="1" x14ac:dyDescent="0.3">
      <c r="A90" t="s">
        <v>91</v>
      </c>
      <c r="B90" t="s">
        <v>93</v>
      </c>
      <c r="C90" t="s">
        <v>2901</v>
      </c>
      <c r="F90" t="s">
        <v>93</v>
      </c>
      <c r="G90" t="s">
        <v>2907</v>
      </c>
      <c r="H90" s="7" t="s">
        <v>3060</v>
      </c>
      <c r="I90">
        <v>1.25</v>
      </c>
      <c r="J90" t="s">
        <v>3061</v>
      </c>
      <c r="K90">
        <v>0.25</v>
      </c>
      <c r="L90" t="s">
        <v>3058</v>
      </c>
      <c r="M90" t="s">
        <v>3078</v>
      </c>
      <c r="Z90">
        <v>1190</v>
      </c>
      <c r="AE90" t="s">
        <v>93</v>
      </c>
      <c r="AF90" t="s">
        <v>93</v>
      </c>
      <c r="AK90" t="s">
        <v>93</v>
      </c>
      <c r="AL90" t="s">
        <v>184</v>
      </c>
      <c r="AM90">
        <v>298</v>
      </c>
      <c r="AN90" t="s">
        <v>185</v>
      </c>
      <c r="AO90">
        <v>-21.2</v>
      </c>
      <c r="AP90" t="s">
        <v>95</v>
      </c>
      <c r="AQ90" t="s">
        <v>93</v>
      </c>
      <c r="AR90">
        <v>3.6</v>
      </c>
      <c r="AS90" t="s">
        <v>95</v>
      </c>
      <c r="AT90" t="s">
        <v>93</v>
      </c>
      <c r="AV90" t="s">
        <v>93</v>
      </c>
      <c r="AW90" t="s">
        <v>93</v>
      </c>
      <c r="AX90" t="s">
        <v>93</v>
      </c>
      <c r="AY90" t="s">
        <v>93</v>
      </c>
      <c r="BG90">
        <v>0.1875</v>
      </c>
      <c r="BK90">
        <v>0.3125</v>
      </c>
      <c r="CF90">
        <v>0.25</v>
      </c>
      <c r="CT90">
        <v>0.25</v>
      </c>
    </row>
    <row r="91" spans="1:98" ht="15.75" thickBot="1" x14ac:dyDescent="0.3">
      <c r="A91" t="s">
        <v>91</v>
      </c>
      <c r="B91" t="s">
        <v>93</v>
      </c>
      <c r="C91" t="s">
        <v>2901</v>
      </c>
      <c r="F91" t="s">
        <v>93</v>
      </c>
      <c r="G91" t="s">
        <v>2908</v>
      </c>
      <c r="H91" s="7" t="s">
        <v>3060</v>
      </c>
      <c r="I91">
        <v>0.375</v>
      </c>
      <c r="J91" t="s">
        <v>3058</v>
      </c>
      <c r="K91">
        <v>0.25</v>
      </c>
      <c r="L91" t="s">
        <v>3061</v>
      </c>
      <c r="M91">
        <v>0.125</v>
      </c>
      <c r="N91" t="s">
        <v>3078</v>
      </c>
      <c r="O91">
        <v>0.25</v>
      </c>
      <c r="Z91">
        <v>1191</v>
      </c>
      <c r="AE91" t="s">
        <v>93</v>
      </c>
      <c r="AF91" t="s">
        <v>93</v>
      </c>
      <c r="AK91" t="s">
        <v>93</v>
      </c>
      <c r="AL91" t="s">
        <v>184</v>
      </c>
      <c r="AM91">
        <v>298</v>
      </c>
      <c r="AN91" t="s">
        <v>185</v>
      </c>
      <c r="AO91">
        <v>-23</v>
      </c>
      <c r="AP91" t="s">
        <v>95</v>
      </c>
      <c r="AQ91" t="s">
        <v>93</v>
      </c>
      <c r="AR91">
        <v>2.2999999999999998</v>
      </c>
      <c r="AS91" t="s">
        <v>95</v>
      </c>
      <c r="AT91" t="s">
        <v>93</v>
      </c>
      <c r="AV91" t="s">
        <v>93</v>
      </c>
      <c r="AW91" t="s">
        <v>93</v>
      </c>
      <c r="AX91" t="s">
        <v>93</v>
      </c>
      <c r="AY91" t="s">
        <v>93</v>
      </c>
      <c r="BG91">
        <v>0.125</v>
      </c>
      <c r="BK91">
        <v>0.375</v>
      </c>
      <c r="CF91">
        <v>0.25</v>
      </c>
      <c r="CT91">
        <v>0.25</v>
      </c>
    </row>
    <row r="92" spans="1:98" ht="15.75" thickBot="1" x14ac:dyDescent="0.3">
      <c r="A92" t="s">
        <v>91</v>
      </c>
      <c r="B92" t="s">
        <v>93</v>
      </c>
      <c r="C92" t="s">
        <v>2901</v>
      </c>
      <c r="F92" t="s">
        <v>93</v>
      </c>
      <c r="G92" t="s">
        <v>2909</v>
      </c>
      <c r="H92" s="7" t="s">
        <v>3060</v>
      </c>
      <c r="I92">
        <v>1.75</v>
      </c>
      <c r="J92" t="s">
        <v>3061</v>
      </c>
      <c r="K92">
        <v>0.25</v>
      </c>
      <c r="L92" t="s">
        <v>3058</v>
      </c>
      <c r="M92" t="s">
        <v>3078</v>
      </c>
      <c r="Z92">
        <v>1192</v>
      </c>
      <c r="AE92" t="s">
        <v>93</v>
      </c>
      <c r="AF92" t="s">
        <v>93</v>
      </c>
      <c r="AK92" t="s">
        <v>93</v>
      </c>
      <c r="AL92" t="s">
        <v>184</v>
      </c>
      <c r="AM92">
        <v>298</v>
      </c>
      <c r="AN92" t="s">
        <v>185</v>
      </c>
      <c r="AO92">
        <v>-24.9</v>
      </c>
      <c r="AP92" t="s">
        <v>95</v>
      </c>
      <c r="AQ92" t="s">
        <v>93</v>
      </c>
      <c r="AR92">
        <v>3.1</v>
      </c>
      <c r="AS92" t="s">
        <v>95</v>
      </c>
      <c r="AT92" t="s">
        <v>93</v>
      </c>
      <c r="AV92" t="s">
        <v>93</v>
      </c>
      <c r="AW92" t="s">
        <v>93</v>
      </c>
      <c r="AX92" t="s">
        <v>93</v>
      </c>
      <c r="AY92" t="s">
        <v>93</v>
      </c>
      <c r="BG92">
        <v>6.25E-2</v>
      </c>
      <c r="BK92">
        <v>0.4375</v>
      </c>
      <c r="CF92">
        <v>0.25</v>
      </c>
      <c r="CT92">
        <v>0.25</v>
      </c>
    </row>
    <row r="93" spans="1:98" ht="15.75" thickBot="1" x14ac:dyDescent="0.3">
      <c r="A93" t="s">
        <v>91</v>
      </c>
      <c r="B93" t="s">
        <v>93</v>
      </c>
      <c r="C93" t="s">
        <v>93</v>
      </c>
      <c r="F93" t="s">
        <v>93</v>
      </c>
      <c r="G93" t="s">
        <v>2910</v>
      </c>
      <c r="H93" s="7" t="s">
        <v>3061</v>
      </c>
      <c r="I93">
        <v>2</v>
      </c>
      <c r="J93" t="s">
        <v>3058</v>
      </c>
      <c r="K93">
        <v>0.25</v>
      </c>
      <c r="L93" t="s">
        <v>3055</v>
      </c>
      <c r="M93">
        <v>0.75</v>
      </c>
      <c r="N93" t="s">
        <v>3078</v>
      </c>
      <c r="Z93">
        <v>1193</v>
      </c>
      <c r="AE93" t="s">
        <v>93</v>
      </c>
      <c r="AF93" t="s">
        <v>93</v>
      </c>
      <c r="AK93" t="s">
        <v>93</v>
      </c>
      <c r="AL93" t="s">
        <v>184</v>
      </c>
      <c r="AM93">
        <v>298</v>
      </c>
      <c r="AN93" t="s">
        <v>185</v>
      </c>
      <c r="AO93">
        <v>-42</v>
      </c>
      <c r="AP93" t="s">
        <v>95</v>
      </c>
      <c r="AQ93" t="s">
        <v>93</v>
      </c>
      <c r="AR93">
        <v>1.7</v>
      </c>
      <c r="AS93" t="s">
        <v>95</v>
      </c>
      <c r="AT93" t="s">
        <v>93</v>
      </c>
      <c r="AV93" t="s">
        <v>93</v>
      </c>
      <c r="AW93" t="s">
        <v>93</v>
      </c>
      <c r="AX93" t="s">
        <v>93</v>
      </c>
      <c r="AY93" t="s">
        <v>93</v>
      </c>
      <c r="BG93">
        <v>0.5</v>
      </c>
      <c r="BO93">
        <v>0.1875</v>
      </c>
      <c r="CF93">
        <v>6.25E-2</v>
      </c>
      <c r="CT93">
        <v>0.25</v>
      </c>
    </row>
    <row r="94" spans="1:98" ht="15.75" thickBot="1" x14ac:dyDescent="0.3">
      <c r="A94" t="s">
        <v>91</v>
      </c>
      <c r="B94" t="s">
        <v>93</v>
      </c>
      <c r="C94" t="s">
        <v>93</v>
      </c>
      <c r="F94" t="s">
        <v>93</v>
      </c>
      <c r="G94" t="s">
        <v>2911</v>
      </c>
      <c r="H94" s="7" t="s">
        <v>3061</v>
      </c>
      <c r="I94">
        <v>2</v>
      </c>
      <c r="J94" t="s">
        <v>3058</v>
      </c>
      <c r="K94">
        <v>0.5</v>
      </c>
      <c r="L94" t="s">
        <v>3055</v>
      </c>
      <c r="M94">
        <v>0.5</v>
      </c>
      <c r="N94" t="s">
        <v>3078</v>
      </c>
      <c r="Z94">
        <v>1194</v>
      </c>
      <c r="AE94" t="s">
        <v>93</v>
      </c>
      <c r="AF94" t="s">
        <v>93</v>
      </c>
      <c r="AK94" t="s">
        <v>93</v>
      </c>
      <c r="AL94" t="s">
        <v>184</v>
      </c>
      <c r="AM94">
        <v>298</v>
      </c>
      <c r="AN94" t="s">
        <v>185</v>
      </c>
      <c r="AO94">
        <v>-33.299999999999997</v>
      </c>
      <c r="AP94" t="s">
        <v>95</v>
      </c>
      <c r="AQ94" t="s">
        <v>93</v>
      </c>
      <c r="AR94">
        <v>1.5</v>
      </c>
      <c r="AS94" t="s">
        <v>95</v>
      </c>
      <c r="AT94" t="s">
        <v>93</v>
      </c>
      <c r="AV94" t="s">
        <v>93</v>
      </c>
      <c r="AW94" t="s">
        <v>93</v>
      </c>
      <c r="AX94" t="s">
        <v>93</v>
      </c>
      <c r="AY94" t="s">
        <v>93</v>
      </c>
      <c r="BG94">
        <v>0.5</v>
      </c>
      <c r="BO94">
        <v>0.125</v>
      </c>
      <c r="CF94">
        <v>0.125</v>
      </c>
      <c r="CT94">
        <v>0.25</v>
      </c>
    </row>
    <row r="95" spans="1:98" ht="15.75" thickBot="1" x14ac:dyDescent="0.3">
      <c r="A95" t="s">
        <v>91</v>
      </c>
      <c r="B95" t="s">
        <v>93</v>
      </c>
      <c r="C95" t="s">
        <v>93</v>
      </c>
      <c r="F95" t="s">
        <v>93</v>
      </c>
      <c r="G95" t="s">
        <v>2912</v>
      </c>
      <c r="H95" s="7" t="s">
        <v>3061</v>
      </c>
      <c r="I95">
        <v>2</v>
      </c>
      <c r="J95" t="s">
        <v>3058</v>
      </c>
      <c r="K95">
        <v>0.75</v>
      </c>
      <c r="L95" t="s">
        <v>3055</v>
      </c>
      <c r="M95">
        <v>0.25</v>
      </c>
      <c r="N95" t="s">
        <v>3078</v>
      </c>
      <c r="Z95">
        <v>1195</v>
      </c>
      <c r="AE95" t="s">
        <v>93</v>
      </c>
      <c r="AF95" t="s">
        <v>93</v>
      </c>
      <c r="AK95" t="s">
        <v>93</v>
      </c>
      <c r="AL95" t="s">
        <v>184</v>
      </c>
      <c r="AM95">
        <v>298</v>
      </c>
      <c r="AN95" t="s">
        <v>185</v>
      </c>
      <c r="AO95">
        <v>-33.299999999999997</v>
      </c>
      <c r="AP95" t="s">
        <v>95</v>
      </c>
      <c r="AQ95" t="s">
        <v>93</v>
      </c>
      <c r="AR95">
        <v>1.8</v>
      </c>
      <c r="AS95" t="s">
        <v>95</v>
      </c>
      <c r="AT95" t="s">
        <v>93</v>
      </c>
      <c r="AV95" t="s">
        <v>93</v>
      </c>
      <c r="AW95" t="s">
        <v>93</v>
      </c>
      <c r="AX95" t="s">
        <v>93</v>
      </c>
      <c r="AY95" t="s">
        <v>93</v>
      </c>
      <c r="BG95">
        <v>0.5</v>
      </c>
      <c r="BO95">
        <v>6.25E-2</v>
      </c>
      <c r="CF95">
        <v>0.1875</v>
      </c>
      <c r="CT95">
        <v>0.25</v>
      </c>
    </row>
    <row r="96" spans="1:98" ht="15.75" thickBot="1" x14ac:dyDescent="0.3">
      <c r="A96" t="s">
        <v>91</v>
      </c>
      <c r="B96" t="s">
        <v>93</v>
      </c>
      <c r="C96" t="s">
        <v>2901</v>
      </c>
      <c r="F96" t="s">
        <v>93</v>
      </c>
      <c r="G96" t="s">
        <v>2913</v>
      </c>
      <c r="H96" s="7" t="s">
        <v>3061</v>
      </c>
      <c r="I96">
        <v>0.25</v>
      </c>
      <c r="J96" t="s">
        <v>3075</v>
      </c>
      <c r="K96">
        <v>1.75</v>
      </c>
      <c r="L96" t="s">
        <v>3058</v>
      </c>
      <c r="M96" t="s">
        <v>3078</v>
      </c>
      <c r="Z96">
        <v>1196</v>
      </c>
      <c r="AE96" t="s">
        <v>93</v>
      </c>
      <c r="AF96" t="s">
        <v>93</v>
      </c>
      <c r="AK96" t="s">
        <v>93</v>
      </c>
      <c r="AL96" t="s">
        <v>184</v>
      </c>
      <c r="AM96">
        <v>298</v>
      </c>
      <c r="AN96" t="s">
        <v>185</v>
      </c>
      <c r="AO96">
        <v>-51.8</v>
      </c>
      <c r="AP96" t="s">
        <v>95</v>
      </c>
      <c r="AQ96" t="s">
        <v>93</v>
      </c>
      <c r="AR96">
        <v>3.7</v>
      </c>
      <c r="AS96" t="s">
        <v>95</v>
      </c>
      <c r="AT96" t="s">
        <v>93</v>
      </c>
      <c r="AV96" t="s">
        <v>93</v>
      </c>
      <c r="AW96" t="s">
        <v>93</v>
      </c>
      <c r="AX96" t="s">
        <v>93</v>
      </c>
      <c r="AY96" t="s">
        <v>93</v>
      </c>
      <c r="BG96">
        <v>6.25E-2</v>
      </c>
      <c r="BN96">
        <v>0.4375</v>
      </c>
      <c r="CF96">
        <v>0.25</v>
      </c>
      <c r="CT96">
        <v>0.25</v>
      </c>
    </row>
    <row r="97" spans="1:98" ht="15.75" thickBot="1" x14ac:dyDescent="0.3">
      <c r="A97" t="s">
        <v>91</v>
      </c>
      <c r="B97" t="s">
        <v>93</v>
      </c>
      <c r="C97" t="s">
        <v>2901</v>
      </c>
      <c r="F97" t="s">
        <v>93</v>
      </c>
      <c r="G97" t="s">
        <v>2914</v>
      </c>
      <c r="H97" s="7" t="s">
        <v>3058</v>
      </c>
      <c r="I97">
        <v>0.25</v>
      </c>
      <c r="J97" t="s">
        <v>3061</v>
      </c>
      <c r="K97">
        <v>0.125</v>
      </c>
      <c r="L97" t="s">
        <v>3075</v>
      </c>
      <c r="M97">
        <v>0.375</v>
      </c>
      <c r="N97" t="s">
        <v>3078</v>
      </c>
      <c r="O97">
        <v>0.25</v>
      </c>
      <c r="Z97">
        <v>1197</v>
      </c>
      <c r="AE97" t="s">
        <v>93</v>
      </c>
      <c r="AF97" t="s">
        <v>93</v>
      </c>
      <c r="AK97" t="s">
        <v>93</v>
      </c>
      <c r="AL97" t="s">
        <v>184</v>
      </c>
      <c r="AM97">
        <v>298</v>
      </c>
      <c r="AN97" t="s">
        <v>185</v>
      </c>
      <c r="AO97">
        <v>-47</v>
      </c>
      <c r="AP97" t="s">
        <v>95</v>
      </c>
      <c r="AQ97" t="s">
        <v>93</v>
      </c>
      <c r="AR97">
        <v>1.1000000000000001</v>
      </c>
      <c r="AS97" t="s">
        <v>95</v>
      </c>
      <c r="AT97" t="s">
        <v>93</v>
      </c>
      <c r="AV97" t="s">
        <v>93</v>
      </c>
      <c r="AW97" t="s">
        <v>93</v>
      </c>
      <c r="AX97" t="s">
        <v>93</v>
      </c>
      <c r="AY97" t="s">
        <v>93</v>
      </c>
      <c r="BG97">
        <v>0.125</v>
      </c>
      <c r="BN97">
        <v>0.375</v>
      </c>
      <c r="CF97">
        <v>0.25</v>
      </c>
      <c r="CT97">
        <v>0.25</v>
      </c>
    </row>
    <row r="98" spans="1:98" ht="15.75" thickBot="1" x14ac:dyDescent="0.3">
      <c r="A98" t="s">
        <v>91</v>
      </c>
      <c r="B98" t="s">
        <v>93</v>
      </c>
      <c r="C98" t="s">
        <v>2901</v>
      </c>
      <c r="F98" t="s">
        <v>93</v>
      </c>
      <c r="G98" t="s">
        <v>2915</v>
      </c>
      <c r="H98" s="7" t="s">
        <v>3058</v>
      </c>
      <c r="I98">
        <v>0.25</v>
      </c>
      <c r="J98" t="s">
        <v>3061</v>
      </c>
      <c r="K98">
        <v>0.1875</v>
      </c>
      <c r="L98" t="s">
        <v>3075</v>
      </c>
      <c r="M98">
        <v>0.3125</v>
      </c>
      <c r="N98" t="s">
        <v>3078</v>
      </c>
      <c r="O98">
        <v>0.25</v>
      </c>
      <c r="Z98">
        <v>1198</v>
      </c>
      <c r="AE98" t="s">
        <v>93</v>
      </c>
      <c r="AF98" t="s">
        <v>93</v>
      </c>
      <c r="AK98" t="s">
        <v>93</v>
      </c>
      <c r="AL98" t="s">
        <v>184</v>
      </c>
      <c r="AM98">
        <v>298</v>
      </c>
      <c r="AN98" t="s">
        <v>185</v>
      </c>
      <c r="AO98">
        <v>-42.4</v>
      </c>
      <c r="AP98" t="s">
        <v>95</v>
      </c>
      <c r="AQ98" t="s">
        <v>93</v>
      </c>
      <c r="AR98">
        <v>2.5</v>
      </c>
      <c r="AS98" t="s">
        <v>95</v>
      </c>
      <c r="AT98" t="s">
        <v>93</v>
      </c>
      <c r="AV98" t="s">
        <v>93</v>
      </c>
      <c r="AW98" t="s">
        <v>93</v>
      </c>
      <c r="AX98" t="s">
        <v>93</v>
      </c>
      <c r="AY98" t="s">
        <v>93</v>
      </c>
      <c r="BG98">
        <v>0.1875</v>
      </c>
      <c r="BN98">
        <v>0.3125</v>
      </c>
      <c r="CF98">
        <v>0.25</v>
      </c>
      <c r="CT98">
        <v>0.25</v>
      </c>
    </row>
    <row r="99" spans="1:98" ht="15.75" thickBot="1" x14ac:dyDescent="0.3">
      <c r="A99" t="s">
        <v>91</v>
      </c>
      <c r="B99" t="s">
        <v>93</v>
      </c>
      <c r="C99" t="s">
        <v>2901</v>
      </c>
      <c r="F99" t="s">
        <v>93</v>
      </c>
      <c r="G99" t="s">
        <v>2918</v>
      </c>
      <c r="H99" s="7" t="s">
        <v>3058</v>
      </c>
      <c r="I99">
        <v>0.25</v>
      </c>
      <c r="J99" t="s">
        <v>3061</v>
      </c>
      <c r="K99">
        <v>0.3125</v>
      </c>
      <c r="L99" t="s">
        <v>3075</v>
      </c>
      <c r="M99">
        <v>0.1875</v>
      </c>
      <c r="N99" t="s">
        <v>3078</v>
      </c>
      <c r="O99">
        <v>0.25</v>
      </c>
      <c r="Z99">
        <v>1200</v>
      </c>
      <c r="AE99" t="s">
        <v>93</v>
      </c>
      <c r="AF99" t="s">
        <v>93</v>
      </c>
      <c r="AK99" t="s">
        <v>93</v>
      </c>
      <c r="AL99" t="s">
        <v>184</v>
      </c>
      <c r="AM99">
        <v>298</v>
      </c>
      <c r="AN99" t="s">
        <v>185</v>
      </c>
      <c r="AO99">
        <v>-30.8</v>
      </c>
      <c r="AP99" t="s">
        <v>95</v>
      </c>
      <c r="AQ99" t="s">
        <v>93</v>
      </c>
      <c r="AR99">
        <v>2.2000000000000002</v>
      </c>
      <c r="AS99" t="s">
        <v>95</v>
      </c>
      <c r="AT99" t="s">
        <v>93</v>
      </c>
      <c r="AV99" t="s">
        <v>93</v>
      </c>
      <c r="AW99" t="s">
        <v>93</v>
      </c>
      <c r="AX99" t="s">
        <v>93</v>
      </c>
      <c r="AY99" t="s">
        <v>93</v>
      </c>
      <c r="BG99">
        <v>0.3125</v>
      </c>
      <c r="BN99">
        <v>0.1875</v>
      </c>
      <c r="CF99">
        <v>0.25</v>
      </c>
      <c r="CT99">
        <v>0.25</v>
      </c>
    </row>
    <row r="100" spans="1:98" ht="15.75" thickBot="1" x14ac:dyDescent="0.3">
      <c r="A100" t="s">
        <v>91</v>
      </c>
      <c r="B100" t="s">
        <v>93</v>
      </c>
      <c r="C100" t="s">
        <v>2901</v>
      </c>
      <c r="F100" t="s">
        <v>93</v>
      </c>
      <c r="G100" t="s">
        <v>2919</v>
      </c>
      <c r="H100" s="7" t="s">
        <v>3058</v>
      </c>
      <c r="I100">
        <v>0.25</v>
      </c>
      <c r="J100" t="s">
        <v>3061</v>
      </c>
      <c r="K100">
        <v>0.375</v>
      </c>
      <c r="L100" t="s">
        <v>3075</v>
      </c>
      <c r="M100">
        <v>0.125</v>
      </c>
      <c r="N100" t="s">
        <v>3078</v>
      </c>
      <c r="O100">
        <v>0.25</v>
      </c>
      <c r="Z100">
        <v>1201</v>
      </c>
      <c r="AE100" t="s">
        <v>93</v>
      </c>
      <c r="AF100" t="s">
        <v>93</v>
      </c>
      <c r="AK100" t="s">
        <v>93</v>
      </c>
      <c r="AL100" t="s">
        <v>184</v>
      </c>
      <c r="AM100">
        <v>298</v>
      </c>
      <c r="AN100" t="s">
        <v>185</v>
      </c>
      <c r="AO100">
        <v>-28.8</v>
      </c>
      <c r="AP100" t="s">
        <v>95</v>
      </c>
      <c r="AQ100" t="s">
        <v>93</v>
      </c>
      <c r="AR100">
        <v>1.4</v>
      </c>
      <c r="AS100" t="s">
        <v>95</v>
      </c>
      <c r="AT100" t="s">
        <v>93</v>
      </c>
      <c r="AV100" t="s">
        <v>93</v>
      </c>
      <c r="AW100" t="s">
        <v>93</v>
      </c>
      <c r="AX100" t="s">
        <v>93</v>
      </c>
      <c r="AY100" t="s">
        <v>93</v>
      </c>
      <c r="BG100">
        <v>0.375</v>
      </c>
      <c r="BN100">
        <v>0.125</v>
      </c>
      <c r="CF100">
        <v>0.25</v>
      </c>
      <c r="CT100">
        <v>0.25</v>
      </c>
    </row>
    <row r="101" spans="1:98" ht="15.75" thickBot="1" x14ac:dyDescent="0.3">
      <c r="A101" t="s">
        <v>91</v>
      </c>
      <c r="B101" t="s">
        <v>93</v>
      </c>
      <c r="C101" t="s">
        <v>2901</v>
      </c>
      <c r="F101" t="s">
        <v>93</v>
      </c>
      <c r="G101" t="s">
        <v>2920</v>
      </c>
      <c r="H101" s="7" t="s">
        <v>3058</v>
      </c>
      <c r="I101">
        <v>0.25</v>
      </c>
      <c r="J101" t="s">
        <v>3061</v>
      </c>
      <c r="K101">
        <v>0.4375</v>
      </c>
      <c r="L101" t="s">
        <v>3075</v>
      </c>
      <c r="M101">
        <v>0.625</v>
      </c>
      <c r="N101" t="s">
        <v>3078</v>
      </c>
      <c r="O101">
        <v>0.25</v>
      </c>
      <c r="Z101">
        <v>1202</v>
      </c>
      <c r="AE101" t="s">
        <v>93</v>
      </c>
      <c r="AF101" t="s">
        <v>93</v>
      </c>
      <c r="AK101" t="s">
        <v>93</v>
      </c>
      <c r="AL101" t="s">
        <v>184</v>
      </c>
      <c r="AM101">
        <v>298</v>
      </c>
      <c r="AN101" t="s">
        <v>185</v>
      </c>
      <c r="AO101">
        <v>-28.8</v>
      </c>
      <c r="AP101" t="s">
        <v>95</v>
      </c>
      <c r="AQ101" t="s">
        <v>93</v>
      </c>
      <c r="AR101">
        <v>2.6</v>
      </c>
      <c r="AS101" t="s">
        <v>95</v>
      </c>
      <c r="AT101" t="s">
        <v>93</v>
      </c>
      <c r="AV101" t="s">
        <v>93</v>
      </c>
      <c r="AW101" t="s">
        <v>93</v>
      </c>
      <c r="AX101" t="s">
        <v>93</v>
      </c>
      <c r="AY101" t="s">
        <v>93</v>
      </c>
      <c r="BG101">
        <v>0.4375</v>
      </c>
      <c r="BN101">
        <v>6.25E-2</v>
      </c>
      <c r="CF101">
        <v>0.25</v>
      </c>
      <c r="CT101">
        <v>0.25</v>
      </c>
    </row>
    <row r="102" spans="1:98" ht="15.75" thickBot="1" x14ac:dyDescent="0.3">
      <c r="A102" t="s">
        <v>91</v>
      </c>
      <c r="B102" t="s">
        <v>93</v>
      </c>
      <c r="C102" t="s">
        <v>93</v>
      </c>
      <c r="F102" t="s">
        <v>93</v>
      </c>
      <c r="G102" t="s">
        <v>2921</v>
      </c>
      <c r="H102" s="7" t="s">
        <v>3077</v>
      </c>
      <c r="I102">
        <v>0.05</v>
      </c>
      <c r="J102" t="s">
        <v>3058</v>
      </c>
      <c r="K102">
        <v>0.25</v>
      </c>
      <c r="L102" t="s">
        <v>3061</v>
      </c>
      <c r="M102">
        <v>0.5</v>
      </c>
      <c r="N102" t="s">
        <v>3078</v>
      </c>
      <c r="O102">
        <v>0.25</v>
      </c>
      <c r="Z102">
        <v>1203</v>
      </c>
      <c r="AE102" t="s">
        <v>93</v>
      </c>
      <c r="AF102" t="s">
        <v>93</v>
      </c>
      <c r="AK102" t="s">
        <v>93</v>
      </c>
      <c r="AL102" t="s">
        <v>184</v>
      </c>
      <c r="AM102">
        <v>298</v>
      </c>
      <c r="AN102" t="s">
        <v>185</v>
      </c>
      <c r="AO102">
        <v>-22.7</v>
      </c>
      <c r="AP102" t="s">
        <v>95</v>
      </c>
      <c r="AQ102" t="s">
        <v>93</v>
      </c>
      <c r="AR102">
        <v>3</v>
      </c>
      <c r="AS102" t="s">
        <v>95</v>
      </c>
      <c r="AT102" t="s">
        <v>93</v>
      </c>
      <c r="AV102" t="s">
        <v>93</v>
      </c>
      <c r="AW102" t="s">
        <v>93</v>
      </c>
      <c r="AX102" t="s">
        <v>93</v>
      </c>
      <c r="AY102" t="s">
        <v>93</v>
      </c>
      <c r="BG102">
        <v>0.5</v>
      </c>
      <c r="CF102">
        <v>0.25</v>
      </c>
      <c r="CN102">
        <v>0.05</v>
      </c>
      <c r="CT102">
        <v>0.2</v>
      </c>
    </row>
    <row r="103" spans="1:98" ht="15.75" thickBot="1" x14ac:dyDescent="0.3">
      <c r="A103" t="s">
        <v>91</v>
      </c>
      <c r="B103" t="s">
        <v>93</v>
      </c>
      <c r="C103" t="s">
        <v>93</v>
      </c>
      <c r="F103" t="s">
        <v>93</v>
      </c>
      <c r="G103" t="s">
        <v>2922</v>
      </c>
      <c r="H103" s="7" t="s">
        <v>3077</v>
      </c>
      <c r="I103">
        <v>0.1</v>
      </c>
      <c r="J103" t="s">
        <v>3058</v>
      </c>
      <c r="K103">
        <v>0.25</v>
      </c>
      <c r="L103" t="s">
        <v>3061</v>
      </c>
      <c r="M103">
        <v>0.5</v>
      </c>
      <c r="N103" t="s">
        <v>3078</v>
      </c>
      <c r="O103">
        <v>0.15</v>
      </c>
      <c r="Z103">
        <v>1204</v>
      </c>
      <c r="AE103" t="s">
        <v>93</v>
      </c>
      <c r="AF103" t="s">
        <v>93</v>
      </c>
      <c r="AK103" t="s">
        <v>93</v>
      </c>
      <c r="AL103" t="s">
        <v>184</v>
      </c>
      <c r="AM103">
        <v>298</v>
      </c>
      <c r="AN103" t="s">
        <v>185</v>
      </c>
      <c r="AO103">
        <v>-25.5</v>
      </c>
      <c r="AP103" t="s">
        <v>95</v>
      </c>
      <c r="AQ103" t="s">
        <v>93</v>
      </c>
      <c r="AR103">
        <v>1.5</v>
      </c>
      <c r="AS103" t="s">
        <v>95</v>
      </c>
      <c r="AT103" t="s">
        <v>93</v>
      </c>
      <c r="AV103" t="s">
        <v>93</v>
      </c>
      <c r="AW103" t="s">
        <v>93</v>
      </c>
      <c r="AX103" t="s">
        <v>93</v>
      </c>
      <c r="AY103" t="s">
        <v>93</v>
      </c>
      <c r="BG103">
        <v>0.5</v>
      </c>
      <c r="CF103">
        <v>0.25</v>
      </c>
      <c r="CN103">
        <v>0.1</v>
      </c>
      <c r="CT103">
        <v>0.15</v>
      </c>
    </row>
    <row r="104" spans="1:98" ht="15.75" thickBot="1" x14ac:dyDescent="0.3">
      <c r="A104" t="s">
        <v>91</v>
      </c>
      <c r="B104" t="s">
        <v>93</v>
      </c>
      <c r="C104" t="s">
        <v>93</v>
      </c>
      <c r="F104" t="s">
        <v>93</v>
      </c>
      <c r="G104" t="s">
        <v>2923</v>
      </c>
      <c r="H104" s="7" t="s">
        <v>3077</v>
      </c>
      <c r="I104">
        <v>0.15</v>
      </c>
      <c r="J104" t="s">
        <v>3058</v>
      </c>
      <c r="K104">
        <v>0.25</v>
      </c>
      <c r="L104" t="s">
        <v>3061</v>
      </c>
      <c r="M104">
        <v>0.5</v>
      </c>
      <c r="N104" t="s">
        <v>3078</v>
      </c>
      <c r="O104">
        <v>0.1</v>
      </c>
      <c r="Z104">
        <v>1205</v>
      </c>
      <c r="AE104" t="s">
        <v>93</v>
      </c>
      <c r="AF104" t="s">
        <v>93</v>
      </c>
      <c r="AK104" t="s">
        <v>93</v>
      </c>
      <c r="AL104" t="s">
        <v>184</v>
      </c>
      <c r="AM104">
        <v>298</v>
      </c>
      <c r="AN104" t="s">
        <v>185</v>
      </c>
      <c r="AO104">
        <v>-20.3</v>
      </c>
      <c r="AP104" t="s">
        <v>95</v>
      </c>
      <c r="AQ104" t="s">
        <v>93</v>
      </c>
      <c r="AR104">
        <v>3.4</v>
      </c>
      <c r="AS104" t="s">
        <v>95</v>
      </c>
      <c r="AT104" t="s">
        <v>93</v>
      </c>
      <c r="AV104" t="s">
        <v>93</v>
      </c>
      <c r="AW104" t="s">
        <v>93</v>
      </c>
      <c r="AX104" t="s">
        <v>93</v>
      </c>
      <c r="AY104" t="s">
        <v>93</v>
      </c>
      <c r="BG104">
        <v>0.5</v>
      </c>
      <c r="CF104">
        <v>0.25</v>
      </c>
      <c r="CN104">
        <v>0.15</v>
      </c>
      <c r="CT104">
        <v>0.1</v>
      </c>
    </row>
    <row r="105" spans="1:98" ht="15.75" thickBot="1" x14ac:dyDescent="0.3">
      <c r="A105" t="s">
        <v>91</v>
      </c>
      <c r="B105" t="s">
        <v>93</v>
      </c>
      <c r="C105" t="s">
        <v>93</v>
      </c>
      <c r="F105" t="s">
        <v>93</v>
      </c>
      <c r="G105" t="s">
        <v>2924</v>
      </c>
      <c r="H105" s="7" t="s">
        <v>3077</v>
      </c>
      <c r="I105">
        <v>0.2</v>
      </c>
      <c r="J105" t="s">
        <v>3058</v>
      </c>
      <c r="K105">
        <v>0.25</v>
      </c>
      <c r="L105" t="s">
        <v>3061</v>
      </c>
      <c r="M105">
        <v>0.5</v>
      </c>
      <c r="N105" t="s">
        <v>3078</v>
      </c>
      <c r="O105">
        <v>0.05</v>
      </c>
      <c r="Z105">
        <v>1206</v>
      </c>
      <c r="AE105" t="s">
        <v>93</v>
      </c>
      <c r="AF105" t="s">
        <v>93</v>
      </c>
      <c r="AK105" t="s">
        <v>93</v>
      </c>
      <c r="AL105" t="s">
        <v>184</v>
      </c>
      <c r="AM105">
        <v>298</v>
      </c>
      <c r="AN105" t="s">
        <v>1983</v>
      </c>
      <c r="AO105">
        <v>-25.8</v>
      </c>
      <c r="AP105" t="s">
        <v>95</v>
      </c>
      <c r="AQ105" t="s">
        <v>93</v>
      </c>
      <c r="AR105">
        <v>1.4</v>
      </c>
      <c r="AS105" t="s">
        <v>95</v>
      </c>
      <c r="AT105" t="s">
        <v>93</v>
      </c>
      <c r="AV105" t="s">
        <v>93</v>
      </c>
      <c r="AW105" t="s">
        <v>93</v>
      </c>
      <c r="AX105" t="s">
        <v>93</v>
      </c>
      <c r="AY105" t="s">
        <v>93</v>
      </c>
      <c r="BG105">
        <v>0.5</v>
      </c>
      <c r="CF105">
        <v>0.25</v>
      </c>
      <c r="CN105">
        <v>0.2</v>
      </c>
      <c r="CT105">
        <v>0.05</v>
      </c>
    </row>
    <row r="106" spans="1:98" ht="15.75" thickBot="1" x14ac:dyDescent="0.3">
      <c r="A106" t="s">
        <v>91</v>
      </c>
      <c r="B106" t="s">
        <v>93</v>
      </c>
      <c r="C106" t="s">
        <v>93</v>
      </c>
      <c r="F106" t="s">
        <v>93</v>
      </c>
      <c r="G106" t="s">
        <v>2925</v>
      </c>
      <c r="H106" s="7" t="s">
        <v>3046</v>
      </c>
      <c r="I106">
        <v>0.05</v>
      </c>
      <c r="J106" t="s">
        <v>3058</v>
      </c>
      <c r="K106">
        <v>0.25</v>
      </c>
      <c r="L106" t="s">
        <v>3061</v>
      </c>
      <c r="M106">
        <v>0.5</v>
      </c>
      <c r="N106" t="s">
        <v>3078</v>
      </c>
      <c r="O106">
        <v>0.2</v>
      </c>
      <c r="Z106">
        <v>1207</v>
      </c>
      <c r="AE106" t="s">
        <v>93</v>
      </c>
      <c r="AF106" t="s">
        <v>93</v>
      </c>
      <c r="AK106" t="s">
        <v>93</v>
      </c>
      <c r="AL106" t="s">
        <v>184</v>
      </c>
      <c r="AM106">
        <v>298</v>
      </c>
      <c r="AN106" t="s">
        <v>185</v>
      </c>
      <c r="AO106">
        <v>-25.9</v>
      </c>
      <c r="AP106" t="s">
        <v>95</v>
      </c>
      <c r="AQ106" t="s">
        <v>93</v>
      </c>
      <c r="AR106">
        <v>1.1000000000000001</v>
      </c>
      <c r="AS106" t="s">
        <v>95</v>
      </c>
      <c r="AT106" t="s">
        <v>93</v>
      </c>
      <c r="AV106" t="s">
        <v>93</v>
      </c>
      <c r="AW106" t="s">
        <v>93</v>
      </c>
      <c r="AX106" t="s">
        <v>93</v>
      </c>
      <c r="AY106" t="s">
        <v>93</v>
      </c>
      <c r="BF106">
        <v>0.05</v>
      </c>
      <c r="BG106">
        <v>0.5</v>
      </c>
      <c r="CF106">
        <v>0.25</v>
      </c>
      <c r="CT106">
        <v>0.2</v>
      </c>
    </row>
    <row r="107" spans="1:98" ht="15.75" thickBot="1" x14ac:dyDescent="0.3">
      <c r="A107" t="s">
        <v>91</v>
      </c>
      <c r="B107" t="s">
        <v>93</v>
      </c>
      <c r="C107" t="s">
        <v>93</v>
      </c>
      <c r="F107" t="s">
        <v>93</v>
      </c>
      <c r="G107" t="s">
        <v>2926</v>
      </c>
      <c r="H107" s="7" t="s">
        <v>3046</v>
      </c>
      <c r="I107">
        <v>0.1</v>
      </c>
      <c r="J107" t="s">
        <v>3058</v>
      </c>
      <c r="K107">
        <v>0.25</v>
      </c>
      <c r="L107" t="s">
        <v>3061</v>
      </c>
      <c r="M107">
        <v>0.5</v>
      </c>
      <c r="N107" t="s">
        <v>3078</v>
      </c>
      <c r="O107">
        <v>0.15</v>
      </c>
      <c r="Z107">
        <v>1208</v>
      </c>
      <c r="AE107" t="s">
        <v>93</v>
      </c>
      <c r="AF107" t="s">
        <v>93</v>
      </c>
      <c r="AK107" t="s">
        <v>93</v>
      </c>
      <c r="AL107" t="s">
        <v>184</v>
      </c>
      <c r="AM107">
        <v>298</v>
      </c>
      <c r="AN107" t="s">
        <v>185</v>
      </c>
      <c r="AO107">
        <v>-28.5</v>
      </c>
      <c r="AP107" t="s">
        <v>95</v>
      </c>
      <c r="AQ107" t="s">
        <v>93</v>
      </c>
      <c r="AR107">
        <v>1.3</v>
      </c>
      <c r="AS107" t="s">
        <v>95</v>
      </c>
      <c r="AT107" t="s">
        <v>93</v>
      </c>
      <c r="AV107" t="s">
        <v>93</v>
      </c>
      <c r="AW107" t="s">
        <v>93</v>
      </c>
      <c r="AX107" t="s">
        <v>93</v>
      </c>
      <c r="AY107" t="s">
        <v>93</v>
      </c>
      <c r="BF107">
        <v>0.1</v>
      </c>
      <c r="BG107">
        <v>0.5</v>
      </c>
      <c r="CF107">
        <v>0.25</v>
      </c>
      <c r="CT107">
        <v>0.15</v>
      </c>
    </row>
    <row r="108" spans="1:98" ht="15.75" thickBot="1" x14ac:dyDescent="0.3">
      <c r="A108" t="s">
        <v>91</v>
      </c>
      <c r="B108" t="s">
        <v>93</v>
      </c>
      <c r="C108" t="s">
        <v>93</v>
      </c>
      <c r="F108" t="s">
        <v>93</v>
      </c>
      <c r="G108" t="s">
        <v>2927</v>
      </c>
      <c r="H108" s="7" t="s">
        <v>3046</v>
      </c>
      <c r="I108">
        <v>0.15</v>
      </c>
      <c r="J108" t="s">
        <v>3058</v>
      </c>
      <c r="K108">
        <v>0.25</v>
      </c>
      <c r="L108" t="s">
        <v>3061</v>
      </c>
      <c r="M108">
        <v>0.5</v>
      </c>
      <c r="N108" t="s">
        <v>3078</v>
      </c>
      <c r="O108">
        <v>0.1</v>
      </c>
      <c r="Z108">
        <v>1209</v>
      </c>
      <c r="AE108" t="s">
        <v>93</v>
      </c>
      <c r="AF108" t="s">
        <v>93</v>
      </c>
      <c r="AK108" t="s">
        <v>93</v>
      </c>
      <c r="AL108" t="s">
        <v>102</v>
      </c>
      <c r="AM108">
        <v>298</v>
      </c>
      <c r="AN108" t="s">
        <v>103</v>
      </c>
      <c r="AO108">
        <v>-32.200000000000003</v>
      </c>
      <c r="AP108" t="s">
        <v>95</v>
      </c>
      <c r="AQ108" t="s">
        <v>93</v>
      </c>
      <c r="AR108">
        <v>1.1000000000000001</v>
      </c>
      <c r="AS108" t="s">
        <v>95</v>
      </c>
      <c r="AT108" t="s">
        <v>93</v>
      </c>
      <c r="AV108" t="s">
        <v>93</v>
      </c>
      <c r="AW108" t="s">
        <v>93</v>
      </c>
      <c r="AX108" t="s">
        <v>93</v>
      </c>
      <c r="AY108" t="s">
        <v>93</v>
      </c>
      <c r="BF108">
        <v>0.15</v>
      </c>
      <c r="BG108">
        <v>0.5</v>
      </c>
      <c r="CF108">
        <v>0.25</v>
      </c>
      <c r="CT108">
        <v>0.1</v>
      </c>
    </row>
    <row r="109" spans="1:98" ht="15.75" thickBot="1" x14ac:dyDescent="0.3">
      <c r="A109" t="s">
        <v>91</v>
      </c>
      <c r="B109" t="s">
        <v>93</v>
      </c>
      <c r="C109" t="s">
        <v>93</v>
      </c>
      <c r="F109" t="s">
        <v>93</v>
      </c>
      <c r="G109" t="s">
        <v>2928</v>
      </c>
      <c r="H109" s="7" t="s">
        <v>3046</v>
      </c>
      <c r="I109">
        <v>0.2</v>
      </c>
      <c r="J109" t="s">
        <v>3058</v>
      </c>
      <c r="K109">
        <v>0.25</v>
      </c>
      <c r="L109" t="s">
        <v>3061</v>
      </c>
      <c r="M109">
        <v>0.5</v>
      </c>
      <c r="N109" t="s">
        <v>3078</v>
      </c>
      <c r="O109">
        <v>0.05</v>
      </c>
      <c r="Z109">
        <v>1210</v>
      </c>
      <c r="AE109" t="s">
        <v>93</v>
      </c>
      <c r="AF109" t="s">
        <v>93</v>
      </c>
      <c r="AK109" t="s">
        <v>93</v>
      </c>
      <c r="AL109" t="s">
        <v>102</v>
      </c>
      <c r="AM109">
        <v>298</v>
      </c>
      <c r="AN109" t="s">
        <v>103</v>
      </c>
      <c r="AO109">
        <v>-31.8</v>
      </c>
      <c r="AP109" t="s">
        <v>95</v>
      </c>
      <c r="AQ109" t="s">
        <v>93</v>
      </c>
      <c r="AR109">
        <v>2.2000000000000002</v>
      </c>
      <c r="AS109" t="s">
        <v>95</v>
      </c>
      <c r="AT109" t="s">
        <v>93</v>
      </c>
      <c r="AV109" t="s">
        <v>93</v>
      </c>
      <c r="AW109" t="s">
        <v>93</v>
      </c>
      <c r="AX109" t="s">
        <v>93</v>
      </c>
      <c r="AY109" t="s">
        <v>93</v>
      </c>
      <c r="BF109">
        <v>0.2</v>
      </c>
      <c r="BG109">
        <v>0.5</v>
      </c>
      <c r="CF109">
        <v>0.25</v>
      </c>
      <c r="CT109">
        <v>0.05</v>
      </c>
    </row>
    <row r="110" spans="1:98" ht="15.75" thickBot="1" x14ac:dyDescent="0.3">
      <c r="A110" t="s">
        <v>91</v>
      </c>
      <c r="B110" t="s">
        <v>93</v>
      </c>
      <c r="C110" t="s">
        <v>93</v>
      </c>
      <c r="F110" t="s">
        <v>93</v>
      </c>
      <c r="G110" t="s">
        <v>2929</v>
      </c>
      <c r="H110" s="7" t="s">
        <v>3061</v>
      </c>
      <c r="I110">
        <v>2</v>
      </c>
      <c r="J110" t="s">
        <v>3058</v>
      </c>
      <c r="K110">
        <v>0.2</v>
      </c>
      <c r="L110" t="s">
        <v>3056</v>
      </c>
      <c r="M110">
        <v>0.8</v>
      </c>
      <c r="N110" t="s">
        <v>3078</v>
      </c>
      <c r="Z110">
        <v>1211</v>
      </c>
      <c r="AE110" t="s">
        <v>93</v>
      </c>
      <c r="AF110" t="s">
        <v>93</v>
      </c>
      <c r="AK110" t="s">
        <v>93</v>
      </c>
      <c r="AL110" t="s">
        <v>184</v>
      </c>
      <c r="AM110">
        <v>298</v>
      </c>
      <c r="AN110" t="s">
        <v>185</v>
      </c>
      <c r="AO110">
        <v>-27.4</v>
      </c>
      <c r="AP110" t="s">
        <v>95</v>
      </c>
      <c r="AQ110" t="s">
        <v>93</v>
      </c>
      <c r="AR110">
        <v>2.1</v>
      </c>
      <c r="AS110" t="s">
        <v>95</v>
      </c>
      <c r="AT110" t="s">
        <v>93</v>
      </c>
      <c r="AV110" t="s">
        <v>93</v>
      </c>
      <c r="AW110" t="s">
        <v>93</v>
      </c>
      <c r="AX110" t="s">
        <v>93</v>
      </c>
      <c r="AY110" t="s">
        <v>93</v>
      </c>
      <c r="BG110">
        <v>0.5</v>
      </c>
      <c r="BR110">
        <v>0.2</v>
      </c>
      <c r="CF110">
        <v>0.05</v>
      </c>
      <c r="CT110">
        <v>0.25</v>
      </c>
    </row>
    <row r="111" spans="1:98" ht="15.75" thickBot="1" x14ac:dyDescent="0.3">
      <c r="A111" t="s">
        <v>91</v>
      </c>
      <c r="B111" t="s">
        <v>93</v>
      </c>
      <c r="C111" t="s">
        <v>93</v>
      </c>
      <c r="F111" t="s">
        <v>93</v>
      </c>
      <c r="G111" t="s">
        <v>2930</v>
      </c>
      <c r="H111" s="7" t="s">
        <v>3061</v>
      </c>
      <c r="I111">
        <v>2</v>
      </c>
      <c r="J111" t="s">
        <v>3058</v>
      </c>
      <c r="K111">
        <v>0.5</v>
      </c>
      <c r="L111" t="s">
        <v>3056</v>
      </c>
      <c r="M111">
        <v>0.6</v>
      </c>
      <c r="N111" t="s">
        <v>3078</v>
      </c>
      <c r="Z111">
        <v>1212</v>
      </c>
      <c r="AE111" t="s">
        <v>93</v>
      </c>
      <c r="AF111" t="s">
        <v>93</v>
      </c>
      <c r="AK111" t="s">
        <v>93</v>
      </c>
      <c r="AL111" t="s">
        <v>184</v>
      </c>
      <c r="AM111">
        <v>298</v>
      </c>
      <c r="AN111" t="s">
        <v>185</v>
      </c>
      <c r="AO111">
        <v>-28.6</v>
      </c>
      <c r="AP111" t="s">
        <v>95</v>
      </c>
      <c r="AQ111" t="s">
        <v>93</v>
      </c>
      <c r="AR111">
        <v>1.8</v>
      </c>
      <c r="AS111" t="s">
        <v>95</v>
      </c>
      <c r="AT111" t="s">
        <v>93</v>
      </c>
      <c r="AV111" t="s">
        <v>93</v>
      </c>
      <c r="AW111" t="s">
        <v>93</v>
      </c>
      <c r="AX111" t="s">
        <v>93</v>
      </c>
      <c r="AY111" t="s">
        <v>93</v>
      </c>
      <c r="BG111">
        <v>0.5</v>
      </c>
      <c r="BR111">
        <v>0.15</v>
      </c>
      <c r="CF111">
        <v>0.1</v>
      </c>
      <c r="CT111">
        <v>0.25</v>
      </c>
    </row>
    <row r="112" spans="1:98" ht="15.75" thickBot="1" x14ac:dyDescent="0.3">
      <c r="A112" t="s">
        <v>91</v>
      </c>
      <c r="B112" t="s">
        <v>93</v>
      </c>
      <c r="C112" t="s">
        <v>93</v>
      </c>
      <c r="F112" t="s">
        <v>93</v>
      </c>
      <c r="G112" t="s">
        <v>2931</v>
      </c>
      <c r="H112" s="7" t="s">
        <v>3058</v>
      </c>
      <c r="I112">
        <v>0.15</v>
      </c>
      <c r="J112" t="s">
        <v>3061</v>
      </c>
      <c r="K112">
        <v>0.5</v>
      </c>
      <c r="L112" t="s">
        <v>3078</v>
      </c>
      <c r="M112">
        <v>0.25</v>
      </c>
      <c r="N112" t="s">
        <v>3056</v>
      </c>
      <c r="O112">
        <v>0.1</v>
      </c>
      <c r="Z112">
        <v>1213</v>
      </c>
      <c r="AE112" t="s">
        <v>93</v>
      </c>
      <c r="AF112" t="s">
        <v>93</v>
      </c>
      <c r="AK112" t="s">
        <v>93</v>
      </c>
      <c r="AL112" t="s">
        <v>184</v>
      </c>
      <c r="AM112">
        <v>298</v>
      </c>
      <c r="AN112" t="s">
        <v>185</v>
      </c>
      <c r="AO112">
        <v>-31.7</v>
      </c>
      <c r="AP112" t="s">
        <v>95</v>
      </c>
      <c r="AQ112" t="s">
        <v>93</v>
      </c>
      <c r="AR112">
        <v>1.7</v>
      </c>
      <c r="AS112" t="s">
        <v>95</v>
      </c>
      <c r="AT112" t="s">
        <v>93</v>
      </c>
      <c r="AV112" t="s">
        <v>93</v>
      </c>
      <c r="AW112" t="s">
        <v>93</v>
      </c>
      <c r="AX112" t="s">
        <v>93</v>
      </c>
      <c r="AY112" t="s">
        <v>93</v>
      </c>
      <c r="BG112">
        <v>0.5</v>
      </c>
      <c r="BR112">
        <v>0.1</v>
      </c>
      <c r="CF112">
        <v>0.15</v>
      </c>
      <c r="CT112">
        <v>0.25</v>
      </c>
    </row>
    <row r="113" spans="1:98" ht="15.75" thickBot="1" x14ac:dyDescent="0.3">
      <c r="A113" t="s">
        <v>91</v>
      </c>
      <c r="B113" t="s">
        <v>93</v>
      </c>
      <c r="C113" t="s">
        <v>93</v>
      </c>
      <c r="F113" t="s">
        <v>93</v>
      </c>
      <c r="G113" t="s">
        <v>2932</v>
      </c>
      <c r="H113" s="7" t="s">
        <v>3058</v>
      </c>
      <c r="I113">
        <v>0.2</v>
      </c>
      <c r="J113" t="s">
        <v>3061</v>
      </c>
      <c r="K113">
        <v>0.5</v>
      </c>
      <c r="L113" t="s">
        <v>3078</v>
      </c>
      <c r="M113">
        <v>0.25</v>
      </c>
      <c r="N113" t="s">
        <v>3056</v>
      </c>
      <c r="O113">
        <v>0.05</v>
      </c>
      <c r="Z113">
        <v>1214</v>
      </c>
      <c r="AE113" t="s">
        <v>93</v>
      </c>
      <c r="AF113" t="s">
        <v>93</v>
      </c>
      <c r="AK113" t="s">
        <v>93</v>
      </c>
      <c r="AL113" t="s">
        <v>184</v>
      </c>
      <c r="AM113">
        <v>298</v>
      </c>
      <c r="AN113" t="s">
        <v>185</v>
      </c>
      <c r="AO113">
        <v>-23.3</v>
      </c>
      <c r="AP113" t="s">
        <v>95</v>
      </c>
      <c r="AQ113" t="s">
        <v>93</v>
      </c>
      <c r="AR113">
        <v>3.4</v>
      </c>
      <c r="AS113" t="s">
        <v>95</v>
      </c>
      <c r="AT113" t="s">
        <v>93</v>
      </c>
      <c r="AV113" t="s">
        <v>93</v>
      </c>
      <c r="AW113" t="s">
        <v>93</v>
      </c>
      <c r="AX113" t="s">
        <v>93</v>
      </c>
      <c r="AY113" t="s">
        <v>93</v>
      </c>
      <c r="BG113">
        <v>0.5</v>
      </c>
      <c r="BR113">
        <v>0.05</v>
      </c>
      <c r="CF113">
        <v>0.2</v>
      </c>
      <c r="CT113">
        <v>0.25</v>
      </c>
    </row>
    <row r="114" spans="1:98" ht="15.75" thickBot="1" x14ac:dyDescent="0.3">
      <c r="A114" t="s">
        <v>91</v>
      </c>
      <c r="B114" t="s">
        <v>93</v>
      </c>
      <c r="C114" t="s">
        <v>2901</v>
      </c>
      <c r="F114" t="s">
        <v>93</v>
      </c>
      <c r="G114" t="s">
        <v>2933</v>
      </c>
      <c r="H114" s="7" t="s">
        <v>3059</v>
      </c>
      <c r="I114">
        <v>0.25</v>
      </c>
      <c r="J114" t="s">
        <v>3061</v>
      </c>
      <c r="K114">
        <v>1.75</v>
      </c>
      <c r="L114" t="s">
        <v>3058</v>
      </c>
      <c r="M114" t="s">
        <v>3078</v>
      </c>
      <c r="Z114">
        <v>1215</v>
      </c>
      <c r="AE114" t="s">
        <v>93</v>
      </c>
      <c r="AF114" t="s">
        <v>93</v>
      </c>
      <c r="AK114" t="s">
        <v>93</v>
      </c>
      <c r="AL114" t="s">
        <v>184</v>
      </c>
      <c r="AM114">
        <v>298</v>
      </c>
      <c r="AN114" t="s">
        <v>185</v>
      </c>
      <c r="AO114">
        <v>-25.2</v>
      </c>
      <c r="AP114" t="s">
        <v>95</v>
      </c>
      <c r="AQ114" t="s">
        <v>93</v>
      </c>
      <c r="AR114">
        <v>3.4</v>
      </c>
      <c r="AS114" t="s">
        <v>95</v>
      </c>
      <c r="AT114" t="s">
        <v>93</v>
      </c>
      <c r="AV114" t="s">
        <v>93</v>
      </c>
      <c r="AW114" t="s">
        <v>93</v>
      </c>
      <c r="AX114" t="s">
        <v>93</v>
      </c>
      <c r="AY114" t="s">
        <v>93</v>
      </c>
      <c r="BG114">
        <v>0.4375</v>
      </c>
      <c r="BH114">
        <v>6.25E-2</v>
      </c>
      <c r="CF114">
        <v>0.25</v>
      </c>
      <c r="CT114">
        <v>0.25</v>
      </c>
    </row>
    <row r="115" spans="1:98" ht="15.75" thickBot="1" x14ac:dyDescent="0.3">
      <c r="A115" t="s">
        <v>91</v>
      </c>
      <c r="B115" t="s">
        <v>93</v>
      </c>
      <c r="C115" t="s">
        <v>2901</v>
      </c>
      <c r="F115" t="s">
        <v>93</v>
      </c>
      <c r="G115" t="s">
        <v>2934</v>
      </c>
      <c r="H115" s="7" t="s">
        <v>3059</v>
      </c>
      <c r="I115">
        <v>0.125</v>
      </c>
      <c r="J115" t="s">
        <v>3058</v>
      </c>
      <c r="K115">
        <v>0.25</v>
      </c>
      <c r="L115" t="s">
        <v>3061</v>
      </c>
      <c r="M115">
        <v>0.375</v>
      </c>
      <c r="N115" t="s">
        <v>3078</v>
      </c>
      <c r="O115">
        <v>0.25</v>
      </c>
      <c r="Z115">
        <v>1216</v>
      </c>
      <c r="AE115" t="s">
        <v>93</v>
      </c>
      <c r="AF115" t="s">
        <v>93</v>
      </c>
      <c r="AK115" t="s">
        <v>93</v>
      </c>
      <c r="AL115" t="s">
        <v>184</v>
      </c>
      <c r="AM115">
        <v>298</v>
      </c>
      <c r="AN115" t="s">
        <v>185</v>
      </c>
      <c r="AO115">
        <v>-26.6</v>
      </c>
      <c r="AP115" t="s">
        <v>95</v>
      </c>
      <c r="AQ115" t="s">
        <v>93</v>
      </c>
      <c r="AR115">
        <v>2.5</v>
      </c>
      <c r="AS115" t="s">
        <v>95</v>
      </c>
      <c r="AT115" t="s">
        <v>93</v>
      </c>
      <c r="AV115" t="s">
        <v>93</v>
      </c>
      <c r="AW115" t="s">
        <v>93</v>
      </c>
      <c r="AX115" t="s">
        <v>93</v>
      </c>
      <c r="AY115" t="s">
        <v>93</v>
      </c>
      <c r="BG115">
        <v>0.375</v>
      </c>
      <c r="BH115">
        <v>0.125</v>
      </c>
      <c r="CF115">
        <v>0.25</v>
      </c>
      <c r="CT115">
        <v>0.25</v>
      </c>
    </row>
    <row r="116" spans="1:98" ht="15.75" thickBot="1" x14ac:dyDescent="0.3">
      <c r="A116" t="s">
        <v>91</v>
      </c>
      <c r="B116" t="s">
        <v>93</v>
      </c>
      <c r="C116" t="s">
        <v>2901</v>
      </c>
      <c r="F116" t="s">
        <v>93</v>
      </c>
      <c r="G116" t="s">
        <v>2935</v>
      </c>
      <c r="H116" s="7" t="s">
        <v>3059</v>
      </c>
      <c r="I116">
        <v>0.75</v>
      </c>
      <c r="J116" t="s">
        <v>3061</v>
      </c>
      <c r="K116">
        <v>1.25</v>
      </c>
      <c r="L116" t="s">
        <v>3130</v>
      </c>
      <c r="M116" t="s">
        <v>3078</v>
      </c>
      <c r="Z116">
        <v>1217</v>
      </c>
      <c r="AE116" t="s">
        <v>93</v>
      </c>
      <c r="AF116" t="s">
        <v>93</v>
      </c>
      <c r="AK116" t="s">
        <v>93</v>
      </c>
      <c r="AL116" t="s">
        <v>184</v>
      </c>
      <c r="AM116">
        <v>298</v>
      </c>
      <c r="AN116" t="s">
        <v>185</v>
      </c>
      <c r="AO116">
        <v>-17.5</v>
      </c>
      <c r="AP116" t="s">
        <v>95</v>
      </c>
      <c r="AQ116" t="s">
        <v>93</v>
      </c>
      <c r="AR116">
        <v>3</v>
      </c>
      <c r="AS116" t="s">
        <v>95</v>
      </c>
      <c r="AT116" t="s">
        <v>93</v>
      </c>
      <c r="AV116" t="s">
        <v>93</v>
      </c>
      <c r="AW116" t="s">
        <v>93</v>
      </c>
      <c r="AX116" t="s">
        <v>93</v>
      </c>
      <c r="AY116" t="s">
        <v>93</v>
      </c>
      <c r="BG116">
        <v>0.3125</v>
      </c>
      <c r="BH116">
        <v>0.1875</v>
      </c>
      <c r="CF116">
        <v>0.25</v>
      </c>
      <c r="CT116">
        <v>0.25</v>
      </c>
    </row>
    <row r="117" spans="1:98" ht="15.75" thickBot="1" x14ac:dyDescent="0.3">
      <c r="A117" t="s">
        <v>91</v>
      </c>
      <c r="B117" t="s">
        <v>93</v>
      </c>
      <c r="C117" t="s">
        <v>2901</v>
      </c>
      <c r="F117" t="s">
        <v>93</v>
      </c>
      <c r="G117" t="s">
        <v>2937</v>
      </c>
      <c r="H117" s="7" t="s">
        <v>3062</v>
      </c>
      <c r="I117">
        <v>0.25</v>
      </c>
      <c r="J117" t="s">
        <v>3061</v>
      </c>
      <c r="K117">
        <v>1.75</v>
      </c>
      <c r="L117" t="s">
        <v>3058</v>
      </c>
      <c r="M117" t="s">
        <v>3078</v>
      </c>
      <c r="Z117">
        <v>1219</v>
      </c>
      <c r="AE117" t="s">
        <v>93</v>
      </c>
      <c r="AF117" t="s">
        <v>93</v>
      </c>
      <c r="AK117" t="s">
        <v>93</v>
      </c>
      <c r="AL117" t="s">
        <v>184</v>
      </c>
      <c r="AM117">
        <v>298</v>
      </c>
      <c r="AN117" t="s">
        <v>185</v>
      </c>
      <c r="AO117">
        <v>-23</v>
      </c>
      <c r="AP117" t="s">
        <v>95</v>
      </c>
      <c r="AQ117" t="s">
        <v>93</v>
      </c>
      <c r="AR117">
        <v>2.1</v>
      </c>
      <c r="AS117" t="s">
        <v>95</v>
      </c>
      <c r="AT117" t="s">
        <v>93</v>
      </c>
      <c r="AV117" t="s">
        <v>93</v>
      </c>
      <c r="AW117" t="s">
        <v>93</v>
      </c>
      <c r="AX117" t="s">
        <v>93</v>
      </c>
      <c r="AY117" t="s">
        <v>93</v>
      </c>
      <c r="BG117">
        <v>0.4375</v>
      </c>
      <c r="BL117">
        <v>6.25E-2</v>
      </c>
      <c r="CF117">
        <v>0.25</v>
      </c>
      <c r="CT117">
        <v>0.25</v>
      </c>
    </row>
    <row r="118" spans="1:98" ht="15.75" thickBot="1" x14ac:dyDescent="0.3">
      <c r="A118" t="s">
        <v>91</v>
      </c>
      <c r="B118" t="s">
        <v>93</v>
      </c>
      <c r="C118" t="s">
        <v>2901</v>
      </c>
      <c r="F118" t="s">
        <v>93</v>
      </c>
      <c r="G118" t="s">
        <v>2938</v>
      </c>
      <c r="H118" s="7" t="s">
        <v>3062</v>
      </c>
      <c r="I118">
        <v>0.125</v>
      </c>
      <c r="J118" t="s">
        <v>3058</v>
      </c>
      <c r="K118">
        <v>0.25</v>
      </c>
      <c r="L118" t="s">
        <v>3061</v>
      </c>
      <c r="M118">
        <v>0.375</v>
      </c>
      <c r="N118" t="s">
        <v>3078</v>
      </c>
      <c r="O118">
        <v>0.25</v>
      </c>
      <c r="Z118">
        <v>1220</v>
      </c>
      <c r="AE118" t="s">
        <v>93</v>
      </c>
      <c r="AF118" t="s">
        <v>93</v>
      </c>
      <c r="AK118" t="s">
        <v>93</v>
      </c>
      <c r="AL118" t="s">
        <v>184</v>
      </c>
      <c r="AM118">
        <v>298</v>
      </c>
      <c r="AN118" t="s">
        <v>185</v>
      </c>
      <c r="AO118">
        <v>-27.8</v>
      </c>
      <c r="AP118" t="s">
        <v>95</v>
      </c>
      <c r="AQ118" t="s">
        <v>93</v>
      </c>
      <c r="AR118">
        <v>2.6</v>
      </c>
      <c r="AS118" t="s">
        <v>95</v>
      </c>
      <c r="AT118" t="s">
        <v>93</v>
      </c>
      <c r="AV118" t="s">
        <v>93</v>
      </c>
      <c r="AW118" t="s">
        <v>93</v>
      </c>
      <c r="AX118" t="s">
        <v>93</v>
      </c>
      <c r="AY118" t="s">
        <v>93</v>
      </c>
      <c r="BG118">
        <v>0.375</v>
      </c>
      <c r="BL118">
        <v>0.125</v>
      </c>
      <c r="CF118">
        <v>0.25</v>
      </c>
      <c r="CT118">
        <v>0.25</v>
      </c>
    </row>
    <row r="119" spans="1:98" ht="15.75" thickBot="1" x14ac:dyDescent="0.3">
      <c r="A119" t="s">
        <v>91</v>
      </c>
      <c r="B119" t="s">
        <v>93</v>
      </c>
      <c r="C119" t="s">
        <v>2901</v>
      </c>
      <c r="F119" t="s">
        <v>93</v>
      </c>
      <c r="G119" t="s">
        <v>2939</v>
      </c>
      <c r="H119" s="7" t="s">
        <v>3059</v>
      </c>
      <c r="I119">
        <v>0.1875</v>
      </c>
      <c r="J119" t="s">
        <v>3058</v>
      </c>
      <c r="K119">
        <v>0.25</v>
      </c>
      <c r="L119" t="s">
        <v>3061</v>
      </c>
      <c r="M119">
        <v>0.3125</v>
      </c>
      <c r="N119" t="s">
        <v>3078</v>
      </c>
      <c r="O119">
        <v>0.25</v>
      </c>
      <c r="Z119">
        <v>1221</v>
      </c>
      <c r="AE119" t="s">
        <v>93</v>
      </c>
      <c r="AF119" t="s">
        <v>93</v>
      </c>
      <c r="AK119" t="s">
        <v>93</v>
      </c>
      <c r="AL119" t="s">
        <v>184</v>
      </c>
      <c r="AM119">
        <v>298</v>
      </c>
      <c r="AN119" t="s">
        <v>185</v>
      </c>
      <c r="AO119">
        <v>-26.5</v>
      </c>
      <c r="AP119" t="s">
        <v>95</v>
      </c>
      <c r="AQ119" t="s">
        <v>93</v>
      </c>
      <c r="AR119">
        <v>1.9</v>
      </c>
      <c r="AS119" t="s">
        <v>95</v>
      </c>
      <c r="AT119" t="s">
        <v>93</v>
      </c>
      <c r="AV119" t="s">
        <v>93</v>
      </c>
      <c r="AW119" t="s">
        <v>93</v>
      </c>
      <c r="AX119" t="s">
        <v>93</v>
      </c>
      <c r="AY119" t="s">
        <v>93</v>
      </c>
      <c r="BG119">
        <v>0.3125</v>
      </c>
      <c r="BH119">
        <v>0.1875</v>
      </c>
      <c r="CF119">
        <v>0.25</v>
      </c>
      <c r="CT119">
        <v>0.25</v>
      </c>
    </row>
    <row r="120" spans="1:98" ht="15.75" thickBot="1" x14ac:dyDescent="0.3">
      <c r="A120" t="s">
        <v>91</v>
      </c>
      <c r="B120" t="s">
        <v>93</v>
      </c>
      <c r="C120" t="s">
        <v>93</v>
      </c>
      <c r="F120" t="s">
        <v>93</v>
      </c>
      <c r="G120" t="s">
        <v>2942</v>
      </c>
      <c r="H120" s="7" t="s">
        <v>3062</v>
      </c>
      <c r="I120">
        <v>0.3125</v>
      </c>
      <c r="J120" t="s">
        <v>3058</v>
      </c>
      <c r="K120">
        <v>0.25</v>
      </c>
      <c r="L120" t="s">
        <v>3061</v>
      </c>
      <c r="M120">
        <v>0.1875</v>
      </c>
      <c r="N120" t="s">
        <v>3078</v>
      </c>
      <c r="O120">
        <v>0.25</v>
      </c>
      <c r="Z120">
        <v>1223</v>
      </c>
      <c r="AE120" t="s">
        <v>93</v>
      </c>
      <c r="AF120" t="s">
        <v>93</v>
      </c>
      <c r="AK120" t="s">
        <v>93</v>
      </c>
      <c r="AL120" t="s">
        <v>184</v>
      </c>
      <c r="AM120">
        <v>298</v>
      </c>
      <c r="AN120" t="s">
        <v>185</v>
      </c>
      <c r="AO120">
        <v>-27.8</v>
      </c>
      <c r="AP120" t="s">
        <v>95</v>
      </c>
      <c r="AQ120" t="s">
        <v>93</v>
      </c>
      <c r="AR120">
        <v>2.2999999999999998</v>
      </c>
      <c r="AS120" t="s">
        <v>95</v>
      </c>
      <c r="AT120" t="s">
        <v>93</v>
      </c>
      <c r="AV120" t="s">
        <v>93</v>
      </c>
      <c r="AW120" t="s">
        <v>93</v>
      </c>
      <c r="AX120" t="s">
        <v>93</v>
      </c>
      <c r="AY120" t="s">
        <v>93</v>
      </c>
      <c r="BG120">
        <v>0.1875</v>
      </c>
      <c r="BL120">
        <v>0.3125</v>
      </c>
      <c r="CF120">
        <v>0.25</v>
      </c>
      <c r="CT120">
        <v>0.25</v>
      </c>
    </row>
    <row r="121" spans="1:98" ht="15.75" thickBot="1" x14ac:dyDescent="0.3">
      <c r="A121" t="s">
        <v>91</v>
      </c>
      <c r="B121" t="s">
        <v>93</v>
      </c>
      <c r="C121" t="s">
        <v>93</v>
      </c>
      <c r="F121" t="s">
        <v>93</v>
      </c>
      <c r="G121" t="s">
        <v>2943</v>
      </c>
      <c r="H121" s="7" t="s">
        <v>3062</v>
      </c>
      <c r="I121">
        <v>0.375</v>
      </c>
      <c r="J121" t="s">
        <v>3058</v>
      </c>
      <c r="K121">
        <v>0.25</v>
      </c>
      <c r="L121" t="s">
        <v>3061</v>
      </c>
      <c r="M121">
        <v>0.125</v>
      </c>
      <c r="N121" t="s">
        <v>3078</v>
      </c>
      <c r="O121">
        <v>0.25</v>
      </c>
      <c r="Z121">
        <v>1224</v>
      </c>
      <c r="AE121" t="s">
        <v>93</v>
      </c>
      <c r="AF121" t="s">
        <v>93</v>
      </c>
      <c r="AK121" t="s">
        <v>93</v>
      </c>
      <c r="AL121" t="s">
        <v>184</v>
      </c>
      <c r="AM121">
        <v>298</v>
      </c>
      <c r="AN121" t="s">
        <v>185</v>
      </c>
      <c r="AO121">
        <v>-26.5</v>
      </c>
      <c r="AP121" t="s">
        <v>95</v>
      </c>
      <c r="AQ121" t="s">
        <v>93</v>
      </c>
      <c r="AR121">
        <v>3.6</v>
      </c>
      <c r="AS121" t="s">
        <v>95</v>
      </c>
      <c r="AT121" t="s">
        <v>93</v>
      </c>
      <c r="AV121" t="s">
        <v>93</v>
      </c>
      <c r="AW121" t="s">
        <v>93</v>
      </c>
      <c r="AX121" t="s">
        <v>93</v>
      </c>
      <c r="AY121" t="s">
        <v>93</v>
      </c>
      <c r="BG121">
        <v>0.125</v>
      </c>
      <c r="BL121">
        <v>0.375</v>
      </c>
      <c r="CF121">
        <v>0.25</v>
      </c>
      <c r="CT121">
        <v>0.25</v>
      </c>
    </row>
    <row r="122" spans="1:98" ht="15.75" thickBot="1" x14ac:dyDescent="0.3">
      <c r="A122" t="s">
        <v>91</v>
      </c>
      <c r="B122" t="s">
        <v>93</v>
      </c>
      <c r="C122" t="s">
        <v>2901</v>
      </c>
      <c r="F122" t="s">
        <v>93</v>
      </c>
      <c r="G122" t="s">
        <v>2944</v>
      </c>
      <c r="H122" s="7" t="s">
        <v>3062</v>
      </c>
      <c r="I122">
        <v>1.75</v>
      </c>
      <c r="J122" t="s">
        <v>3061</v>
      </c>
      <c r="K122">
        <v>0.25</v>
      </c>
      <c r="L122" t="s">
        <v>3058</v>
      </c>
      <c r="M122" t="s">
        <v>3078</v>
      </c>
      <c r="Z122">
        <v>1225</v>
      </c>
      <c r="AE122" t="s">
        <v>93</v>
      </c>
      <c r="AF122" t="s">
        <v>93</v>
      </c>
      <c r="AK122" t="s">
        <v>93</v>
      </c>
      <c r="AL122" t="s">
        <v>184</v>
      </c>
      <c r="AM122">
        <v>298</v>
      </c>
      <c r="AN122" t="s">
        <v>185</v>
      </c>
      <c r="AO122">
        <v>-26.6</v>
      </c>
      <c r="AP122" t="s">
        <v>95</v>
      </c>
      <c r="AQ122" t="s">
        <v>93</v>
      </c>
      <c r="AR122">
        <v>2.2000000000000002</v>
      </c>
      <c r="AS122" t="s">
        <v>95</v>
      </c>
      <c r="AT122" t="s">
        <v>93</v>
      </c>
      <c r="AV122" t="s">
        <v>93</v>
      </c>
      <c r="AW122" t="s">
        <v>93</v>
      </c>
      <c r="AX122" t="s">
        <v>93</v>
      </c>
      <c r="AY122" t="s">
        <v>93</v>
      </c>
      <c r="BG122">
        <v>6.25E-2</v>
      </c>
      <c r="BL122">
        <v>0.4375</v>
      </c>
      <c r="CF122">
        <v>0.25</v>
      </c>
      <c r="CT122">
        <v>0.25</v>
      </c>
    </row>
    <row r="123" spans="1:98" ht="15.75" thickBot="1" x14ac:dyDescent="0.3">
      <c r="A123" t="s">
        <v>91</v>
      </c>
      <c r="B123" t="s">
        <v>93</v>
      </c>
      <c r="C123" t="s">
        <v>93</v>
      </c>
      <c r="F123" t="s">
        <v>93</v>
      </c>
      <c r="G123" t="s">
        <v>2945</v>
      </c>
      <c r="H123" s="7" t="s">
        <v>3065</v>
      </c>
      <c r="I123">
        <v>0.05</v>
      </c>
      <c r="J123" t="s">
        <v>3058</v>
      </c>
      <c r="K123">
        <v>0.25</v>
      </c>
      <c r="L123" t="s">
        <v>3061</v>
      </c>
      <c r="M123">
        <v>0.5</v>
      </c>
      <c r="N123" t="s">
        <v>3078</v>
      </c>
      <c r="O123">
        <v>0.2</v>
      </c>
      <c r="Z123">
        <v>1226</v>
      </c>
      <c r="AE123" t="s">
        <v>93</v>
      </c>
      <c r="AF123" t="s">
        <v>93</v>
      </c>
      <c r="AK123" t="s">
        <v>93</v>
      </c>
      <c r="AL123" t="s">
        <v>184</v>
      </c>
      <c r="AM123">
        <v>298</v>
      </c>
      <c r="AN123" t="s">
        <v>185</v>
      </c>
      <c r="AO123">
        <v>-21.4</v>
      </c>
      <c r="AP123" t="s">
        <v>95</v>
      </c>
      <c r="AQ123" t="s">
        <v>93</v>
      </c>
      <c r="AR123">
        <v>1.8</v>
      </c>
      <c r="AS123" t="s">
        <v>95</v>
      </c>
      <c r="AT123" t="s">
        <v>93</v>
      </c>
      <c r="AV123" t="s">
        <v>93</v>
      </c>
      <c r="AW123" t="s">
        <v>93</v>
      </c>
      <c r="AX123" t="s">
        <v>93</v>
      </c>
      <c r="AY123" t="s">
        <v>93</v>
      </c>
      <c r="BG123">
        <v>0.5</v>
      </c>
      <c r="CF123">
        <v>0.25</v>
      </c>
      <c r="CO123">
        <v>0.05</v>
      </c>
      <c r="CT123">
        <v>0.2</v>
      </c>
    </row>
    <row r="124" spans="1:98" ht="15.75" thickBot="1" x14ac:dyDescent="0.3">
      <c r="A124" t="s">
        <v>91</v>
      </c>
      <c r="B124" t="s">
        <v>93</v>
      </c>
      <c r="C124" t="s">
        <v>93</v>
      </c>
      <c r="F124" t="s">
        <v>93</v>
      </c>
      <c r="G124" t="s">
        <v>2946</v>
      </c>
      <c r="H124" s="7" t="s">
        <v>3065</v>
      </c>
      <c r="I124">
        <v>0.1</v>
      </c>
      <c r="J124" t="s">
        <v>3058</v>
      </c>
      <c r="K124">
        <v>0.25</v>
      </c>
      <c r="L124" t="s">
        <v>3061</v>
      </c>
      <c r="M124">
        <v>0.5</v>
      </c>
      <c r="N124" t="s">
        <v>3078</v>
      </c>
      <c r="O124">
        <v>0.15</v>
      </c>
      <c r="Z124">
        <v>1227</v>
      </c>
      <c r="AE124" t="s">
        <v>93</v>
      </c>
      <c r="AF124" t="s">
        <v>93</v>
      </c>
      <c r="AK124" t="s">
        <v>93</v>
      </c>
      <c r="AL124" t="s">
        <v>184</v>
      </c>
      <c r="AM124">
        <v>298</v>
      </c>
      <c r="AN124" t="s">
        <v>185</v>
      </c>
      <c r="AO124">
        <v>-27.3</v>
      </c>
      <c r="AP124" t="s">
        <v>95</v>
      </c>
      <c r="AQ124" t="s">
        <v>93</v>
      </c>
      <c r="AR124">
        <v>0.8</v>
      </c>
      <c r="AS124" t="s">
        <v>95</v>
      </c>
      <c r="AT124" t="s">
        <v>93</v>
      </c>
      <c r="AV124" t="s">
        <v>93</v>
      </c>
      <c r="AW124" t="s">
        <v>93</v>
      </c>
      <c r="AX124" t="s">
        <v>93</v>
      </c>
      <c r="AY124" t="s">
        <v>93</v>
      </c>
      <c r="BG124">
        <v>0.5</v>
      </c>
      <c r="CF124">
        <v>0.25</v>
      </c>
      <c r="CO124">
        <v>0.1</v>
      </c>
      <c r="CT124">
        <v>0.15</v>
      </c>
    </row>
    <row r="125" spans="1:98" ht="15.75" thickBot="1" x14ac:dyDescent="0.3">
      <c r="A125" t="s">
        <v>91</v>
      </c>
      <c r="B125" t="s">
        <v>93</v>
      </c>
      <c r="C125" t="s">
        <v>93</v>
      </c>
      <c r="F125" t="s">
        <v>93</v>
      </c>
      <c r="G125" t="s">
        <v>2947</v>
      </c>
      <c r="H125" s="7" t="s">
        <v>3065</v>
      </c>
      <c r="I125">
        <v>0.15</v>
      </c>
      <c r="J125" t="s">
        <v>3058</v>
      </c>
      <c r="K125">
        <v>0.25</v>
      </c>
      <c r="L125" t="s">
        <v>3061</v>
      </c>
      <c r="M125">
        <v>0.5</v>
      </c>
      <c r="N125" t="s">
        <v>3078</v>
      </c>
      <c r="O125">
        <v>0.1</v>
      </c>
      <c r="Z125">
        <v>1228</v>
      </c>
      <c r="AE125" t="s">
        <v>93</v>
      </c>
      <c r="AF125" t="s">
        <v>93</v>
      </c>
      <c r="AK125" t="s">
        <v>93</v>
      </c>
      <c r="AL125" t="s">
        <v>184</v>
      </c>
      <c r="AM125">
        <v>298</v>
      </c>
      <c r="AN125" t="s">
        <v>185</v>
      </c>
      <c r="AO125">
        <v>-24.1</v>
      </c>
      <c r="AP125" t="s">
        <v>95</v>
      </c>
      <c r="AQ125" t="s">
        <v>93</v>
      </c>
      <c r="AR125">
        <v>2.6</v>
      </c>
      <c r="AS125" t="s">
        <v>95</v>
      </c>
      <c r="AT125" t="s">
        <v>93</v>
      </c>
      <c r="AV125" t="s">
        <v>93</v>
      </c>
      <c r="AW125" t="s">
        <v>93</v>
      </c>
      <c r="AX125" t="s">
        <v>93</v>
      </c>
      <c r="AY125" t="s">
        <v>93</v>
      </c>
      <c r="BG125">
        <v>0.5</v>
      </c>
      <c r="CF125">
        <v>0.25</v>
      </c>
      <c r="CO125">
        <v>0.15</v>
      </c>
      <c r="CT125">
        <v>0.1</v>
      </c>
    </row>
    <row r="126" spans="1:98" ht="15.75" thickBot="1" x14ac:dyDescent="0.3">
      <c r="A126" t="s">
        <v>91</v>
      </c>
      <c r="B126" t="s">
        <v>93</v>
      </c>
      <c r="C126" t="s">
        <v>93</v>
      </c>
      <c r="F126" t="s">
        <v>93</v>
      </c>
      <c r="G126" t="s">
        <v>2948</v>
      </c>
      <c r="H126" s="7" t="s">
        <v>3065</v>
      </c>
      <c r="I126">
        <v>0.2</v>
      </c>
      <c r="J126" t="s">
        <v>3058</v>
      </c>
      <c r="K126">
        <v>0.25</v>
      </c>
      <c r="L126" t="s">
        <v>3061</v>
      </c>
      <c r="M126">
        <v>0.5</v>
      </c>
      <c r="N126" t="s">
        <v>3078</v>
      </c>
      <c r="O126">
        <v>0.05</v>
      </c>
      <c r="Z126">
        <v>1229</v>
      </c>
      <c r="AE126" t="s">
        <v>93</v>
      </c>
      <c r="AF126" t="s">
        <v>93</v>
      </c>
      <c r="AK126" t="s">
        <v>93</v>
      </c>
      <c r="AL126" t="s">
        <v>184</v>
      </c>
      <c r="AM126">
        <v>298</v>
      </c>
      <c r="AN126" t="s">
        <v>185</v>
      </c>
      <c r="AO126">
        <v>-32.700000000000003</v>
      </c>
      <c r="AP126" t="s">
        <v>95</v>
      </c>
      <c r="AQ126" t="s">
        <v>93</v>
      </c>
      <c r="AR126">
        <v>3.5</v>
      </c>
      <c r="AS126" t="s">
        <v>95</v>
      </c>
      <c r="AT126" t="s">
        <v>93</v>
      </c>
      <c r="AV126" t="s">
        <v>93</v>
      </c>
      <c r="AW126" t="s">
        <v>93</v>
      </c>
      <c r="AX126" t="s">
        <v>93</v>
      </c>
      <c r="AY126" t="s">
        <v>93</v>
      </c>
      <c r="BG126">
        <v>0.5</v>
      </c>
      <c r="CF126">
        <v>0.25</v>
      </c>
      <c r="CO126">
        <v>0.2</v>
      </c>
      <c r="CT126">
        <v>0.05</v>
      </c>
    </row>
    <row r="127" spans="1:98" ht="15.75" thickBot="1" x14ac:dyDescent="0.3">
      <c r="A127" t="s">
        <v>91</v>
      </c>
      <c r="B127" t="s">
        <v>93</v>
      </c>
      <c r="C127" t="s">
        <v>93</v>
      </c>
      <c r="F127" t="s">
        <v>93</v>
      </c>
      <c r="G127" t="s">
        <v>2949</v>
      </c>
      <c r="H127" s="7" t="s">
        <v>3061</v>
      </c>
      <c r="I127">
        <v>2</v>
      </c>
      <c r="J127" t="s">
        <v>3058</v>
      </c>
      <c r="K127" t="s">
        <v>3047</v>
      </c>
      <c r="L127">
        <v>0.2</v>
      </c>
      <c r="M127" t="s">
        <v>3078</v>
      </c>
      <c r="N127">
        <v>0.8</v>
      </c>
      <c r="Z127">
        <v>1230</v>
      </c>
      <c r="AE127" t="s">
        <v>93</v>
      </c>
      <c r="AF127" t="s">
        <v>93</v>
      </c>
      <c r="AK127" t="s">
        <v>93</v>
      </c>
      <c r="AL127" t="s">
        <v>184</v>
      </c>
      <c r="AM127">
        <v>298</v>
      </c>
      <c r="AN127" t="s">
        <v>185</v>
      </c>
      <c r="AO127">
        <v>-23.6</v>
      </c>
      <c r="AP127" t="s">
        <v>95</v>
      </c>
      <c r="AQ127" t="s">
        <v>93</v>
      </c>
      <c r="AR127">
        <v>2.6</v>
      </c>
      <c r="AS127" t="s">
        <v>95</v>
      </c>
      <c r="AT127" t="s">
        <v>93</v>
      </c>
      <c r="AV127" t="s">
        <v>93</v>
      </c>
      <c r="AW127" t="s">
        <v>93</v>
      </c>
      <c r="AX127" t="s">
        <v>93</v>
      </c>
      <c r="AY127" t="s">
        <v>93</v>
      </c>
      <c r="BG127">
        <v>0.5</v>
      </c>
      <c r="CF127">
        <v>0.25</v>
      </c>
      <c r="CL127">
        <v>0.05</v>
      </c>
      <c r="CT127">
        <v>0.2</v>
      </c>
    </row>
    <row r="128" spans="1:98" ht="15.75" thickBot="1" x14ac:dyDescent="0.3">
      <c r="A128" t="s">
        <v>91</v>
      </c>
      <c r="B128" t="s">
        <v>93</v>
      </c>
      <c r="C128" t="s">
        <v>93</v>
      </c>
      <c r="F128" t="s">
        <v>93</v>
      </c>
      <c r="G128" t="s">
        <v>2950</v>
      </c>
      <c r="H128" s="7" t="s">
        <v>3064</v>
      </c>
      <c r="I128">
        <v>0.05</v>
      </c>
      <c r="J128" t="s">
        <v>3058</v>
      </c>
      <c r="K128">
        <v>0.25</v>
      </c>
      <c r="L128" t="s">
        <v>3061</v>
      </c>
      <c r="M128">
        <v>0.5</v>
      </c>
      <c r="N128" t="s">
        <v>3078</v>
      </c>
      <c r="O128">
        <v>0.2</v>
      </c>
      <c r="Z128">
        <v>1231</v>
      </c>
      <c r="AE128" t="s">
        <v>93</v>
      </c>
      <c r="AF128" t="s">
        <v>93</v>
      </c>
      <c r="AK128" t="s">
        <v>93</v>
      </c>
      <c r="AL128" t="s">
        <v>184</v>
      </c>
      <c r="AM128">
        <v>298</v>
      </c>
      <c r="AN128" t="s">
        <v>185</v>
      </c>
      <c r="AO128">
        <v>-23.9</v>
      </c>
      <c r="AP128" t="s">
        <v>95</v>
      </c>
      <c r="AQ128" t="s">
        <v>93</v>
      </c>
      <c r="AR128">
        <v>1.1000000000000001</v>
      </c>
      <c r="AS128" t="s">
        <v>95</v>
      </c>
      <c r="AT128" t="s">
        <v>93</v>
      </c>
      <c r="AV128" t="s">
        <v>93</v>
      </c>
      <c r="AW128" t="s">
        <v>93</v>
      </c>
      <c r="AX128" t="s">
        <v>93</v>
      </c>
      <c r="AY128" t="s">
        <v>93</v>
      </c>
      <c r="BG128">
        <v>0.5</v>
      </c>
      <c r="CF128">
        <v>0.25</v>
      </c>
      <c r="CM128">
        <v>0.05</v>
      </c>
      <c r="CT128">
        <v>0.2</v>
      </c>
    </row>
    <row r="129" spans="1:98" ht="15.75" thickBot="1" x14ac:dyDescent="0.3">
      <c r="A129" t="s">
        <v>91</v>
      </c>
      <c r="B129" t="s">
        <v>93</v>
      </c>
      <c r="C129" t="s">
        <v>93</v>
      </c>
      <c r="F129" t="s">
        <v>93</v>
      </c>
      <c r="G129" t="s">
        <v>2951</v>
      </c>
      <c r="H129" s="7" t="s">
        <v>3064</v>
      </c>
      <c r="I129">
        <v>0.1</v>
      </c>
      <c r="J129" t="s">
        <v>3058</v>
      </c>
      <c r="K129">
        <v>0.25</v>
      </c>
      <c r="L129" t="s">
        <v>3129</v>
      </c>
      <c r="M129">
        <v>0.5</v>
      </c>
      <c r="N129" t="s">
        <v>3078</v>
      </c>
      <c r="O129">
        <v>0.15</v>
      </c>
      <c r="Z129">
        <v>1232</v>
      </c>
      <c r="AE129" t="s">
        <v>93</v>
      </c>
      <c r="AF129" t="s">
        <v>93</v>
      </c>
      <c r="AK129" t="s">
        <v>93</v>
      </c>
      <c r="AL129" t="s">
        <v>184</v>
      </c>
      <c r="AM129">
        <v>298</v>
      </c>
      <c r="AN129" t="s">
        <v>185</v>
      </c>
      <c r="AO129">
        <v>-28.9</v>
      </c>
      <c r="AP129" t="s">
        <v>95</v>
      </c>
      <c r="AQ129" t="s">
        <v>93</v>
      </c>
      <c r="AR129">
        <v>1.6</v>
      </c>
      <c r="AS129" t="s">
        <v>95</v>
      </c>
      <c r="AT129" t="s">
        <v>93</v>
      </c>
      <c r="AV129" t="s">
        <v>93</v>
      </c>
      <c r="AW129" t="s">
        <v>93</v>
      </c>
      <c r="AX129" t="s">
        <v>93</v>
      </c>
      <c r="AY129" t="s">
        <v>93</v>
      </c>
      <c r="BG129">
        <v>0.5</v>
      </c>
      <c r="CF129">
        <v>0.25</v>
      </c>
      <c r="CM129">
        <v>0.1</v>
      </c>
      <c r="CT129">
        <v>0.15</v>
      </c>
    </row>
    <row r="130" spans="1:98" ht="15.75" thickBot="1" x14ac:dyDescent="0.3">
      <c r="A130" t="s">
        <v>91</v>
      </c>
      <c r="B130" t="s">
        <v>93</v>
      </c>
      <c r="C130" t="s">
        <v>93</v>
      </c>
      <c r="F130" t="s">
        <v>93</v>
      </c>
      <c r="G130" t="s">
        <v>2952</v>
      </c>
      <c r="H130" s="7" t="s">
        <v>3064</v>
      </c>
      <c r="I130">
        <v>0.15</v>
      </c>
      <c r="J130" t="s">
        <v>3058</v>
      </c>
      <c r="K130">
        <v>0.25</v>
      </c>
      <c r="L130" t="s">
        <v>3061</v>
      </c>
      <c r="M130">
        <v>0.5</v>
      </c>
      <c r="N130" t="s">
        <v>3078</v>
      </c>
      <c r="O130">
        <v>0.1</v>
      </c>
      <c r="Z130">
        <v>1233</v>
      </c>
      <c r="AE130" t="s">
        <v>93</v>
      </c>
      <c r="AF130" t="s">
        <v>93</v>
      </c>
      <c r="AK130" t="s">
        <v>93</v>
      </c>
      <c r="AL130" t="s">
        <v>184</v>
      </c>
      <c r="AM130">
        <v>298</v>
      </c>
      <c r="AN130" t="s">
        <v>185</v>
      </c>
      <c r="AO130">
        <v>-29.7</v>
      </c>
      <c r="AP130" t="s">
        <v>95</v>
      </c>
      <c r="AQ130" t="s">
        <v>93</v>
      </c>
      <c r="AR130">
        <v>0.8</v>
      </c>
      <c r="AS130" t="s">
        <v>95</v>
      </c>
      <c r="AT130" t="s">
        <v>93</v>
      </c>
      <c r="AV130" t="s">
        <v>93</v>
      </c>
      <c r="AW130" t="s">
        <v>93</v>
      </c>
      <c r="AX130" t="s">
        <v>93</v>
      </c>
      <c r="AY130" t="s">
        <v>93</v>
      </c>
      <c r="BG130">
        <v>0.5</v>
      </c>
      <c r="CF130">
        <v>0.25</v>
      </c>
      <c r="CM130">
        <v>0.15</v>
      </c>
      <c r="CT130">
        <v>0.1</v>
      </c>
    </row>
    <row r="131" spans="1:98" ht="15.75" thickBot="1" x14ac:dyDescent="0.3">
      <c r="A131" t="s">
        <v>91</v>
      </c>
      <c r="B131" t="s">
        <v>93</v>
      </c>
      <c r="C131" t="s">
        <v>93</v>
      </c>
      <c r="F131" t="s">
        <v>93</v>
      </c>
      <c r="G131" t="s">
        <v>2953</v>
      </c>
      <c r="H131" s="7" t="s">
        <v>3064</v>
      </c>
      <c r="I131">
        <v>0.2</v>
      </c>
      <c r="J131" t="s">
        <v>3058</v>
      </c>
      <c r="K131">
        <v>0.25</v>
      </c>
      <c r="L131" t="s">
        <v>3061</v>
      </c>
      <c r="M131">
        <v>0.5</v>
      </c>
      <c r="N131" t="s">
        <v>3078</v>
      </c>
      <c r="O131">
        <v>0.05</v>
      </c>
      <c r="Z131">
        <v>1234</v>
      </c>
      <c r="AE131" t="s">
        <v>93</v>
      </c>
      <c r="AF131" t="s">
        <v>93</v>
      </c>
      <c r="AK131" t="s">
        <v>93</v>
      </c>
      <c r="AL131" t="s">
        <v>184</v>
      </c>
      <c r="AM131">
        <v>298</v>
      </c>
      <c r="AN131" t="s">
        <v>185</v>
      </c>
      <c r="AO131">
        <v>-27.9</v>
      </c>
      <c r="AP131" t="s">
        <v>95</v>
      </c>
      <c r="AQ131" t="s">
        <v>93</v>
      </c>
      <c r="AR131">
        <v>0.8</v>
      </c>
      <c r="AS131" t="s">
        <v>95</v>
      </c>
      <c r="AT131" t="s">
        <v>93</v>
      </c>
      <c r="AV131" t="s">
        <v>93</v>
      </c>
      <c r="AW131" t="s">
        <v>93</v>
      </c>
      <c r="AX131" t="s">
        <v>93</v>
      </c>
      <c r="AY131" t="s">
        <v>93</v>
      </c>
      <c r="BG131">
        <v>0.5</v>
      </c>
      <c r="CF131">
        <v>0.25</v>
      </c>
      <c r="CM131">
        <v>0.2</v>
      </c>
      <c r="CT131">
        <v>0.05</v>
      </c>
    </row>
    <row r="132" spans="1:98" ht="15.75" thickBot="1" x14ac:dyDescent="0.3">
      <c r="A132" t="s">
        <v>2011</v>
      </c>
      <c r="B132" t="s">
        <v>93</v>
      </c>
      <c r="C132" t="s">
        <v>2983</v>
      </c>
      <c r="F132" t="s">
        <v>93</v>
      </c>
      <c r="G132" t="s">
        <v>2472</v>
      </c>
      <c r="H132" s="7" t="s">
        <v>3062</v>
      </c>
      <c r="I132">
        <v>0.6</v>
      </c>
      <c r="J132" t="s">
        <v>3061</v>
      </c>
      <c r="K132">
        <v>0.15</v>
      </c>
      <c r="L132" t="s">
        <v>3078</v>
      </c>
      <c r="M132">
        <v>0.25</v>
      </c>
      <c r="Z132">
        <v>1249</v>
      </c>
      <c r="AE132" t="s">
        <v>93</v>
      </c>
      <c r="AF132" t="s">
        <v>93</v>
      </c>
      <c r="AK132" t="s">
        <v>93</v>
      </c>
      <c r="AL132" t="s">
        <v>184</v>
      </c>
      <c r="AM132">
        <v>298</v>
      </c>
      <c r="AN132" t="s">
        <v>185</v>
      </c>
      <c r="AO132">
        <v>-11.7</v>
      </c>
      <c r="AP132" t="s">
        <v>95</v>
      </c>
      <c r="AT132" t="s">
        <v>93</v>
      </c>
      <c r="AV132" t="s">
        <v>93</v>
      </c>
      <c r="AW132" t="s">
        <v>93</v>
      </c>
      <c r="AX132" t="s">
        <v>93</v>
      </c>
      <c r="AY132" t="s">
        <v>93</v>
      </c>
      <c r="BG132">
        <v>0.15</v>
      </c>
      <c r="BL132">
        <v>0.6</v>
      </c>
      <c r="CQ132">
        <v>1</v>
      </c>
      <c r="CR132" t="s">
        <v>95</v>
      </c>
      <c r="CS132" t="s">
        <v>93</v>
      </c>
      <c r="CT132">
        <v>0.25</v>
      </c>
    </row>
    <row r="133" spans="1:98" ht="15.75" thickBot="1" x14ac:dyDescent="0.3">
      <c r="A133" t="s">
        <v>2011</v>
      </c>
      <c r="B133" t="s">
        <v>93</v>
      </c>
      <c r="C133" t="s">
        <v>2983</v>
      </c>
      <c r="F133" t="s">
        <v>93</v>
      </c>
      <c r="G133" t="s">
        <v>2984</v>
      </c>
      <c r="H133" s="7" t="s">
        <v>3062</v>
      </c>
      <c r="I133">
        <v>0.4</v>
      </c>
      <c r="J133" t="s">
        <v>3061</v>
      </c>
      <c r="K133">
        <v>0.35</v>
      </c>
      <c r="L133" t="s">
        <v>3078</v>
      </c>
      <c r="M133">
        <v>0.25</v>
      </c>
      <c r="Z133">
        <v>1250</v>
      </c>
      <c r="AE133" t="s">
        <v>93</v>
      </c>
      <c r="AF133" t="s">
        <v>93</v>
      </c>
      <c r="AK133" t="s">
        <v>93</v>
      </c>
      <c r="AL133" t="s">
        <v>184</v>
      </c>
      <c r="AM133">
        <v>298</v>
      </c>
      <c r="AN133" t="s">
        <v>185</v>
      </c>
      <c r="AO133">
        <v>-16.2</v>
      </c>
      <c r="AP133" t="s">
        <v>95</v>
      </c>
      <c r="AT133" t="s">
        <v>93</v>
      </c>
      <c r="AV133" t="s">
        <v>93</v>
      </c>
      <c r="AW133" t="s">
        <v>93</v>
      </c>
      <c r="AX133" t="s">
        <v>93</v>
      </c>
      <c r="AY133" t="s">
        <v>93</v>
      </c>
      <c r="BG133">
        <v>0.35</v>
      </c>
      <c r="BL133">
        <v>0.4</v>
      </c>
      <c r="CQ133">
        <v>1</v>
      </c>
      <c r="CR133" t="s">
        <v>95</v>
      </c>
      <c r="CS133" t="s">
        <v>93</v>
      </c>
      <c r="CT133">
        <v>0.25</v>
      </c>
    </row>
    <row r="134" spans="1:98" ht="15.75" thickBot="1" x14ac:dyDescent="0.3">
      <c r="A134" t="s">
        <v>2011</v>
      </c>
      <c r="B134" t="s">
        <v>93</v>
      </c>
      <c r="C134" t="s">
        <v>2983</v>
      </c>
      <c r="F134" t="s">
        <v>93</v>
      </c>
      <c r="G134" t="s">
        <v>2985</v>
      </c>
      <c r="H134" s="7" t="s">
        <v>3062</v>
      </c>
      <c r="I134">
        <v>0.3</v>
      </c>
      <c r="J134" t="s">
        <v>3061</v>
      </c>
      <c r="K134">
        <v>0.45</v>
      </c>
      <c r="L134" t="s">
        <v>3078</v>
      </c>
      <c r="M134">
        <v>0.25</v>
      </c>
      <c r="Z134">
        <v>1251</v>
      </c>
      <c r="AE134" t="s">
        <v>93</v>
      </c>
      <c r="AF134" t="s">
        <v>93</v>
      </c>
      <c r="AK134" t="s">
        <v>93</v>
      </c>
      <c r="AL134" t="s">
        <v>184</v>
      </c>
      <c r="AM134">
        <v>298</v>
      </c>
      <c r="AN134" t="s">
        <v>185</v>
      </c>
      <c r="AO134">
        <v>-18.3</v>
      </c>
      <c r="AP134" t="s">
        <v>95</v>
      </c>
      <c r="AT134" t="s">
        <v>93</v>
      </c>
      <c r="AV134" t="s">
        <v>93</v>
      </c>
      <c r="AW134" t="s">
        <v>93</v>
      </c>
      <c r="AX134" t="s">
        <v>93</v>
      </c>
      <c r="AY134" t="s">
        <v>93</v>
      </c>
      <c r="BG134">
        <v>0.45</v>
      </c>
      <c r="BL134">
        <v>0.3</v>
      </c>
      <c r="CQ134">
        <v>1</v>
      </c>
      <c r="CR134" t="s">
        <v>95</v>
      </c>
      <c r="CS134" t="s">
        <v>93</v>
      </c>
      <c r="CT134">
        <v>0.25</v>
      </c>
    </row>
    <row r="135" spans="1:98" ht="15.75" thickBot="1" x14ac:dyDescent="0.3">
      <c r="A135" t="s">
        <v>2011</v>
      </c>
      <c r="B135" t="s">
        <v>93</v>
      </c>
      <c r="C135" t="s">
        <v>2983</v>
      </c>
      <c r="F135" t="s">
        <v>93</v>
      </c>
      <c r="G135" t="s">
        <v>2986</v>
      </c>
      <c r="H135" s="7" t="s">
        <v>3062</v>
      </c>
      <c r="I135">
        <v>0.12</v>
      </c>
      <c r="J135" t="s">
        <v>3061</v>
      </c>
      <c r="K135">
        <v>0.63</v>
      </c>
      <c r="L135" t="s">
        <v>3078</v>
      </c>
      <c r="M135">
        <v>0.25</v>
      </c>
      <c r="Z135">
        <v>1252</v>
      </c>
      <c r="AE135" t="s">
        <v>93</v>
      </c>
      <c r="AF135" t="s">
        <v>93</v>
      </c>
      <c r="AK135" t="s">
        <v>93</v>
      </c>
      <c r="AL135" t="s">
        <v>1664</v>
      </c>
      <c r="AM135">
        <v>298</v>
      </c>
      <c r="AN135" t="s">
        <v>147</v>
      </c>
      <c r="AO135">
        <v>-21.6</v>
      </c>
      <c r="AP135" t="s">
        <v>95</v>
      </c>
      <c r="AT135" t="s">
        <v>93</v>
      </c>
      <c r="AV135" t="s">
        <v>93</v>
      </c>
      <c r="AW135" t="s">
        <v>93</v>
      </c>
      <c r="AX135" t="s">
        <v>93</v>
      </c>
      <c r="AY135" t="s">
        <v>93</v>
      </c>
      <c r="BG135">
        <v>0.63</v>
      </c>
      <c r="BL135">
        <v>0.12</v>
      </c>
      <c r="CQ135">
        <v>1</v>
      </c>
      <c r="CR135" t="s">
        <v>95</v>
      </c>
      <c r="CS135" t="s">
        <v>93</v>
      </c>
      <c r="CT135">
        <v>0.25</v>
      </c>
    </row>
    <row r="136" spans="1:98" ht="15.75" thickBot="1" x14ac:dyDescent="0.3">
      <c r="A136" t="s">
        <v>2011</v>
      </c>
      <c r="B136" t="s">
        <v>93</v>
      </c>
      <c r="C136" t="s">
        <v>2983</v>
      </c>
      <c r="F136" t="s">
        <v>93</v>
      </c>
      <c r="G136" t="s">
        <v>2987</v>
      </c>
      <c r="H136" s="7" t="s">
        <v>3062</v>
      </c>
      <c r="I136">
        <v>0.05</v>
      </c>
      <c r="J136" t="s">
        <v>3061</v>
      </c>
      <c r="K136">
        <v>0.7</v>
      </c>
      <c r="L136" t="s">
        <v>3078</v>
      </c>
      <c r="M136">
        <v>0.25</v>
      </c>
      <c r="Z136">
        <v>1253</v>
      </c>
      <c r="AE136" t="s">
        <v>93</v>
      </c>
      <c r="AF136" t="s">
        <v>93</v>
      </c>
      <c r="AK136" t="s">
        <v>93</v>
      </c>
      <c r="AL136" t="s">
        <v>1313</v>
      </c>
      <c r="AM136">
        <v>298</v>
      </c>
      <c r="AN136" t="s">
        <v>179</v>
      </c>
      <c r="AO136">
        <v>-23.3</v>
      </c>
      <c r="AP136" t="s">
        <v>95</v>
      </c>
      <c r="AT136" t="s">
        <v>93</v>
      </c>
      <c r="AV136" t="s">
        <v>93</v>
      </c>
      <c r="AW136" t="s">
        <v>93</v>
      </c>
      <c r="AX136" t="s">
        <v>93</v>
      </c>
      <c r="AY136" t="s">
        <v>93</v>
      </c>
      <c r="BG136">
        <v>0.7</v>
      </c>
      <c r="BL136">
        <v>0.05</v>
      </c>
      <c r="CQ136">
        <v>1</v>
      </c>
      <c r="CR136" t="s">
        <v>95</v>
      </c>
      <c r="CS136" t="s">
        <v>93</v>
      </c>
      <c r="CT136">
        <v>0.25</v>
      </c>
    </row>
    <row r="137" spans="1:98" ht="15.75" thickBot="1" x14ac:dyDescent="0.3">
      <c r="A137" t="s">
        <v>2011</v>
      </c>
      <c r="B137" t="s">
        <v>93</v>
      </c>
      <c r="C137" t="s">
        <v>2983</v>
      </c>
      <c r="F137" t="s">
        <v>93</v>
      </c>
      <c r="G137" t="s">
        <v>2988</v>
      </c>
      <c r="H137" s="7" t="s">
        <v>3062</v>
      </c>
      <c r="I137">
        <v>0.3</v>
      </c>
      <c r="J137" t="s">
        <v>3061</v>
      </c>
      <c r="K137">
        <v>0.28999999999999998</v>
      </c>
      <c r="L137" t="s">
        <v>3078</v>
      </c>
      <c r="M137">
        <v>0.41</v>
      </c>
      <c r="Z137">
        <v>1254</v>
      </c>
      <c r="AE137" t="s">
        <v>93</v>
      </c>
      <c r="AF137" t="s">
        <v>93</v>
      </c>
      <c r="AK137" t="s">
        <v>93</v>
      </c>
      <c r="AL137" t="s">
        <v>172</v>
      </c>
      <c r="AM137">
        <v>298</v>
      </c>
      <c r="AN137" t="s">
        <v>179</v>
      </c>
      <c r="AO137">
        <v>-22.1</v>
      </c>
      <c r="AP137" t="s">
        <v>95</v>
      </c>
      <c r="AT137" t="s">
        <v>93</v>
      </c>
      <c r="AV137" t="s">
        <v>93</v>
      </c>
      <c r="AW137" t="s">
        <v>93</v>
      </c>
      <c r="AX137" t="s">
        <v>93</v>
      </c>
      <c r="AY137" t="s">
        <v>93</v>
      </c>
      <c r="BG137">
        <v>0.28999999999999998</v>
      </c>
      <c r="BL137">
        <v>0.3</v>
      </c>
      <c r="CQ137">
        <v>1</v>
      </c>
      <c r="CR137" t="s">
        <v>95</v>
      </c>
      <c r="CS137" t="s">
        <v>93</v>
      </c>
      <c r="CT137">
        <v>0.41</v>
      </c>
    </row>
    <row r="138" spans="1:98" ht="15.75" thickBot="1" x14ac:dyDescent="0.3">
      <c r="A138" t="s">
        <v>2011</v>
      </c>
      <c r="B138" t="s">
        <v>93</v>
      </c>
      <c r="C138" t="s">
        <v>2983</v>
      </c>
      <c r="F138" t="s">
        <v>93</v>
      </c>
      <c r="G138" t="s">
        <v>2989</v>
      </c>
      <c r="H138" s="7" t="s">
        <v>3062</v>
      </c>
      <c r="I138">
        <v>0.2</v>
      </c>
      <c r="J138" t="s">
        <v>3061</v>
      </c>
      <c r="K138">
        <v>0.39</v>
      </c>
      <c r="L138" t="s">
        <v>3078</v>
      </c>
      <c r="M138">
        <v>0.41</v>
      </c>
      <c r="Z138">
        <v>1255</v>
      </c>
      <c r="AE138" t="s">
        <v>93</v>
      </c>
      <c r="AF138" t="s">
        <v>93</v>
      </c>
      <c r="AK138" t="s">
        <v>93</v>
      </c>
      <c r="AL138" t="s">
        <v>172</v>
      </c>
      <c r="AM138">
        <v>298</v>
      </c>
      <c r="AN138" t="s">
        <v>179</v>
      </c>
      <c r="AO138">
        <v>-26.1</v>
      </c>
      <c r="AP138" t="s">
        <v>95</v>
      </c>
      <c r="AT138" t="s">
        <v>93</v>
      </c>
      <c r="AV138" t="s">
        <v>93</v>
      </c>
      <c r="AW138" t="s">
        <v>93</v>
      </c>
      <c r="AX138" t="s">
        <v>93</v>
      </c>
      <c r="AY138" t="s">
        <v>93</v>
      </c>
      <c r="BG138">
        <v>0.39</v>
      </c>
      <c r="BL138">
        <v>0.2</v>
      </c>
      <c r="CQ138">
        <v>1</v>
      </c>
      <c r="CR138" t="s">
        <v>95</v>
      </c>
      <c r="CS138" t="s">
        <v>93</v>
      </c>
      <c r="CT138">
        <v>0.41</v>
      </c>
    </row>
    <row r="139" spans="1:98" ht="15.75" thickBot="1" x14ac:dyDescent="0.3">
      <c r="A139" t="s">
        <v>2011</v>
      </c>
      <c r="B139" t="s">
        <v>93</v>
      </c>
      <c r="C139" t="s">
        <v>2983</v>
      </c>
      <c r="F139" t="s">
        <v>93</v>
      </c>
      <c r="G139" t="s">
        <v>2990</v>
      </c>
      <c r="H139" s="7" t="s">
        <v>3062</v>
      </c>
      <c r="I139">
        <v>0.1</v>
      </c>
      <c r="J139" t="s">
        <v>3061</v>
      </c>
      <c r="K139">
        <v>0.49</v>
      </c>
      <c r="L139" t="s">
        <v>3078</v>
      </c>
      <c r="M139">
        <v>0.41</v>
      </c>
      <c r="Z139">
        <v>1256</v>
      </c>
      <c r="AE139" t="s">
        <v>93</v>
      </c>
      <c r="AF139" t="s">
        <v>93</v>
      </c>
      <c r="AK139" t="s">
        <v>93</v>
      </c>
      <c r="AL139" t="s">
        <v>172</v>
      </c>
      <c r="AM139">
        <v>298</v>
      </c>
      <c r="AN139" t="s">
        <v>179</v>
      </c>
      <c r="AO139">
        <v>-28.9</v>
      </c>
      <c r="AP139" t="s">
        <v>95</v>
      </c>
      <c r="AT139" t="s">
        <v>93</v>
      </c>
      <c r="AV139" t="s">
        <v>93</v>
      </c>
      <c r="AW139" t="s">
        <v>93</v>
      </c>
      <c r="AX139" t="s">
        <v>93</v>
      </c>
      <c r="AY139" t="s">
        <v>93</v>
      </c>
      <c r="BG139">
        <v>0.49</v>
      </c>
      <c r="BL139">
        <v>0.1</v>
      </c>
      <c r="CQ139">
        <v>1</v>
      </c>
      <c r="CR139" t="s">
        <v>95</v>
      </c>
      <c r="CS139" t="s">
        <v>93</v>
      </c>
      <c r="CT139">
        <v>0.41</v>
      </c>
    </row>
    <row r="140" spans="1:98" ht="15.75" thickBot="1" x14ac:dyDescent="0.3">
      <c r="A140" t="s">
        <v>2011</v>
      </c>
      <c r="B140" t="s">
        <v>93</v>
      </c>
      <c r="C140" t="s">
        <v>2983</v>
      </c>
      <c r="F140" t="s">
        <v>93</v>
      </c>
      <c r="G140" t="s">
        <v>2991</v>
      </c>
      <c r="H140" s="7" t="s">
        <v>3062</v>
      </c>
      <c r="I140">
        <v>0.27500000000000002</v>
      </c>
      <c r="J140" t="s">
        <v>3061</v>
      </c>
      <c r="K140">
        <v>0.27</v>
      </c>
      <c r="L140" t="s">
        <v>3078</v>
      </c>
      <c r="M140">
        <v>0.45500000000000002</v>
      </c>
      <c r="Z140">
        <v>1257</v>
      </c>
      <c r="AE140" t="s">
        <v>93</v>
      </c>
      <c r="AF140" t="s">
        <v>93</v>
      </c>
      <c r="AK140" t="s">
        <v>93</v>
      </c>
      <c r="AL140" t="s">
        <v>172</v>
      </c>
      <c r="AM140">
        <v>298</v>
      </c>
      <c r="AN140" t="s">
        <v>179</v>
      </c>
      <c r="AO140">
        <v>-18.2</v>
      </c>
      <c r="AP140" t="s">
        <v>95</v>
      </c>
      <c r="AT140" t="s">
        <v>93</v>
      </c>
      <c r="AV140" t="s">
        <v>93</v>
      </c>
      <c r="AW140" t="s">
        <v>93</v>
      </c>
      <c r="AX140" t="s">
        <v>93</v>
      </c>
      <c r="AY140" t="s">
        <v>93</v>
      </c>
      <c r="BG140">
        <v>0.27</v>
      </c>
      <c r="BL140">
        <v>0.27500000000000002</v>
      </c>
      <c r="CQ140">
        <v>2</v>
      </c>
      <c r="CR140" t="s">
        <v>95</v>
      </c>
      <c r="CS140" t="s">
        <v>93</v>
      </c>
      <c r="CT140">
        <v>0.45500000000000002</v>
      </c>
    </row>
    <row r="141" spans="1:98" x14ac:dyDescent="0.25">
      <c r="A141" t="s">
        <v>2011</v>
      </c>
      <c r="B141" t="s">
        <v>93</v>
      </c>
      <c r="C141" t="s">
        <v>2983</v>
      </c>
      <c r="F141" t="s">
        <v>93</v>
      </c>
      <c r="G141" t="s">
        <v>2992</v>
      </c>
      <c r="H141" s="8" t="s">
        <v>3062</v>
      </c>
      <c r="I141">
        <v>0.375</v>
      </c>
      <c r="J141" t="s">
        <v>3061</v>
      </c>
      <c r="K141">
        <v>0.17</v>
      </c>
      <c r="L141" t="s">
        <v>3078</v>
      </c>
      <c r="M141">
        <v>0.45500000000000002</v>
      </c>
      <c r="Z141">
        <v>1258</v>
      </c>
      <c r="AE141" t="s">
        <v>93</v>
      </c>
      <c r="AF141" t="s">
        <v>93</v>
      </c>
      <c r="AK141" t="s">
        <v>93</v>
      </c>
      <c r="AL141" t="s">
        <v>172</v>
      </c>
      <c r="AM141">
        <v>298</v>
      </c>
      <c r="AN141" t="s">
        <v>179</v>
      </c>
      <c r="AO141">
        <v>-16.2</v>
      </c>
      <c r="AP141" t="s">
        <v>95</v>
      </c>
      <c r="AT141" t="s">
        <v>93</v>
      </c>
      <c r="AV141" t="s">
        <v>93</v>
      </c>
      <c r="AW141" t="s">
        <v>93</v>
      </c>
      <c r="AX141" t="s">
        <v>93</v>
      </c>
      <c r="AY141" t="s">
        <v>93</v>
      </c>
      <c r="BG141">
        <v>0.17</v>
      </c>
      <c r="BL141">
        <v>0.375</v>
      </c>
      <c r="CQ141">
        <v>2</v>
      </c>
      <c r="CR141" t="s">
        <v>95</v>
      </c>
      <c r="CS141" t="s">
        <v>93</v>
      </c>
      <c r="CT141">
        <v>0.45500000000000002</v>
      </c>
    </row>
  </sheetData>
  <phoneticPr fontId="2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117A0-4A1E-4B0D-A4CF-4EF9E9F59B06}">
  <sheetPr codeName="Sheet2"/>
  <dimension ref="A1:B74"/>
  <sheetViews>
    <sheetView topLeftCell="A18" workbookViewId="0">
      <selection activeCell="A37" sqref="A37:B37"/>
    </sheetView>
  </sheetViews>
  <sheetFormatPr defaultRowHeight="15" x14ac:dyDescent="0.25"/>
  <cols>
    <col min="1" max="1" width="11" customWidth="1"/>
  </cols>
  <sheetData>
    <row r="1" spans="1:2" ht="15.75" thickBot="1" x14ac:dyDescent="0.3">
      <c r="A1" s="2">
        <v>1</v>
      </c>
      <c r="B1" s="3" t="s">
        <v>3034</v>
      </c>
    </row>
    <row r="2" spans="1:2" ht="15.75" thickBot="1" x14ac:dyDescent="0.3">
      <c r="A2" s="2">
        <v>2</v>
      </c>
      <c r="B2" s="3" t="s">
        <v>3035</v>
      </c>
    </row>
    <row r="3" spans="1:2" ht="15.75" thickBot="1" x14ac:dyDescent="0.3">
      <c r="A3" s="2">
        <v>3</v>
      </c>
      <c r="B3" s="3" t="s">
        <v>3036</v>
      </c>
    </row>
    <row r="4" spans="1:2" ht="15.75" thickBot="1" x14ac:dyDescent="0.3">
      <c r="A4" s="2">
        <v>4</v>
      </c>
      <c r="B4" s="3" t="s">
        <v>3037</v>
      </c>
    </row>
    <row r="5" spans="1:2" ht="15.75" thickBot="1" x14ac:dyDescent="0.3">
      <c r="A5" s="2">
        <v>5</v>
      </c>
      <c r="B5" s="4" t="s">
        <v>3038</v>
      </c>
    </row>
    <row r="6" spans="1:2" ht="15.75" thickBot="1" x14ac:dyDescent="0.3">
      <c r="A6" s="2">
        <v>6</v>
      </c>
      <c r="B6" s="4" t="s">
        <v>3039</v>
      </c>
    </row>
    <row r="7" spans="1:2" ht="15.75" thickBot="1" x14ac:dyDescent="0.3">
      <c r="A7" s="2">
        <v>7</v>
      </c>
      <c r="B7" s="4" t="s">
        <v>3040</v>
      </c>
    </row>
    <row r="8" spans="1:2" ht="15.75" thickBot="1" x14ac:dyDescent="0.3">
      <c r="A8" s="2">
        <v>8</v>
      </c>
      <c r="B8" s="4" t="s">
        <v>3041</v>
      </c>
    </row>
    <row r="9" spans="1:2" ht="15.75" thickBot="1" x14ac:dyDescent="0.3">
      <c r="A9" s="2">
        <v>9</v>
      </c>
      <c r="B9" s="4" t="s">
        <v>3042</v>
      </c>
    </row>
    <row r="10" spans="1:2" ht="15.75" thickBot="1" x14ac:dyDescent="0.3">
      <c r="A10" s="2">
        <v>10</v>
      </c>
      <c r="B10" s="4" t="s">
        <v>3043</v>
      </c>
    </row>
    <row r="11" spans="1:2" ht="15.75" thickBot="1" x14ac:dyDescent="0.3">
      <c r="A11" s="2">
        <v>11</v>
      </c>
      <c r="B11" s="3" t="s">
        <v>3044</v>
      </c>
    </row>
    <row r="12" spans="1:2" ht="15.75" thickBot="1" x14ac:dyDescent="0.3">
      <c r="A12" s="2">
        <v>12</v>
      </c>
      <c r="B12" s="3" t="s">
        <v>3045</v>
      </c>
    </row>
    <row r="13" spans="1:2" ht="15.75" thickBot="1" x14ac:dyDescent="0.3">
      <c r="A13" s="2">
        <v>13</v>
      </c>
      <c r="B13" s="4" t="s">
        <v>3046</v>
      </c>
    </row>
    <row r="14" spans="1:2" ht="15.75" thickBot="1" x14ac:dyDescent="0.3">
      <c r="A14" s="2">
        <v>14</v>
      </c>
      <c r="B14" s="4" t="s">
        <v>3047</v>
      </c>
    </row>
    <row r="15" spans="1:2" ht="15.75" thickBot="1" x14ac:dyDescent="0.3">
      <c r="A15" s="2">
        <v>15</v>
      </c>
      <c r="B15" s="4" t="s">
        <v>3048</v>
      </c>
    </row>
    <row r="16" spans="1:2" ht="15.75" thickBot="1" x14ac:dyDescent="0.3">
      <c r="A16" s="2">
        <v>16</v>
      </c>
      <c r="B16" s="4" t="s">
        <v>3049</v>
      </c>
    </row>
    <row r="17" spans="1:2" ht="15.75" thickBot="1" x14ac:dyDescent="0.3">
      <c r="A17" s="2">
        <v>17</v>
      </c>
      <c r="B17" s="4" t="s">
        <v>3050</v>
      </c>
    </row>
    <row r="18" spans="1:2" ht="15.75" thickBot="1" x14ac:dyDescent="0.3">
      <c r="A18" s="2">
        <v>18</v>
      </c>
      <c r="B18" s="4" t="s">
        <v>3051</v>
      </c>
    </row>
    <row r="19" spans="1:2" ht="15.75" thickBot="1" x14ac:dyDescent="0.3">
      <c r="A19" s="2">
        <v>19</v>
      </c>
      <c r="B19" s="3" t="s">
        <v>3052</v>
      </c>
    </row>
    <row r="20" spans="1:2" ht="15.75" thickBot="1" x14ac:dyDescent="0.3">
      <c r="A20" s="2">
        <v>20</v>
      </c>
      <c r="B20" s="3" t="s">
        <v>3053</v>
      </c>
    </row>
    <row r="21" spans="1:2" ht="15.75" thickBot="1" x14ac:dyDescent="0.3">
      <c r="A21" s="2">
        <v>21</v>
      </c>
      <c r="B21" s="5" t="s">
        <v>3054</v>
      </c>
    </row>
    <row r="22" spans="1:2" ht="15.75" thickBot="1" x14ac:dyDescent="0.3">
      <c r="A22" s="2">
        <v>22</v>
      </c>
      <c r="B22" s="5" t="s">
        <v>3055</v>
      </c>
    </row>
    <row r="23" spans="1:2" ht="15.75" thickBot="1" x14ac:dyDescent="0.3">
      <c r="A23" s="2">
        <v>23</v>
      </c>
      <c r="B23" s="5" t="s">
        <v>3056</v>
      </c>
    </row>
    <row r="24" spans="1:2" ht="15.75" thickBot="1" x14ac:dyDescent="0.3">
      <c r="A24" s="2">
        <v>24</v>
      </c>
      <c r="B24" s="5" t="s">
        <v>3057</v>
      </c>
    </row>
    <row r="25" spans="1:2" ht="15.75" thickBot="1" x14ac:dyDescent="0.3">
      <c r="A25" s="2">
        <v>25</v>
      </c>
      <c r="B25" s="5" t="s">
        <v>3058</v>
      </c>
    </row>
    <row r="26" spans="1:2" ht="15.75" thickBot="1" x14ac:dyDescent="0.3">
      <c r="A26" s="2">
        <v>26</v>
      </c>
      <c r="B26" s="5" t="s">
        <v>3059</v>
      </c>
    </row>
    <row r="27" spans="1:2" ht="15.75" thickBot="1" x14ac:dyDescent="0.3">
      <c r="A27" s="2">
        <v>27</v>
      </c>
      <c r="B27" s="5" t="s">
        <v>3060</v>
      </c>
    </row>
    <row r="28" spans="1:2" ht="15.75" thickBot="1" x14ac:dyDescent="0.3">
      <c r="A28" s="2">
        <v>28</v>
      </c>
      <c r="B28" s="5" t="s">
        <v>3061</v>
      </c>
    </row>
    <row r="29" spans="1:2" ht="15.75" thickBot="1" x14ac:dyDescent="0.3">
      <c r="A29" s="2">
        <v>29</v>
      </c>
      <c r="B29" s="5" t="s">
        <v>3062</v>
      </c>
    </row>
    <row r="30" spans="1:2" ht="15.75" thickBot="1" x14ac:dyDescent="0.3">
      <c r="A30" s="2">
        <v>30</v>
      </c>
      <c r="B30" s="5" t="s">
        <v>3063</v>
      </c>
    </row>
    <row r="31" spans="1:2" ht="15.75" thickBot="1" x14ac:dyDescent="0.3">
      <c r="A31" s="2">
        <v>31</v>
      </c>
      <c r="B31" s="4" t="s">
        <v>3064</v>
      </c>
    </row>
    <row r="32" spans="1:2" ht="15.75" thickBot="1" x14ac:dyDescent="0.3">
      <c r="A32" s="2">
        <v>32</v>
      </c>
      <c r="B32" s="4" t="s">
        <v>3065</v>
      </c>
    </row>
    <row r="33" spans="1:2" ht="15.75" thickBot="1" x14ac:dyDescent="0.3">
      <c r="A33" s="2">
        <v>33</v>
      </c>
      <c r="B33" s="4" t="s">
        <v>3066</v>
      </c>
    </row>
    <row r="34" spans="1:2" ht="15.75" thickBot="1" x14ac:dyDescent="0.3">
      <c r="A34" s="2">
        <v>34</v>
      </c>
      <c r="B34" s="4" t="s">
        <v>3067</v>
      </c>
    </row>
    <row r="35" spans="1:2" ht="15.75" thickBot="1" x14ac:dyDescent="0.3">
      <c r="A35" s="2">
        <v>35</v>
      </c>
      <c r="B35" s="4" t="s">
        <v>3068</v>
      </c>
    </row>
    <row r="36" spans="1:2" ht="15.75" thickBot="1" x14ac:dyDescent="0.3">
      <c r="A36" s="2">
        <v>36</v>
      </c>
      <c r="B36" s="4" t="s">
        <v>3069</v>
      </c>
    </row>
    <row r="37" spans="1:2" ht="15.75" thickBot="1" x14ac:dyDescent="0.3">
      <c r="A37" s="2">
        <v>81</v>
      </c>
      <c r="B37" s="4" t="s">
        <v>3084</v>
      </c>
    </row>
    <row r="38" spans="1:2" ht="15.75" thickBot="1" x14ac:dyDescent="0.3">
      <c r="A38" s="2">
        <v>82</v>
      </c>
      <c r="B38" s="4" t="s">
        <v>3085</v>
      </c>
    </row>
    <row r="39" spans="1:2" ht="15.75" thickBot="1" x14ac:dyDescent="0.3">
      <c r="A39" s="2">
        <v>83</v>
      </c>
      <c r="B39" s="4" t="s">
        <v>3086</v>
      </c>
    </row>
    <row r="40" spans="1:2" ht="15.75" thickBot="1" x14ac:dyDescent="0.3">
      <c r="A40" s="2">
        <v>84</v>
      </c>
      <c r="B40" s="4" t="s">
        <v>3087</v>
      </c>
    </row>
    <row r="41" spans="1:2" ht="15.75" thickBot="1" x14ac:dyDescent="0.3">
      <c r="A41" s="2">
        <v>85</v>
      </c>
      <c r="B41" s="4" t="s">
        <v>3088</v>
      </c>
    </row>
    <row r="42" spans="1:2" ht="15.75" thickBot="1" x14ac:dyDescent="0.3">
      <c r="A42" s="2">
        <v>86</v>
      </c>
      <c r="B42" s="4" t="s">
        <v>3089</v>
      </c>
    </row>
    <row r="43" spans="1:2" ht="15.75" thickBot="1" x14ac:dyDescent="0.3">
      <c r="A43" s="2">
        <v>87</v>
      </c>
      <c r="B43" s="3" t="s">
        <v>3090</v>
      </c>
    </row>
    <row r="44" spans="1:2" ht="15.75" thickBot="1" x14ac:dyDescent="0.3">
      <c r="A44" s="2">
        <v>88</v>
      </c>
      <c r="B44" s="3" t="s">
        <v>3091</v>
      </c>
    </row>
    <row r="45" spans="1:2" ht="15.75" thickBot="1" x14ac:dyDescent="0.3">
      <c r="A45" s="2">
        <v>89</v>
      </c>
      <c r="B45" s="6" t="s">
        <v>3092</v>
      </c>
    </row>
    <row r="46" spans="1:2" ht="15.75" thickBot="1" x14ac:dyDescent="0.3">
      <c r="A46" s="2">
        <v>90</v>
      </c>
      <c r="B46" s="6" t="s">
        <v>3093</v>
      </c>
    </row>
    <row r="47" spans="1:2" ht="15.75" thickBot="1" x14ac:dyDescent="0.3">
      <c r="A47" s="2">
        <v>91</v>
      </c>
      <c r="B47" s="6" t="s">
        <v>3094</v>
      </c>
    </row>
    <row r="48" spans="1:2" ht="15.75" thickBot="1" x14ac:dyDescent="0.3">
      <c r="A48" s="2">
        <v>92</v>
      </c>
      <c r="B48" s="6" t="s">
        <v>3095</v>
      </c>
    </row>
    <row r="49" spans="1:2" ht="15.75" thickBot="1" x14ac:dyDescent="0.3">
      <c r="A49" s="2">
        <v>93</v>
      </c>
      <c r="B49" s="6" t="s">
        <v>3096</v>
      </c>
    </row>
    <row r="50" spans="1:2" ht="15.75" thickBot="1" x14ac:dyDescent="0.3">
      <c r="A50" s="2">
        <v>94</v>
      </c>
      <c r="B50" s="6" t="s">
        <v>3097</v>
      </c>
    </row>
    <row r="51" spans="1:2" ht="15.75" thickBot="1" x14ac:dyDescent="0.3">
      <c r="A51" s="2">
        <v>95</v>
      </c>
      <c r="B51" s="6" t="s">
        <v>3098</v>
      </c>
    </row>
    <row r="52" spans="1:2" ht="15.75" thickBot="1" x14ac:dyDescent="0.3">
      <c r="A52" s="2">
        <v>96</v>
      </c>
      <c r="B52" s="6" t="s">
        <v>3099</v>
      </c>
    </row>
    <row r="53" spans="1:2" ht="15.75" thickBot="1" x14ac:dyDescent="0.3">
      <c r="A53" s="2">
        <v>97</v>
      </c>
      <c r="B53" s="6" t="s">
        <v>3100</v>
      </c>
    </row>
    <row r="54" spans="1:2" ht="15.75" thickBot="1" x14ac:dyDescent="0.3">
      <c r="A54" s="2">
        <v>98</v>
      </c>
      <c r="B54" s="6" t="s">
        <v>3101</v>
      </c>
    </row>
    <row r="55" spans="1:2" ht="15.75" thickBot="1" x14ac:dyDescent="0.3">
      <c r="A55" s="2">
        <v>99</v>
      </c>
      <c r="B55" s="6" t="s">
        <v>3102</v>
      </c>
    </row>
    <row r="56" spans="1:2" ht="15.75" thickBot="1" x14ac:dyDescent="0.3">
      <c r="A56" s="2">
        <v>100</v>
      </c>
      <c r="B56" s="6" t="s">
        <v>3103</v>
      </c>
    </row>
    <row r="57" spans="1:2" ht="15.75" thickBot="1" x14ac:dyDescent="0.3">
      <c r="A57" s="2">
        <v>101</v>
      </c>
      <c r="B57" s="6" t="s">
        <v>3104</v>
      </c>
    </row>
    <row r="58" spans="1:2" ht="15.75" thickBot="1" x14ac:dyDescent="0.3">
      <c r="A58" s="2">
        <v>102</v>
      </c>
      <c r="B58" s="6" t="s">
        <v>3105</v>
      </c>
    </row>
    <row r="59" spans="1:2" ht="15.75" thickBot="1" x14ac:dyDescent="0.3">
      <c r="A59" s="2">
        <v>103</v>
      </c>
      <c r="B59" s="5" t="s">
        <v>3106</v>
      </c>
    </row>
    <row r="60" spans="1:2" ht="15.75" thickBot="1" x14ac:dyDescent="0.3">
      <c r="A60" s="2">
        <v>104</v>
      </c>
      <c r="B60" s="5" t="s">
        <v>3107</v>
      </c>
    </row>
    <row r="61" spans="1:2" ht="15.75" thickBot="1" x14ac:dyDescent="0.3">
      <c r="A61" s="2">
        <v>105</v>
      </c>
      <c r="B61" s="5" t="s">
        <v>3108</v>
      </c>
    </row>
    <row r="62" spans="1:2" ht="15.75" thickBot="1" x14ac:dyDescent="0.3">
      <c r="A62" s="2">
        <v>106</v>
      </c>
      <c r="B62" s="5" t="s">
        <v>3109</v>
      </c>
    </row>
    <row r="63" spans="1:2" ht="15.75" thickBot="1" x14ac:dyDescent="0.3">
      <c r="A63" s="2">
        <v>107</v>
      </c>
      <c r="B63" s="5" t="s">
        <v>3110</v>
      </c>
    </row>
    <row r="64" spans="1:2" ht="15.75" thickBot="1" x14ac:dyDescent="0.3">
      <c r="A64" s="2">
        <v>108</v>
      </c>
      <c r="B64" s="5" t="s">
        <v>3111</v>
      </c>
    </row>
    <row r="65" spans="1:2" ht="15.75" thickBot="1" x14ac:dyDescent="0.3">
      <c r="A65" s="2">
        <v>109</v>
      </c>
      <c r="B65" s="5" t="s">
        <v>3112</v>
      </c>
    </row>
    <row r="66" spans="1:2" ht="15.75" thickBot="1" x14ac:dyDescent="0.3">
      <c r="A66" s="2">
        <v>110</v>
      </c>
      <c r="B66" s="5" t="s">
        <v>3113</v>
      </c>
    </row>
    <row r="67" spans="1:2" ht="15.75" thickBot="1" x14ac:dyDescent="0.3">
      <c r="A67" s="2">
        <v>111</v>
      </c>
      <c r="B67" s="5" t="s">
        <v>3114</v>
      </c>
    </row>
    <row r="68" spans="1:2" ht="15.75" thickBot="1" x14ac:dyDescent="0.3">
      <c r="A68" s="2">
        <v>112</v>
      </c>
      <c r="B68" s="5" t="s">
        <v>3115</v>
      </c>
    </row>
    <row r="69" spans="1:2" ht="15.75" thickBot="1" x14ac:dyDescent="0.3">
      <c r="A69" s="2">
        <v>113</v>
      </c>
      <c r="B69" s="4" t="s">
        <v>3116</v>
      </c>
    </row>
    <row r="70" spans="1:2" ht="15.75" thickBot="1" x14ac:dyDescent="0.3">
      <c r="A70" s="2">
        <v>114</v>
      </c>
      <c r="B70" s="4" t="s">
        <v>3117</v>
      </c>
    </row>
    <row r="71" spans="1:2" ht="15.75" thickBot="1" x14ac:dyDescent="0.3">
      <c r="A71" s="2">
        <v>115</v>
      </c>
      <c r="B71" s="4" t="s">
        <v>3118</v>
      </c>
    </row>
    <row r="72" spans="1:2" ht="15.75" thickBot="1" x14ac:dyDescent="0.3">
      <c r="A72" s="2">
        <v>116</v>
      </c>
      <c r="B72" s="4" t="s">
        <v>3119</v>
      </c>
    </row>
    <row r="73" spans="1:2" ht="15.75" thickBot="1" x14ac:dyDescent="0.3">
      <c r="A73" s="2">
        <v>117</v>
      </c>
      <c r="B73" s="4" t="s">
        <v>3120</v>
      </c>
    </row>
    <row r="74" spans="1:2" ht="15.75" thickBot="1" x14ac:dyDescent="0.3">
      <c r="A74" s="2">
        <v>118</v>
      </c>
      <c r="B74" s="4" t="s">
        <v>3121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enthalpy_formation-findAndMove2</vt:lpstr>
      <vt:lpstr>Sheet1</vt:lpstr>
      <vt:lpstr>Sheet4</vt:lpstr>
      <vt:lpstr>Sheet3</vt:lpstr>
      <vt:lpstr>Sheet2</vt:lpstr>
      <vt:lpstr>Sheet1bak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Anderson</dc:creator>
  <cp:lastModifiedBy>Steven Anderson</cp:lastModifiedBy>
  <dcterms:created xsi:type="dcterms:W3CDTF">2021-04-18T16:46:38Z</dcterms:created>
  <dcterms:modified xsi:type="dcterms:W3CDTF">2021-05-06T14:08:52Z</dcterms:modified>
</cp:coreProperties>
</file>